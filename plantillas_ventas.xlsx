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guc\Downloads\PROYECTO POS\"/>
    </mc:Choice>
  </mc:AlternateContent>
  <xr:revisionPtr revIDLastSave="0" documentId="13_ncr:1_{45688D60-AB95-4798-A1B0-18C7F73594A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Historial de Ventas" sheetId="1" r:id="rId1"/>
    <sheet name="Resumen" sheetId="2" r:id="rId2"/>
  </sheets>
  <definedNames>
    <definedName name="_xlnm._FilterDatabase" localSheetId="0" hidden="1">'Historial de Ventas'!$A$4:$K$12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5" i="2"/>
  <c r="B4" i="2"/>
  <c r="G13" i="1"/>
  <c r="F13" i="1"/>
  <c r="E13" i="1"/>
  <c r="D13" i="1"/>
  <c r="B12" i="2"/>
  <c r="B11" i="2"/>
  <c r="B10" i="2"/>
  <c r="H13" i="1" l="1"/>
  <c r="B7" i="2"/>
</calcChain>
</file>

<file path=xl/sharedStrings.xml><?xml version="1.0" encoding="utf-8"?>
<sst xmlns="http://schemas.openxmlformats.org/spreadsheetml/2006/main" count="27" uniqueCount="27">
  <si>
    <t>📊  HISTORIAL DE VENTAS</t>
  </si>
  <si>
    <t>Generado el: 01/06/2026   |   Sistema: MiTienda POS</t>
  </si>
  <si>
    <t>Factura N°</t>
  </si>
  <si>
    <t>Fecha</t>
  </si>
  <si>
    <t>Hora</t>
  </si>
  <si>
    <t>Items</t>
  </si>
  <si>
    <t>Subtotal</t>
  </si>
  <si>
    <t>IVA</t>
  </si>
  <si>
    <t>Impoconsumо</t>
  </si>
  <si>
    <t>Total</t>
  </si>
  <si>
    <t>Método de Pago</t>
  </si>
  <si>
    <t>Estado DIAN</t>
  </si>
  <si>
    <t>Observaciones</t>
  </si>
  <si>
    <t>TOTALES</t>
  </si>
  <si>
    <t>RESUMEN DE VENTAS</t>
  </si>
  <si>
    <t>Métrica</t>
  </si>
  <si>
    <t>Valor</t>
  </si>
  <si>
    <t>Total de facturas</t>
  </si>
  <si>
    <t>Ventas totales (neto)</t>
  </si>
  <si>
    <t>Total IVA recaudado</t>
  </si>
  <si>
    <t>Total Impoconsumo</t>
  </si>
  <si>
    <t>Total recaudado</t>
  </si>
  <si>
    <t>Facturas Enviado DIAN</t>
  </si>
  <si>
    <t>Facturas Pendientes</t>
  </si>
  <si>
    <t>Ventas EFECTIVO</t>
  </si>
  <si>
    <t>Ventas TRANSFERENCIA</t>
  </si>
  <si>
    <t>Ventas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</si>
</sst>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AAAAAA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1E8449"/>
      <name val="Arial"/>
      <charset val="1"/>
    </font>
    <font>
      <b/>
      <sz val="9"/>
      <color rgb="FFCA6F1E"/>
      <name val="Arial"/>
      <charset val="1"/>
    </font>
    <font>
      <b/>
      <sz val="14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D2137"/>
        <bgColor rgb="FF333333"/>
      </patternFill>
    </fill>
    <fill>
      <patternFill patternType="solid">
        <fgColor rgb="FFF0F4F8"/>
        <bgColor rgb="FFEBF5FB"/>
      </patternFill>
    </fill>
    <fill>
      <patternFill patternType="solid">
        <fgColor rgb="FF1E3A5F"/>
        <bgColor rgb="FF333333"/>
      </patternFill>
    </fill>
    <fill>
      <patternFill patternType="solid">
        <fgColor rgb="FFFFFFFF"/>
        <bgColor rgb="FFFDFEFE"/>
      </patternFill>
    </fill>
    <fill>
      <patternFill patternType="solid">
        <fgColor rgb="FFEAF4FB"/>
        <bgColor rgb="FFEBF5FB"/>
      </patternFill>
    </fill>
    <fill>
      <patternFill patternType="solid">
        <fgColor rgb="FFD5F5E3"/>
        <bgColor rgb="FFEAF4FB"/>
      </patternFill>
    </fill>
    <fill>
      <patternFill patternType="solid">
        <fgColor rgb="FFEBF5FB"/>
        <bgColor rgb="FFEAF4FB"/>
      </patternFill>
    </fill>
    <fill>
      <patternFill patternType="solid">
        <fgColor rgb="FFFDFEFE"/>
        <bgColor rgb="FFFFFFFF"/>
      </patternFill>
    </fill>
    <fill>
      <patternFill patternType="solid">
        <fgColor rgb="FFFDEBD0"/>
        <bgColor rgb="FFF5EEF8"/>
      </patternFill>
    </fill>
    <fill>
      <patternFill patternType="solid">
        <fgColor rgb="FFF5EEF8"/>
        <bgColor rgb="FFF0F4F8"/>
      </patternFill>
    </fill>
    <fill>
      <patternFill patternType="solid">
        <fgColor rgb="FF1ABC9C"/>
        <bgColor rgb="FF00CCFF"/>
      </patternFill>
    </fill>
    <fill>
      <patternFill patternType="solid">
        <fgColor rgb="FF2E86C1"/>
        <bgColor rgb="FF008080"/>
      </patternFill>
    </fill>
  </fills>
  <borders count="2">
    <border>
      <left/>
      <right/>
      <top/>
      <bottom/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164" fontId="4" fillId="8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right" vertical="center"/>
    </xf>
    <xf numFmtId="0" fontId="8" fillId="8" borderId="1" xfId="0" applyFont="1" applyFill="1" applyBorder="1" applyAlignment="1">
      <alignment vertical="center"/>
    </xf>
    <xf numFmtId="164" fontId="9" fillId="8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EAF4FB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FEFE"/>
      <rgbColor rgb="FFAED6F1"/>
      <rgbColor rgb="FFFF99CC"/>
      <rgbColor rgb="FFCC99FF"/>
      <rgbColor rgb="FFF0F4F8"/>
      <rgbColor rgb="FF2E86C1"/>
      <rgbColor rgb="FF1ABC9C"/>
      <rgbColor rgb="FF99CC00"/>
      <rgbColor rgb="FFFFCC00"/>
      <rgbColor rgb="FFFF9900"/>
      <rgbColor rgb="FFCA6F1E"/>
      <rgbColor rgb="FF666699"/>
      <rgbColor rgb="FFAAAAAA"/>
      <rgbColor rgb="FF1E3A5F"/>
      <rgbColor rgb="FF1E8449"/>
      <rgbColor rgb="FF0D213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zoomScaleNormal="100" workbookViewId="0">
      <pane ySplit="4" topLeftCell="A5" activePane="bottomLeft" state="frozen"/>
      <selection pane="bottomLeft" activeCell="D20" sqref="D20"/>
    </sheetView>
  </sheetViews>
  <sheetFormatPr baseColWidth="10" defaultColWidth="8.7109375" defaultRowHeight="15" x14ac:dyDescent="0.25"/>
  <cols>
    <col min="1" max="1" width="12" customWidth="1"/>
    <col min="2" max="2" width="13" customWidth="1"/>
    <col min="3" max="3" width="9" customWidth="1"/>
    <col min="4" max="4" width="38" customWidth="1"/>
    <col min="5" max="5" width="14" customWidth="1"/>
    <col min="6" max="6" width="10" customWidth="1"/>
    <col min="7" max="8" width="14" customWidth="1"/>
    <col min="9" max="9" width="17" customWidth="1"/>
    <col min="10" max="10" width="16" customWidth="1"/>
    <col min="11" max="11" width="22" customWidth="1"/>
  </cols>
  <sheetData>
    <row r="1" spans="1:11" ht="36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8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6" customHeight="1" x14ac:dyDescent="0.25"/>
    <row r="4" spans="1:11" ht="27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19.5" customHeight="1" x14ac:dyDescent="0.25">
      <c r="A5" s="2"/>
      <c r="B5" s="2"/>
      <c r="C5" s="2"/>
      <c r="D5" s="3"/>
      <c r="E5" s="4"/>
      <c r="F5" s="4"/>
      <c r="G5" s="4"/>
      <c r="H5" s="4"/>
      <c r="I5" s="5"/>
      <c r="J5" s="6"/>
      <c r="K5" s="7"/>
    </row>
    <row r="6" spans="1:11" ht="19.5" customHeight="1" x14ac:dyDescent="0.25">
      <c r="A6" s="8"/>
      <c r="B6" s="8"/>
      <c r="C6" s="8"/>
      <c r="D6" s="9"/>
      <c r="E6" s="10"/>
      <c r="F6" s="10"/>
      <c r="G6" s="10"/>
      <c r="H6" s="10"/>
      <c r="I6" s="11"/>
      <c r="J6" s="12"/>
      <c r="K6" s="13"/>
    </row>
    <row r="7" spans="1:11" ht="19.5" customHeight="1" x14ac:dyDescent="0.25">
      <c r="A7" s="2"/>
      <c r="B7" s="2"/>
      <c r="C7" s="2"/>
      <c r="D7" s="3"/>
      <c r="E7" s="4"/>
      <c r="F7" s="4"/>
      <c r="G7" s="4"/>
      <c r="H7" s="4"/>
      <c r="I7" s="5"/>
      <c r="J7" s="6"/>
      <c r="K7" s="7"/>
    </row>
    <row r="8" spans="1:11" ht="19.5" customHeight="1" x14ac:dyDescent="0.25">
      <c r="A8" s="8"/>
      <c r="B8" s="8"/>
      <c r="C8" s="8"/>
      <c r="D8" s="9"/>
      <c r="E8" s="10"/>
      <c r="F8" s="10"/>
      <c r="G8" s="10"/>
      <c r="H8" s="10"/>
      <c r="I8" s="14"/>
      <c r="J8" s="6"/>
      <c r="K8" s="13"/>
    </row>
    <row r="9" spans="1:11" ht="19.5" customHeight="1" x14ac:dyDescent="0.25">
      <c r="A9" s="2"/>
      <c r="B9" s="2"/>
      <c r="C9" s="2"/>
      <c r="D9" s="3"/>
      <c r="E9" s="4"/>
      <c r="F9" s="4"/>
      <c r="G9" s="4"/>
      <c r="H9" s="4"/>
      <c r="I9" s="5"/>
      <c r="J9" s="6"/>
      <c r="K9" s="7"/>
    </row>
    <row r="10" spans="1:11" ht="19.5" customHeight="1" x14ac:dyDescent="0.25">
      <c r="A10" s="8"/>
      <c r="B10" s="8"/>
      <c r="C10" s="8"/>
      <c r="D10" s="9"/>
      <c r="E10" s="10"/>
      <c r="F10" s="10"/>
      <c r="G10" s="10"/>
      <c r="H10" s="10"/>
      <c r="I10" s="11"/>
      <c r="J10" s="12"/>
      <c r="K10" s="13"/>
    </row>
    <row r="11" spans="1:11" ht="19.5" customHeight="1" x14ac:dyDescent="0.25">
      <c r="A11" s="2"/>
      <c r="B11" s="2"/>
      <c r="C11" s="2"/>
      <c r="D11" s="3"/>
      <c r="E11" s="4"/>
      <c r="F11" s="4"/>
      <c r="G11" s="4"/>
      <c r="H11" s="4"/>
      <c r="I11" s="5"/>
      <c r="J11" s="6"/>
      <c r="K11" s="7"/>
    </row>
    <row r="12" spans="1:11" ht="19.5" customHeight="1" x14ac:dyDescent="0.25">
      <c r="A12" s="8"/>
      <c r="B12" s="8"/>
      <c r="C12" s="8"/>
      <c r="D12" s="9"/>
      <c r="E12" s="10"/>
      <c r="F12" s="10"/>
      <c r="G12" s="10"/>
      <c r="H12" s="10"/>
      <c r="I12" s="14"/>
      <c r="J12" s="6"/>
      <c r="K12" s="13"/>
    </row>
    <row r="13" spans="1:11" ht="24" customHeight="1" x14ac:dyDescent="0.25">
      <c r="A13" s="15" t="s">
        <v>13</v>
      </c>
      <c r="B13" s="15"/>
      <c r="C13" s="15"/>
      <c r="D13" s="15" t="str">
        <f>COUNTA(D5:D12) &amp; " líneas"</f>
        <v>0 líneas</v>
      </c>
      <c r="E13" s="16">
        <f>SUM(E5:E12)</f>
        <v>0</v>
      </c>
      <c r="F13" s="16">
        <f>SUM(F5:F12)</f>
        <v>0</v>
      </c>
      <c r="G13" s="16">
        <f>SUM(G5:G12)</f>
        <v>0</v>
      </c>
      <c r="H13" s="16">
        <f>SUM(H5:H12)</f>
        <v>0</v>
      </c>
      <c r="I13" s="15"/>
      <c r="J13" s="15"/>
      <c r="K13" s="15"/>
    </row>
  </sheetData>
  <autoFilter ref="A4:K12" xr:uid="{00000000-0009-0000-0000-000000000000}"/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zoomScaleNormal="100" workbookViewId="0">
      <selection activeCell="B9" sqref="B9"/>
    </sheetView>
  </sheetViews>
  <sheetFormatPr baseColWidth="10" defaultColWidth="8.7109375" defaultRowHeight="15" x14ac:dyDescent="0.25"/>
  <cols>
    <col min="1" max="1" width="28" customWidth="1"/>
    <col min="2" max="2" width="18" customWidth="1"/>
  </cols>
  <sheetData>
    <row r="1" spans="1:5" ht="31.5" customHeight="1" x14ac:dyDescent="0.25">
      <c r="A1" s="26" t="s">
        <v>14</v>
      </c>
      <c r="B1" s="26"/>
      <c r="C1" s="26"/>
      <c r="D1" s="26"/>
      <c r="E1" s="26"/>
    </row>
    <row r="2" spans="1:5" ht="21.75" customHeight="1" x14ac:dyDescent="0.25">
      <c r="A2" s="17" t="s">
        <v>15</v>
      </c>
      <c r="B2" s="17" t="s">
        <v>16</v>
      </c>
    </row>
    <row r="3" spans="1:5" ht="21.75" customHeight="1" x14ac:dyDescent="0.25">
      <c r="A3" s="18" t="s">
        <v>17</v>
      </c>
      <c r="B3" s="19"/>
    </row>
    <row r="4" spans="1:5" ht="21.75" customHeight="1" x14ac:dyDescent="0.25">
      <c r="A4" s="20" t="s">
        <v>18</v>
      </c>
      <c r="B4" s="21">
        <f>SUM('Historial de Ventas'!E5:E12)</f>
        <v>0</v>
      </c>
    </row>
    <row r="5" spans="1:5" ht="21.75" customHeight="1" x14ac:dyDescent="0.25">
      <c r="A5" s="18" t="s">
        <v>19</v>
      </c>
      <c r="B5" s="22">
        <f>SUM('Historial de Ventas'!F5:F12)</f>
        <v>0</v>
      </c>
    </row>
    <row r="6" spans="1:5" ht="21.75" customHeight="1" x14ac:dyDescent="0.25">
      <c r="A6" s="20" t="s">
        <v>20</v>
      </c>
      <c r="B6" s="21">
        <f>SUM('Historial de Ventas'!G5:G12)</f>
        <v>0</v>
      </c>
    </row>
    <row r="7" spans="1:5" ht="21.75" customHeight="1" x14ac:dyDescent="0.25">
      <c r="A7" s="18" t="s">
        <v>21</v>
      </c>
      <c r="B7" s="22">
        <f>SUM('Historial de Ventas'!H5:H12)</f>
        <v>0</v>
      </c>
    </row>
    <row r="8" spans="1:5" ht="21.75" customHeight="1" x14ac:dyDescent="0.25">
      <c r="A8" s="20" t="s">
        <v>22</v>
      </c>
      <c r="B8" s="23"/>
    </row>
    <row r="9" spans="1:5" ht="21.75" customHeight="1" x14ac:dyDescent="0.25">
      <c r="A9" s="18" t="s">
        <v>23</v>
      </c>
      <c r="B9" s="19"/>
    </row>
    <row r="10" spans="1:5" ht="21.75" customHeight="1" x14ac:dyDescent="0.25">
      <c r="A10" s="20" t="s">
        <v>24</v>
      </c>
      <c r="B10" s="21">
        <f>SUMIF('Historial de Ventas'!I5:I12,"EFECTIVO",'Historial de Ventas'!H5:H12)</f>
        <v>0</v>
      </c>
    </row>
    <row r="11" spans="1:5" ht="21.75" customHeight="1" x14ac:dyDescent="0.25">
      <c r="A11" s="18" t="s">
        <v>25</v>
      </c>
      <c r="B11" s="22">
        <f>SUMIF('Historial de Ventas'!I5:I12,"TRANSFERENCIA",'Historial de Ventas'!H5:H12)</f>
        <v>0</v>
      </c>
    </row>
    <row r="12" spans="1:5" ht="21.75" customHeight="1" x14ac:dyDescent="0.25">
      <c r="A12" s="20" t="s">
        <v>26</v>
      </c>
      <c r="B12" s="21">
        <f>SUMIF('Historial de Ventas'!I5:I12,"TARJETA",'Historial de Ventas'!H5:H12)</f>
        <v>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Historial de Ventas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</cp:lastModifiedBy>
  <cp:revision>0</cp:revision>
  <dcterms:created xsi:type="dcterms:W3CDTF">2026-06-01T04:27:18Z</dcterms:created>
  <dcterms:modified xsi:type="dcterms:W3CDTF">2026-06-01T04:54:06Z</dcterms:modified>
  <dc:language>en-US</dc:language>
</cp:coreProperties>
</file>