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e11963985543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512725918ed24363"/>
    <x:sheet xmlns:r="http://schemas.openxmlformats.org/officeDocument/2006/relationships" name="Desgloses" sheetId="2" r:id="Rc200d9f3d85c49f5"/>
    <x:sheet xmlns:r="http://schemas.openxmlformats.org/officeDocument/2006/relationships" name="Ventas" sheetId="3" r:id="R0ae13c5a20be4b9b"/>
    <x:sheet xmlns:r="http://schemas.openxmlformats.org/officeDocument/2006/relationships" name="Gastos" sheetId="4" r:id="Ra189df9c93d347cd"/>
    <x:sheet xmlns:r="http://schemas.openxmlformats.org/officeDocument/2006/relationships" name="Patrimonio" sheetId="5" r:id="Ra4fa25496e2b41ab"/>
    <x:sheet xmlns:r="http://schemas.openxmlformats.org/officeDocument/2006/relationships" name="Guía" sheetId="6" r:id="Rc998d74141ef435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dd/mm/yyyy"/>
    <x:numFmt numFmtId="201" formatCode="#,##0"/>
    <x:numFmt numFmtId="202" formatCode="#,##0;(#,##0);&quot;—&quot;"/>
    <x:numFmt numFmtId="203" formatCode="mmm-yy"/>
    <x:numFmt numFmtId="204" formatCode="0"/>
  </x:numFmts>
  <x:fonts count="7">
    <x:font>
      <x:sz val="11"/>
      <x:name val="Carlito"/>
    </x:font>
    <x:font>
      <x:sz val="10"/>
      <x:color rgb="FF172B4D"/>
      <x:name val="Arial"/>
    </x:font>
    <x:font>
      <x:b/>
      <x:sz val="16"/>
      <x:color rgb="FF142C50"/>
      <x:name val="Arial"/>
    </x:font>
    <x:font>
      <x:b/>
      <x:sz val="10"/>
      <x:color rgb="FFFFFFFF"/>
      <x:name val="Arial"/>
    </x:font>
    <x:font>
      <x:sz val="10"/>
      <x:color rgb="FF1755A1"/>
      <x:name val="Arial"/>
    </x:font>
    <x:font>
      <x:b/>
      <x:sz val="10"/>
      <x:color rgb="FF172B4D"/>
      <x:name val="Arial"/>
    </x:font>
    <x:font>
      <x:sz val="11"/>
      <x:color rgb="FF1755A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3759"/>
      </x:patternFill>
    </x:fill>
    <x:fill>
      <x:patternFill patternType="solid">
        <x:fgColor rgb="FFE7EFF7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B9CBDD"/>
      </x:bottom>
      <x:diagonal/>
    </x:border>
  </x:borders>
  <x:cellStyleXfs count="1">
    <x:xf numFmtId="0" fontId="0" fillId="0" borderId="0"/>
  </x:cellStyleXfs>
  <x:cellXfs count="3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/>
    <x:xf numFmtId="201" fontId="4" fillId="0" borderId="0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/>
    <x:xf numFmtId="202" fontId="4" fillId="0" borderId="0" xfId="0" applyNumberFormat="1" applyFont="1" applyFill="1" applyBorder="1" applyAlignment="1">
      <x:alignment vertical="center"/>
    </x:xf>
    <x:xf numFmtId="202" fontId="4" fillId="0" borderId="0" xfId="0" applyNumberFormat="1" applyFont="1" applyFill="1" applyBorder="1"/>
    <x:xf numFmtId="202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4" fontId="5" fillId="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202" fontId="3" fillId="2" borderId="0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color rgb="FF8B4E00"/>
      </x:font>
      <x:fill>
        <x:patternFill patternType="solid">
          <x:bgColor rgb="FFFFF0D9"/>
        </x:patternFill>
      </x:fill>
    </x:dxf>
    <x:dxf>
      <x:font>
        <x:b/>
        <x:color rgb="FFA32020"/>
      </x:font>
      <x:fill>
        <x:patternFill patternType="solid">
          <x:bgColor rgb="FFFDE8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56e14a89354380" /><Relationship Type="http://schemas.openxmlformats.org/officeDocument/2006/relationships/theme" Target="/xl/theme/theme1.xml" Id="R943ffa2dc30c4071" /><Relationship Type="http://schemas.openxmlformats.org/officeDocument/2006/relationships/sharedStrings" Target="/xl/sharedStrings.xml" Id="Rd8f3dcaddcb244e8" /><Relationship Type="http://schemas.openxmlformats.org/officeDocument/2006/relationships/worksheet" Target="/xl/worksheets/sheet1.xml" Id="R512725918ed24363" /><Relationship Type="http://schemas.openxmlformats.org/officeDocument/2006/relationships/worksheet" Target="/xl/worksheets/sheet2.xml" Id="Rc200d9f3d85c49f5" /><Relationship Type="http://schemas.openxmlformats.org/officeDocument/2006/relationships/worksheet" Target="/xl/worksheets/sheet3.xml" Id="R0ae13c5a20be4b9b" /><Relationship Type="http://schemas.openxmlformats.org/officeDocument/2006/relationships/worksheet" Target="/xl/worksheets/sheet4.xml" Id="Ra189df9c93d347cd" /><Relationship Type="http://schemas.openxmlformats.org/officeDocument/2006/relationships/worksheet" Target="/xl/worksheets/sheet5.xml" Id="Ra4fa25496e2b41ab" /><Relationship Type="http://schemas.openxmlformats.org/officeDocument/2006/relationships/worksheet" Target="/xl/worksheets/sheet6.xml" Id="Rc998d74141ef435d" /></Relationships>
</file>

<file path=xl/tables/table1.xml><?xml version="1.0" encoding="utf-8"?>
<x:table xmlns:x="http://schemas.openxmlformats.org/spreadsheetml/2006/main" id="4" name="ProductosPorPresentacion" displayName="ProductosPorPresentacion" ref="D6:H206" headerRowCount="1" totalsRowCount="0" totalsRowShown="0">
  <x:tableColumns count="5">
    <x:tableColumn id="1" name="Producto ID"/>
    <x:tableColumn id="2" name="Producto"/>
    <x:tableColumn id="3" name="Presentación"/>
    <x:tableColumn id="4" name="Cantidad vendida"/>
    <x:tableColumn id="5" name="Ingreso sin impuestos COP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TablaVentas" displayName="TablaVentas" ref="A6:R1006" headerRowCount="1" totalsRowCount="0" totalsRowShown="0">
  <x:autoFilter ref="A6:R1006"/>
  <x:tableColumns count="18">
    <x:tableColumn id="1" name="Fecha Bogotá"/>
    <x:tableColumn id="2" name="Venta ID"/>
    <x:tableColumn id="3" name="Línea ID"/>
    <x:tableColumn id="4" name="Estado"/>
    <x:tableColumn id="5" name="Vendedor"/>
    <x:tableColumn id="6" name="Producto ID"/>
    <x:tableColumn id="7" name="Producto"/>
    <x:tableColumn id="8" name="Presentación"/>
    <x:tableColumn id="9" name="Cantidad presentaciones"/>
    <x:tableColumn id="10" name="Ingreso sin impuestos COP"/>
    <x:tableColumn id="11" name="Impuestos recaudados COP"/>
    <x:tableColumn id="12" name="Total línea COP"/>
    <x:tableColumn id="13" name="Costo histórico línea COP"/>
    <x:tableColumn id="14" name="Utilidad bruta COP"/>
    <x:tableColumn id="15" name="Medio de pago"/>
    <x:tableColumn id="16" name="Soporte"/>
    <x:tableColumn id="17" name="Revisión"/>
    <x:tableColumn id="18" name="Costo ausente (1)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TablaGastos" displayName="TablaGastos" ref="A6:K1006" headerRowCount="1" totalsRowCount="0" totalsRowShown="0">
  <x:autoFilter ref="A6:K1006"/>
  <x:tableColumns count="11">
    <x:tableColumn id="1" name="Fecha Bogotá"/>
    <x:tableColumn id="2" name="Documento ID"/>
    <x:tableColumn id="3" name="Tercero"/>
    <x:tableColumn id="4" name="Concepto"/>
    <x:tableColumn id="5" name="Categoría"/>
    <x:tableColumn id="6" name="Gasto sin impuestos COP"/>
    <x:tableColumn id="7" name="Impuesto COP"/>
    <x:tableColumn id="8" name="Total COP"/>
    <x:tableColumn id="9" name="Medio de pago"/>
    <x:tableColumn id="10" name="Soporte"/>
    <x:tableColumn id="11" name="Revisión fiscal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TablaPatrimonio" displayName="TablaPatrimonio" ref="A6:H1006" headerRowCount="1" totalsRowCount="0" totalsRowShown="0">
  <x:autoFilter ref="A6:H1006"/>
  <x:tableColumns count="8">
    <x:tableColumn id="1" name="Fecha de corte"/>
    <x:tableColumn id="2" name="Referencia"/>
    <x:tableColumn id="3" name="Tipo"/>
    <x:tableColumn id="4" name="Descripción"/>
    <x:tableColumn id="5" name="Valor contable COP"/>
    <x:tableColumn id="6" name="Valor fiscal COP"/>
    <x:tableColumn id="7" name="Soporte"/>
    <x:tableColumn id="8" name="Observaciones del contador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a7a606107e54d7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9f2521c936346e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11de9357cbb49e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2d9227681fb4a2d" /></Relationships>
</file>

<file path=xl/worksheets/sheet1.xml><?xml version="1.0" encoding="utf-8"?>
<x:worksheet xmlns:x="http://schemas.openxmlformats.org/spreadsheetml/2006/main">
  <x:sheetPr>
    <x:tabColor rgb="FF173759"/>
  </x:sheetPr>
  <x:sheetViews>
    <x:sheetView showGridLines="0" workbookViewId="0"/>
  </x:sheetViews>
  <x:sheetFormatPr defaultRowHeight="15"/>
  <x:cols>
    <x:col min="1" max="1" width="2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Dusema POS · Resumen del negocio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</x:row>
    <x:row r="4">
      <x:c r="A4" s="2" t="str">
        <x:v>Año</x:v>
      </x:c>
      <x:c r="B4" s="8" t="n">
        <x:v>2026</x:v>
      </x:c>
      <x:c r="C4" s="2"/>
      <x:c r="D4" s="18" t="str">
        <x:v>Plantilla vacía. COP nominales. Utilidad bruta: ingreso sin impuestos menos costo histórico vendido. Resultado tras gastos: parcial; no es renta líquida ni impuesto a pagar.</x:v>
      </x:c>
      <x:c r="E4" s="18"/>
      <x:c r="F4" s="18"/>
      <x:c r="G4" s="18"/>
      <x:c r="H4" s="18"/>
      <x:c r="I4" s="18"/>
      <x:c r="J4" s="18"/>
    </x:row>
    <x:row r="5">
      <x:c r="A5" s="2" t="str">
        <x:v>Gastos del año completos</x:v>
      </x:c>
      <x:c r="B5" s="8" t="str">
        <x:v>No</x:v>
      </x:c>
      <x:c r="C5" s="2"/>
      <x:c r="D5" s="18"/>
      <x:c r="E5" s="18"/>
      <x:c r="F5" s="18"/>
      <x:c r="G5" s="18"/>
      <x:c r="H5" s="18"/>
      <x:c r="I5" s="18"/>
      <x:c r="J5" s="18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</x:row>
    <x:row r="8" ht="34" customHeight="1">
      <x:c r="A8" s="7" t="str">
        <x:v>Mes</x:v>
      </x:c>
      <x:c r="B8" s="7" t="str">
        <x:v>Ingreso sin impuestos</x:v>
      </x:c>
      <x:c r="C8" s="7" t="str">
        <x:v>Impuestos recaudados</x:v>
      </x:c>
      <x:c r="D8" s="7" t="str">
        <x:v>Cobro de ventas</x:v>
      </x:c>
      <x:c r="E8" s="7" t="str">
        <x:v>Costo registrado</x:v>
      </x:c>
      <x:c r="F8" s="7" t="str">
        <x:v>Líneas sin costo</x:v>
      </x:c>
      <x:c r="G8" s="7" t="str">
        <x:v>Utilidad bruta</x:v>
      </x:c>
      <x:c r="H8" s="7" t="str">
        <x:v>Gastos registrados</x:v>
      </x:c>
      <x:c r="I8" s="7" t="str">
        <x:v>Resultado tras gastos</x:v>
      </x:c>
      <x:c r="J8" s="7" t="str">
        <x:v>Líneas pagadas</x:v>
      </x:c>
    </x:row>
    <x:row r="9">
      <x:c r="A9" s="19" t="n">
        <x:f>DATE($B$4,1,1)</x:f>
        <x:v>46023</x:v>
      </x:c>
      <x:c r="B9" s="16" t="n">
        <x:f>SUMIFS('Ventas'!$J$7:$J$1006,'Ventas'!$A$7:$A$1006,"&gt;="&amp;$A9,'Ventas'!$A$7:$A$1006,"&lt;"&amp;EDATE($A9,1),'Ventas'!$D$7:$D$1006,"pagada")</x:f>
        <x:v>0</x:v>
      </x:c>
      <x:c r="C9" s="16" t="n">
        <x:f>SUMIFS('Ventas'!$K$7:$K$1006,'Ventas'!$A$7:$A$1006,"&gt;="&amp;$A9,'Ventas'!$A$7:$A$1006,"&lt;"&amp;EDATE($A9,1),'Ventas'!$D$7:$D$1006,"pagada")</x:f>
        <x:v>0</x:v>
      </x:c>
      <x:c r="D9" s="16" t="n">
        <x:f>SUMIFS('Ventas'!$L$7:$L$1006,'Ventas'!$A$7:$A$1006,"&gt;="&amp;$A9,'Ventas'!$A$7:$A$1006,"&lt;"&amp;EDATE($A9,1),'Ventas'!$D$7:$D$1006,"pagada")</x:f>
        <x:v>0</x:v>
      </x:c>
      <x:c r="E9" s="16" t="n">
        <x:f>SUMIFS('Ventas'!$M$7:$M$1006,'Ventas'!$A$7:$A$1006,"&gt;="&amp;$A9,'Ventas'!$A$7:$A$1006,"&lt;"&amp;EDATE($A9,1),'Ventas'!$D$7:$D$1006,"pagada")</x:f>
        <x:v>0</x:v>
      </x:c>
      <x:c r="F9" s="20" t="n">
        <x:f>SUMIFS('Ventas'!$R$7:$R$1006,'Ventas'!$A$7:$A$1006,"&gt;="&amp;$A9,'Ventas'!$A$7:$A$1006,"&lt;"&amp;EDATE($A9,1),'Ventas'!$D$7:$D$1006,"pagada")</x:f>
        <x:v>0</x:v>
      </x:c>
      <x:c r="G9" s="16" t="str">
        <x:f>IF(OR(J9=0,F9&gt;0),"",B9-E9)</x:f>
      </x:c>
      <x:c r="H9" s="16" t="n">
        <x:f>SUMIFS('Gastos'!$F$7:$F$1006,'Gastos'!$A$7:$A$1006,"&gt;="&amp;$A9,'Gastos'!$A$7:$A$1006,"&lt;"&amp;EDATE($A9,1))</x:f>
        <x:v>0</x:v>
      </x:c>
      <x:c r="I9" s="16" t="str">
        <x:f>IF(OR(NOT(ISNUMBER(G9)),$B$5&lt;&gt;"Sí"),"",G9-H9)</x:f>
      </x:c>
      <x:c r="J9" s="20" t="n">
        <x:f>COUNTIFS('Ventas'!$A$7:$A$1006,"&gt;="&amp;$A9,'Ventas'!$A$7:$A$1006,"&lt;"&amp;EDATE($A9,1),'Ventas'!$D$7:$D$1006,"pagada")</x:f>
        <x:v>0</x:v>
      </x:c>
    </x:row>
    <x:row r="10">
      <x:c r="A10" s="19" t="n">
        <x:f>DATE($B$4,2,1)</x:f>
        <x:v>46054</x:v>
      </x:c>
      <x:c r="B10" s="16" t="n">
        <x:f>SUMIFS('Ventas'!$J$7:$J$1006,'Ventas'!$A$7:$A$1006,"&gt;="&amp;$A10,'Ventas'!$A$7:$A$1006,"&lt;"&amp;EDATE($A10,1),'Ventas'!$D$7:$D$1006,"pagada")</x:f>
        <x:v>0</x:v>
      </x:c>
      <x:c r="C10" s="16" t="n">
        <x:f>SUMIFS('Ventas'!$K$7:$K$1006,'Ventas'!$A$7:$A$1006,"&gt;="&amp;$A10,'Ventas'!$A$7:$A$1006,"&lt;"&amp;EDATE($A10,1),'Ventas'!$D$7:$D$1006,"pagada")</x:f>
        <x:v>0</x:v>
      </x:c>
      <x:c r="D10" s="16" t="n">
        <x:f>SUMIFS('Ventas'!$L$7:$L$1006,'Ventas'!$A$7:$A$1006,"&gt;="&amp;$A10,'Ventas'!$A$7:$A$1006,"&lt;"&amp;EDATE($A10,1),'Ventas'!$D$7:$D$1006,"pagada")</x:f>
        <x:v>0</x:v>
      </x:c>
      <x:c r="E10" s="16" t="n">
        <x:f>SUMIFS('Ventas'!$M$7:$M$1006,'Ventas'!$A$7:$A$1006,"&gt;="&amp;$A10,'Ventas'!$A$7:$A$1006,"&lt;"&amp;EDATE($A10,1),'Ventas'!$D$7:$D$1006,"pagada")</x:f>
        <x:v>0</x:v>
      </x:c>
      <x:c r="F10" s="20" t="n">
        <x:f>SUMIFS('Ventas'!$R$7:$R$1006,'Ventas'!$A$7:$A$1006,"&gt;="&amp;$A10,'Ventas'!$A$7:$A$1006,"&lt;"&amp;EDATE($A10,1),'Ventas'!$D$7:$D$1006,"pagada")</x:f>
        <x:v>0</x:v>
      </x:c>
      <x:c r="G10" s="16" t="str">
        <x:f>IF(OR(J10=0,F10&gt;0),"",B10-E10)</x:f>
      </x:c>
      <x:c r="H10" s="16" t="n">
        <x:f>SUMIFS('Gastos'!$F$7:$F$1006,'Gastos'!$A$7:$A$1006,"&gt;="&amp;$A10,'Gastos'!$A$7:$A$1006,"&lt;"&amp;EDATE($A10,1))</x:f>
        <x:v>0</x:v>
      </x:c>
      <x:c r="I10" s="16" t="str">
        <x:f>IF(OR(NOT(ISNUMBER(G10)),$B$5&lt;&gt;"Sí"),"",G10-H10)</x:f>
      </x:c>
      <x:c r="J10" s="20" t="n">
        <x:f>COUNTIFS('Ventas'!$A$7:$A$1006,"&gt;="&amp;$A10,'Ventas'!$A$7:$A$1006,"&lt;"&amp;EDATE($A10,1),'Ventas'!$D$7:$D$1006,"pagada")</x:f>
        <x:v>0</x:v>
      </x:c>
    </x:row>
    <x:row r="11">
      <x:c r="A11" s="19" t="n">
        <x:f>DATE($B$4,3,1)</x:f>
        <x:v>46082</x:v>
      </x:c>
      <x:c r="B11" s="16" t="n">
        <x:f>SUMIFS('Ventas'!$J$7:$J$1006,'Ventas'!$A$7:$A$1006,"&gt;="&amp;$A11,'Ventas'!$A$7:$A$1006,"&lt;"&amp;EDATE($A11,1),'Ventas'!$D$7:$D$1006,"pagada")</x:f>
        <x:v>0</x:v>
      </x:c>
      <x:c r="C11" s="16" t="n">
        <x:f>SUMIFS('Ventas'!$K$7:$K$1006,'Ventas'!$A$7:$A$1006,"&gt;="&amp;$A11,'Ventas'!$A$7:$A$1006,"&lt;"&amp;EDATE($A11,1),'Ventas'!$D$7:$D$1006,"pagada")</x:f>
        <x:v>0</x:v>
      </x:c>
      <x:c r="D11" s="16" t="n">
        <x:f>SUMIFS('Ventas'!$L$7:$L$1006,'Ventas'!$A$7:$A$1006,"&gt;="&amp;$A11,'Ventas'!$A$7:$A$1006,"&lt;"&amp;EDATE($A11,1),'Ventas'!$D$7:$D$1006,"pagada")</x:f>
        <x:v>0</x:v>
      </x:c>
      <x:c r="E11" s="16" t="n">
        <x:f>SUMIFS('Ventas'!$M$7:$M$1006,'Ventas'!$A$7:$A$1006,"&gt;="&amp;$A11,'Ventas'!$A$7:$A$1006,"&lt;"&amp;EDATE($A11,1),'Ventas'!$D$7:$D$1006,"pagada")</x:f>
        <x:v>0</x:v>
      </x:c>
      <x:c r="F11" s="20" t="n">
        <x:f>SUMIFS('Ventas'!$R$7:$R$1006,'Ventas'!$A$7:$A$1006,"&gt;="&amp;$A11,'Ventas'!$A$7:$A$1006,"&lt;"&amp;EDATE($A11,1),'Ventas'!$D$7:$D$1006,"pagada")</x:f>
        <x:v>0</x:v>
      </x:c>
      <x:c r="G11" s="16" t="str">
        <x:f>IF(OR(J11=0,F11&gt;0),"",B11-E11)</x:f>
      </x:c>
      <x:c r="H11" s="16" t="n">
        <x:f>SUMIFS('Gastos'!$F$7:$F$1006,'Gastos'!$A$7:$A$1006,"&gt;="&amp;$A11,'Gastos'!$A$7:$A$1006,"&lt;"&amp;EDATE($A11,1))</x:f>
        <x:v>0</x:v>
      </x:c>
      <x:c r="I11" s="16" t="str">
        <x:f>IF(OR(NOT(ISNUMBER(G11)),$B$5&lt;&gt;"Sí"),"",G11-H11)</x:f>
      </x:c>
      <x:c r="J11" s="20" t="n">
        <x:f>COUNTIFS('Ventas'!$A$7:$A$1006,"&gt;="&amp;$A11,'Ventas'!$A$7:$A$1006,"&lt;"&amp;EDATE($A11,1),'Ventas'!$D$7:$D$1006,"pagada")</x:f>
        <x:v>0</x:v>
      </x:c>
    </x:row>
    <x:row r="12">
      <x:c r="A12" s="19" t="n">
        <x:f>DATE($B$4,4,1)</x:f>
        <x:v>46113</x:v>
      </x:c>
      <x:c r="B12" s="16" t="n">
        <x:f>SUMIFS('Ventas'!$J$7:$J$1006,'Ventas'!$A$7:$A$1006,"&gt;="&amp;$A12,'Ventas'!$A$7:$A$1006,"&lt;"&amp;EDATE($A12,1),'Ventas'!$D$7:$D$1006,"pagada")</x:f>
        <x:v>0</x:v>
      </x:c>
      <x:c r="C12" s="16" t="n">
        <x:f>SUMIFS('Ventas'!$K$7:$K$1006,'Ventas'!$A$7:$A$1006,"&gt;="&amp;$A12,'Ventas'!$A$7:$A$1006,"&lt;"&amp;EDATE($A12,1),'Ventas'!$D$7:$D$1006,"pagada")</x:f>
        <x:v>0</x:v>
      </x:c>
      <x:c r="D12" s="16" t="n">
        <x:f>SUMIFS('Ventas'!$L$7:$L$1006,'Ventas'!$A$7:$A$1006,"&gt;="&amp;$A12,'Ventas'!$A$7:$A$1006,"&lt;"&amp;EDATE($A12,1),'Ventas'!$D$7:$D$1006,"pagada")</x:f>
        <x:v>0</x:v>
      </x:c>
      <x:c r="E12" s="16" t="n">
        <x:f>SUMIFS('Ventas'!$M$7:$M$1006,'Ventas'!$A$7:$A$1006,"&gt;="&amp;$A12,'Ventas'!$A$7:$A$1006,"&lt;"&amp;EDATE($A12,1),'Ventas'!$D$7:$D$1006,"pagada")</x:f>
        <x:v>0</x:v>
      </x:c>
      <x:c r="F12" s="20" t="n">
        <x:f>SUMIFS('Ventas'!$R$7:$R$1006,'Ventas'!$A$7:$A$1006,"&gt;="&amp;$A12,'Ventas'!$A$7:$A$1006,"&lt;"&amp;EDATE($A12,1),'Ventas'!$D$7:$D$1006,"pagada")</x:f>
        <x:v>0</x:v>
      </x:c>
      <x:c r="G12" s="16" t="str">
        <x:f>IF(OR(J12=0,F12&gt;0),"",B12-E12)</x:f>
      </x:c>
      <x:c r="H12" s="16" t="n">
        <x:f>SUMIFS('Gastos'!$F$7:$F$1006,'Gastos'!$A$7:$A$1006,"&gt;="&amp;$A12,'Gastos'!$A$7:$A$1006,"&lt;"&amp;EDATE($A12,1))</x:f>
        <x:v>0</x:v>
      </x:c>
      <x:c r="I12" s="16" t="str">
        <x:f>IF(OR(NOT(ISNUMBER(G12)),$B$5&lt;&gt;"Sí"),"",G12-H12)</x:f>
      </x:c>
      <x:c r="J12" s="20" t="n">
        <x:f>COUNTIFS('Ventas'!$A$7:$A$1006,"&gt;="&amp;$A12,'Ventas'!$A$7:$A$1006,"&lt;"&amp;EDATE($A12,1),'Ventas'!$D$7:$D$1006,"pagada")</x:f>
        <x:v>0</x:v>
      </x:c>
    </x:row>
    <x:row r="13">
      <x:c r="A13" s="19" t="n">
        <x:f>DATE($B$4,5,1)</x:f>
        <x:v>46143</x:v>
      </x:c>
      <x:c r="B13" s="16" t="n">
        <x:f>SUMIFS('Ventas'!$J$7:$J$1006,'Ventas'!$A$7:$A$1006,"&gt;="&amp;$A13,'Ventas'!$A$7:$A$1006,"&lt;"&amp;EDATE($A13,1),'Ventas'!$D$7:$D$1006,"pagada")</x:f>
        <x:v>0</x:v>
      </x:c>
      <x:c r="C13" s="16" t="n">
        <x:f>SUMIFS('Ventas'!$K$7:$K$1006,'Ventas'!$A$7:$A$1006,"&gt;="&amp;$A13,'Ventas'!$A$7:$A$1006,"&lt;"&amp;EDATE($A13,1),'Ventas'!$D$7:$D$1006,"pagada")</x:f>
        <x:v>0</x:v>
      </x:c>
      <x:c r="D13" s="16" t="n">
        <x:f>SUMIFS('Ventas'!$L$7:$L$1006,'Ventas'!$A$7:$A$1006,"&gt;="&amp;$A13,'Ventas'!$A$7:$A$1006,"&lt;"&amp;EDATE($A13,1),'Ventas'!$D$7:$D$1006,"pagada")</x:f>
        <x:v>0</x:v>
      </x:c>
      <x:c r="E13" s="16" t="n">
        <x:f>SUMIFS('Ventas'!$M$7:$M$1006,'Ventas'!$A$7:$A$1006,"&gt;="&amp;$A13,'Ventas'!$A$7:$A$1006,"&lt;"&amp;EDATE($A13,1),'Ventas'!$D$7:$D$1006,"pagada")</x:f>
        <x:v>0</x:v>
      </x:c>
      <x:c r="F13" s="20" t="n">
        <x:f>SUMIFS('Ventas'!$R$7:$R$1006,'Ventas'!$A$7:$A$1006,"&gt;="&amp;$A13,'Ventas'!$A$7:$A$1006,"&lt;"&amp;EDATE($A13,1),'Ventas'!$D$7:$D$1006,"pagada")</x:f>
        <x:v>0</x:v>
      </x:c>
      <x:c r="G13" s="16" t="str">
        <x:f>IF(OR(J13=0,F13&gt;0),"",B13-E13)</x:f>
      </x:c>
      <x:c r="H13" s="16" t="n">
        <x:f>SUMIFS('Gastos'!$F$7:$F$1006,'Gastos'!$A$7:$A$1006,"&gt;="&amp;$A13,'Gastos'!$A$7:$A$1006,"&lt;"&amp;EDATE($A13,1))</x:f>
        <x:v>0</x:v>
      </x:c>
      <x:c r="I13" s="16" t="str">
        <x:f>IF(OR(NOT(ISNUMBER(G13)),$B$5&lt;&gt;"Sí"),"",G13-H13)</x:f>
      </x:c>
      <x:c r="J13" s="20" t="n">
        <x:f>COUNTIFS('Ventas'!$A$7:$A$1006,"&gt;="&amp;$A13,'Ventas'!$A$7:$A$1006,"&lt;"&amp;EDATE($A13,1),'Ventas'!$D$7:$D$1006,"pagada")</x:f>
        <x:v>0</x:v>
      </x:c>
    </x:row>
    <x:row r="14">
      <x:c r="A14" s="19" t="n">
        <x:f>DATE($B$4,6,1)</x:f>
        <x:v>46174</x:v>
      </x:c>
      <x:c r="B14" s="16" t="n">
        <x:f>SUMIFS('Ventas'!$J$7:$J$1006,'Ventas'!$A$7:$A$1006,"&gt;="&amp;$A14,'Ventas'!$A$7:$A$1006,"&lt;"&amp;EDATE($A14,1),'Ventas'!$D$7:$D$1006,"pagada")</x:f>
        <x:v>0</x:v>
      </x:c>
      <x:c r="C14" s="16" t="n">
        <x:f>SUMIFS('Ventas'!$K$7:$K$1006,'Ventas'!$A$7:$A$1006,"&gt;="&amp;$A14,'Ventas'!$A$7:$A$1006,"&lt;"&amp;EDATE($A14,1),'Ventas'!$D$7:$D$1006,"pagada")</x:f>
        <x:v>0</x:v>
      </x:c>
      <x:c r="D14" s="16" t="n">
        <x:f>SUMIFS('Ventas'!$L$7:$L$1006,'Ventas'!$A$7:$A$1006,"&gt;="&amp;$A14,'Ventas'!$A$7:$A$1006,"&lt;"&amp;EDATE($A14,1),'Ventas'!$D$7:$D$1006,"pagada")</x:f>
        <x:v>0</x:v>
      </x:c>
      <x:c r="E14" s="16" t="n">
        <x:f>SUMIFS('Ventas'!$M$7:$M$1006,'Ventas'!$A$7:$A$1006,"&gt;="&amp;$A14,'Ventas'!$A$7:$A$1006,"&lt;"&amp;EDATE($A14,1),'Ventas'!$D$7:$D$1006,"pagada")</x:f>
        <x:v>0</x:v>
      </x:c>
      <x:c r="F14" s="20" t="n">
        <x:f>SUMIFS('Ventas'!$R$7:$R$1006,'Ventas'!$A$7:$A$1006,"&gt;="&amp;$A14,'Ventas'!$A$7:$A$1006,"&lt;"&amp;EDATE($A14,1),'Ventas'!$D$7:$D$1006,"pagada")</x:f>
        <x:v>0</x:v>
      </x:c>
      <x:c r="G14" s="16" t="str">
        <x:f>IF(OR(J14=0,F14&gt;0),"",B14-E14)</x:f>
      </x:c>
      <x:c r="H14" s="16" t="n">
        <x:f>SUMIFS('Gastos'!$F$7:$F$1006,'Gastos'!$A$7:$A$1006,"&gt;="&amp;$A14,'Gastos'!$A$7:$A$1006,"&lt;"&amp;EDATE($A14,1))</x:f>
        <x:v>0</x:v>
      </x:c>
      <x:c r="I14" s="16" t="str">
        <x:f>IF(OR(NOT(ISNUMBER(G14)),$B$5&lt;&gt;"Sí"),"",G14-H14)</x:f>
      </x:c>
      <x:c r="J14" s="20" t="n">
        <x:f>COUNTIFS('Ventas'!$A$7:$A$1006,"&gt;="&amp;$A14,'Ventas'!$A$7:$A$1006,"&lt;"&amp;EDATE($A14,1),'Ventas'!$D$7:$D$1006,"pagada")</x:f>
        <x:v>0</x:v>
      </x:c>
    </x:row>
    <x:row r="15">
      <x:c r="A15" s="19" t="n">
        <x:f>DATE($B$4,7,1)</x:f>
        <x:v>46204</x:v>
      </x:c>
      <x:c r="B15" s="16" t="n">
        <x:f>SUMIFS('Ventas'!$J$7:$J$1006,'Ventas'!$A$7:$A$1006,"&gt;="&amp;$A15,'Ventas'!$A$7:$A$1006,"&lt;"&amp;EDATE($A15,1),'Ventas'!$D$7:$D$1006,"pagada")</x:f>
        <x:v>0</x:v>
      </x:c>
      <x:c r="C15" s="16" t="n">
        <x:f>SUMIFS('Ventas'!$K$7:$K$1006,'Ventas'!$A$7:$A$1006,"&gt;="&amp;$A15,'Ventas'!$A$7:$A$1006,"&lt;"&amp;EDATE($A15,1),'Ventas'!$D$7:$D$1006,"pagada")</x:f>
        <x:v>0</x:v>
      </x:c>
      <x:c r="D15" s="16" t="n">
        <x:f>SUMIFS('Ventas'!$L$7:$L$1006,'Ventas'!$A$7:$A$1006,"&gt;="&amp;$A15,'Ventas'!$A$7:$A$1006,"&lt;"&amp;EDATE($A15,1),'Ventas'!$D$7:$D$1006,"pagada")</x:f>
        <x:v>0</x:v>
      </x:c>
      <x:c r="E15" s="16" t="n">
        <x:f>SUMIFS('Ventas'!$M$7:$M$1006,'Ventas'!$A$7:$A$1006,"&gt;="&amp;$A15,'Ventas'!$A$7:$A$1006,"&lt;"&amp;EDATE($A15,1),'Ventas'!$D$7:$D$1006,"pagada")</x:f>
        <x:v>0</x:v>
      </x:c>
      <x:c r="F15" s="20" t="n">
        <x:f>SUMIFS('Ventas'!$R$7:$R$1006,'Ventas'!$A$7:$A$1006,"&gt;="&amp;$A15,'Ventas'!$A$7:$A$1006,"&lt;"&amp;EDATE($A15,1),'Ventas'!$D$7:$D$1006,"pagada")</x:f>
        <x:v>0</x:v>
      </x:c>
      <x:c r="G15" s="16" t="str">
        <x:f>IF(OR(J15=0,F15&gt;0),"",B15-E15)</x:f>
      </x:c>
      <x:c r="H15" s="16" t="n">
        <x:f>SUMIFS('Gastos'!$F$7:$F$1006,'Gastos'!$A$7:$A$1006,"&gt;="&amp;$A15,'Gastos'!$A$7:$A$1006,"&lt;"&amp;EDATE($A15,1))</x:f>
        <x:v>0</x:v>
      </x:c>
      <x:c r="I15" s="16" t="str">
        <x:f>IF(OR(NOT(ISNUMBER(G15)),$B$5&lt;&gt;"Sí"),"",G15-H15)</x:f>
      </x:c>
      <x:c r="J15" s="20" t="n">
        <x:f>COUNTIFS('Ventas'!$A$7:$A$1006,"&gt;="&amp;$A15,'Ventas'!$A$7:$A$1006,"&lt;"&amp;EDATE($A15,1),'Ventas'!$D$7:$D$1006,"pagada")</x:f>
        <x:v>0</x:v>
      </x:c>
    </x:row>
    <x:row r="16">
      <x:c r="A16" s="19" t="n">
        <x:f>DATE($B$4,8,1)</x:f>
        <x:v>46235</x:v>
      </x:c>
      <x:c r="B16" s="16" t="n">
        <x:f>SUMIFS('Ventas'!$J$7:$J$1006,'Ventas'!$A$7:$A$1006,"&gt;="&amp;$A16,'Ventas'!$A$7:$A$1006,"&lt;"&amp;EDATE($A16,1),'Ventas'!$D$7:$D$1006,"pagada")</x:f>
        <x:v>0</x:v>
      </x:c>
      <x:c r="C16" s="16" t="n">
        <x:f>SUMIFS('Ventas'!$K$7:$K$1006,'Ventas'!$A$7:$A$1006,"&gt;="&amp;$A16,'Ventas'!$A$7:$A$1006,"&lt;"&amp;EDATE($A16,1),'Ventas'!$D$7:$D$1006,"pagada")</x:f>
        <x:v>0</x:v>
      </x:c>
      <x:c r="D16" s="16" t="n">
        <x:f>SUMIFS('Ventas'!$L$7:$L$1006,'Ventas'!$A$7:$A$1006,"&gt;="&amp;$A16,'Ventas'!$A$7:$A$1006,"&lt;"&amp;EDATE($A16,1),'Ventas'!$D$7:$D$1006,"pagada")</x:f>
        <x:v>0</x:v>
      </x:c>
      <x:c r="E16" s="16" t="n">
        <x:f>SUMIFS('Ventas'!$M$7:$M$1006,'Ventas'!$A$7:$A$1006,"&gt;="&amp;$A16,'Ventas'!$A$7:$A$1006,"&lt;"&amp;EDATE($A16,1),'Ventas'!$D$7:$D$1006,"pagada")</x:f>
        <x:v>0</x:v>
      </x:c>
      <x:c r="F16" s="20" t="n">
        <x:f>SUMIFS('Ventas'!$R$7:$R$1006,'Ventas'!$A$7:$A$1006,"&gt;="&amp;$A16,'Ventas'!$A$7:$A$1006,"&lt;"&amp;EDATE($A16,1),'Ventas'!$D$7:$D$1006,"pagada")</x:f>
        <x:v>0</x:v>
      </x:c>
      <x:c r="G16" s="16" t="str">
        <x:f>IF(OR(J16=0,F16&gt;0),"",B16-E16)</x:f>
      </x:c>
      <x:c r="H16" s="16" t="n">
        <x:f>SUMIFS('Gastos'!$F$7:$F$1006,'Gastos'!$A$7:$A$1006,"&gt;="&amp;$A16,'Gastos'!$A$7:$A$1006,"&lt;"&amp;EDATE($A16,1))</x:f>
        <x:v>0</x:v>
      </x:c>
      <x:c r="I16" s="16" t="str">
        <x:f>IF(OR(NOT(ISNUMBER(G16)),$B$5&lt;&gt;"Sí"),"",G16-H16)</x:f>
      </x:c>
      <x:c r="J16" s="20" t="n">
        <x:f>COUNTIFS('Ventas'!$A$7:$A$1006,"&gt;="&amp;$A16,'Ventas'!$A$7:$A$1006,"&lt;"&amp;EDATE($A16,1),'Ventas'!$D$7:$D$1006,"pagada")</x:f>
        <x:v>0</x:v>
      </x:c>
    </x:row>
    <x:row r="17">
      <x:c r="A17" s="19" t="n">
        <x:f>DATE($B$4,9,1)</x:f>
        <x:v>46266</x:v>
      </x:c>
      <x:c r="B17" s="16" t="n">
        <x:f>SUMIFS('Ventas'!$J$7:$J$1006,'Ventas'!$A$7:$A$1006,"&gt;="&amp;$A17,'Ventas'!$A$7:$A$1006,"&lt;"&amp;EDATE($A17,1),'Ventas'!$D$7:$D$1006,"pagada")</x:f>
        <x:v>0</x:v>
      </x:c>
      <x:c r="C17" s="16" t="n">
        <x:f>SUMIFS('Ventas'!$K$7:$K$1006,'Ventas'!$A$7:$A$1006,"&gt;="&amp;$A17,'Ventas'!$A$7:$A$1006,"&lt;"&amp;EDATE($A17,1),'Ventas'!$D$7:$D$1006,"pagada")</x:f>
        <x:v>0</x:v>
      </x:c>
      <x:c r="D17" s="16" t="n">
        <x:f>SUMIFS('Ventas'!$L$7:$L$1006,'Ventas'!$A$7:$A$1006,"&gt;="&amp;$A17,'Ventas'!$A$7:$A$1006,"&lt;"&amp;EDATE($A17,1),'Ventas'!$D$7:$D$1006,"pagada")</x:f>
        <x:v>0</x:v>
      </x:c>
      <x:c r="E17" s="16" t="n">
        <x:f>SUMIFS('Ventas'!$M$7:$M$1006,'Ventas'!$A$7:$A$1006,"&gt;="&amp;$A17,'Ventas'!$A$7:$A$1006,"&lt;"&amp;EDATE($A17,1),'Ventas'!$D$7:$D$1006,"pagada")</x:f>
        <x:v>0</x:v>
      </x:c>
      <x:c r="F17" s="20" t="n">
        <x:f>SUMIFS('Ventas'!$R$7:$R$1006,'Ventas'!$A$7:$A$1006,"&gt;="&amp;$A17,'Ventas'!$A$7:$A$1006,"&lt;"&amp;EDATE($A17,1),'Ventas'!$D$7:$D$1006,"pagada")</x:f>
        <x:v>0</x:v>
      </x:c>
      <x:c r="G17" s="16" t="str">
        <x:f>IF(OR(J17=0,F17&gt;0),"",B17-E17)</x:f>
      </x:c>
      <x:c r="H17" s="16" t="n">
        <x:f>SUMIFS('Gastos'!$F$7:$F$1006,'Gastos'!$A$7:$A$1006,"&gt;="&amp;$A17,'Gastos'!$A$7:$A$1006,"&lt;"&amp;EDATE($A17,1))</x:f>
        <x:v>0</x:v>
      </x:c>
      <x:c r="I17" s="16" t="str">
        <x:f>IF(OR(NOT(ISNUMBER(G17)),$B$5&lt;&gt;"Sí"),"",G17-H17)</x:f>
      </x:c>
      <x:c r="J17" s="20" t="n">
        <x:f>COUNTIFS('Ventas'!$A$7:$A$1006,"&gt;="&amp;$A17,'Ventas'!$A$7:$A$1006,"&lt;"&amp;EDATE($A17,1),'Ventas'!$D$7:$D$1006,"pagada")</x:f>
        <x:v>0</x:v>
      </x:c>
    </x:row>
    <x:row r="18">
      <x:c r="A18" s="19" t="n">
        <x:f>DATE($B$4,10,1)</x:f>
        <x:v>46296</x:v>
      </x:c>
      <x:c r="B18" s="16" t="n">
        <x:f>SUMIFS('Ventas'!$J$7:$J$1006,'Ventas'!$A$7:$A$1006,"&gt;="&amp;$A18,'Ventas'!$A$7:$A$1006,"&lt;"&amp;EDATE($A18,1),'Ventas'!$D$7:$D$1006,"pagada")</x:f>
        <x:v>0</x:v>
      </x:c>
      <x:c r="C18" s="16" t="n">
        <x:f>SUMIFS('Ventas'!$K$7:$K$1006,'Ventas'!$A$7:$A$1006,"&gt;="&amp;$A18,'Ventas'!$A$7:$A$1006,"&lt;"&amp;EDATE($A18,1),'Ventas'!$D$7:$D$1006,"pagada")</x:f>
        <x:v>0</x:v>
      </x:c>
      <x:c r="D18" s="16" t="n">
        <x:f>SUMIFS('Ventas'!$L$7:$L$1006,'Ventas'!$A$7:$A$1006,"&gt;="&amp;$A18,'Ventas'!$A$7:$A$1006,"&lt;"&amp;EDATE($A18,1),'Ventas'!$D$7:$D$1006,"pagada")</x:f>
        <x:v>0</x:v>
      </x:c>
      <x:c r="E18" s="16" t="n">
        <x:f>SUMIFS('Ventas'!$M$7:$M$1006,'Ventas'!$A$7:$A$1006,"&gt;="&amp;$A18,'Ventas'!$A$7:$A$1006,"&lt;"&amp;EDATE($A18,1),'Ventas'!$D$7:$D$1006,"pagada")</x:f>
        <x:v>0</x:v>
      </x:c>
      <x:c r="F18" s="20" t="n">
        <x:f>SUMIFS('Ventas'!$R$7:$R$1006,'Ventas'!$A$7:$A$1006,"&gt;="&amp;$A18,'Ventas'!$A$7:$A$1006,"&lt;"&amp;EDATE($A18,1),'Ventas'!$D$7:$D$1006,"pagada")</x:f>
        <x:v>0</x:v>
      </x:c>
      <x:c r="G18" s="16" t="str">
        <x:f>IF(OR(J18=0,F18&gt;0),"",B18-E18)</x:f>
      </x:c>
      <x:c r="H18" s="16" t="n">
        <x:f>SUMIFS('Gastos'!$F$7:$F$1006,'Gastos'!$A$7:$A$1006,"&gt;="&amp;$A18,'Gastos'!$A$7:$A$1006,"&lt;"&amp;EDATE($A18,1))</x:f>
        <x:v>0</x:v>
      </x:c>
      <x:c r="I18" s="16" t="str">
        <x:f>IF(OR(NOT(ISNUMBER(G18)),$B$5&lt;&gt;"Sí"),"",G18-H18)</x:f>
      </x:c>
      <x:c r="J18" s="20" t="n">
        <x:f>COUNTIFS('Ventas'!$A$7:$A$1006,"&gt;="&amp;$A18,'Ventas'!$A$7:$A$1006,"&lt;"&amp;EDATE($A18,1),'Ventas'!$D$7:$D$1006,"pagada")</x:f>
        <x:v>0</x:v>
      </x:c>
    </x:row>
    <x:row r="19">
      <x:c r="A19" s="19" t="n">
        <x:f>DATE($B$4,11,1)</x:f>
        <x:v>46327</x:v>
      </x:c>
      <x:c r="B19" s="16" t="n">
        <x:f>SUMIFS('Ventas'!$J$7:$J$1006,'Ventas'!$A$7:$A$1006,"&gt;="&amp;$A19,'Ventas'!$A$7:$A$1006,"&lt;"&amp;EDATE($A19,1),'Ventas'!$D$7:$D$1006,"pagada")</x:f>
        <x:v>0</x:v>
      </x:c>
      <x:c r="C19" s="16" t="n">
        <x:f>SUMIFS('Ventas'!$K$7:$K$1006,'Ventas'!$A$7:$A$1006,"&gt;="&amp;$A19,'Ventas'!$A$7:$A$1006,"&lt;"&amp;EDATE($A19,1),'Ventas'!$D$7:$D$1006,"pagada")</x:f>
        <x:v>0</x:v>
      </x:c>
      <x:c r="D19" s="16" t="n">
        <x:f>SUMIFS('Ventas'!$L$7:$L$1006,'Ventas'!$A$7:$A$1006,"&gt;="&amp;$A19,'Ventas'!$A$7:$A$1006,"&lt;"&amp;EDATE($A19,1),'Ventas'!$D$7:$D$1006,"pagada")</x:f>
        <x:v>0</x:v>
      </x:c>
      <x:c r="E19" s="16" t="n">
        <x:f>SUMIFS('Ventas'!$M$7:$M$1006,'Ventas'!$A$7:$A$1006,"&gt;="&amp;$A19,'Ventas'!$A$7:$A$1006,"&lt;"&amp;EDATE($A19,1),'Ventas'!$D$7:$D$1006,"pagada")</x:f>
        <x:v>0</x:v>
      </x:c>
      <x:c r="F19" s="20" t="n">
        <x:f>SUMIFS('Ventas'!$R$7:$R$1006,'Ventas'!$A$7:$A$1006,"&gt;="&amp;$A19,'Ventas'!$A$7:$A$1006,"&lt;"&amp;EDATE($A19,1),'Ventas'!$D$7:$D$1006,"pagada")</x:f>
        <x:v>0</x:v>
      </x:c>
      <x:c r="G19" s="16" t="str">
        <x:f>IF(OR(J19=0,F19&gt;0),"",B19-E19)</x:f>
      </x:c>
      <x:c r="H19" s="16" t="n">
        <x:f>SUMIFS('Gastos'!$F$7:$F$1006,'Gastos'!$A$7:$A$1006,"&gt;="&amp;$A19,'Gastos'!$A$7:$A$1006,"&lt;"&amp;EDATE($A19,1))</x:f>
        <x:v>0</x:v>
      </x:c>
      <x:c r="I19" s="16" t="str">
        <x:f>IF(OR(NOT(ISNUMBER(G19)),$B$5&lt;&gt;"Sí"),"",G19-H19)</x:f>
      </x:c>
      <x:c r="J19" s="20" t="n">
        <x:f>COUNTIFS('Ventas'!$A$7:$A$1006,"&gt;="&amp;$A19,'Ventas'!$A$7:$A$1006,"&lt;"&amp;EDATE($A19,1),'Ventas'!$D$7:$D$1006,"pagada")</x:f>
        <x:v>0</x:v>
      </x:c>
    </x:row>
    <x:row r="20">
      <x:c r="A20" s="19" t="n">
        <x:f>DATE($B$4,12,1)</x:f>
        <x:v>46357</x:v>
      </x:c>
      <x:c r="B20" s="16" t="n">
        <x:f>SUMIFS('Ventas'!$J$7:$J$1006,'Ventas'!$A$7:$A$1006,"&gt;="&amp;$A20,'Ventas'!$A$7:$A$1006,"&lt;"&amp;EDATE($A20,1),'Ventas'!$D$7:$D$1006,"pagada")</x:f>
        <x:v>0</x:v>
      </x:c>
      <x:c r="C20" s="16" t="n">
        <x:f>SUMIFS('Ventas'!$K$7:$K$1006,'Ventas'!$A$7:$A$1006,"&gt;="&amp;$A20,'Ventas'!$A$7:$A$1006,"&lt;"&amp;EDATE($A20,1),'Ventas'!$D$7:$D$1006,"pagada")</x:f>
        <x:v>0</x:v>
      </x:c>
      <x:c r="D20" s="16" t="n">
        <x:f>SUMIFS('Ventas'!$L$7:$L$1006,'Ventas'!$A$7:$A$1006,"&gt;="&amp;$A20,'Ventas'!$A$7:$A$1006,"&lt;"&amp;EDATE($A20,1),'Ventas'!$D$7:$D$1006,"pagada")</x:f>
        <x:v>0</x:v>
      </x:c>
      <x:c r="E20" s="16" t="n">
        <x:f>SUMIFS('Ventas'!$M$7:$M$1006,'Ventas'!$A$7:$A$1006,"&gt;="&amp;$A20,'Ventas'!$A$7:$A$1006,"&lt;"&amp;EDATE($A20,1),'Ventas'!$D$7:$D$1006,"pagada")</x:f>
        <x:v>0</x:v>
      </x:c>
      <x:c r="F20" s="20" t="n">
        <x:f>SUMIFS('Ventas'!$R$7:$R$1006,'Ventas'!$A$7:$A$1006,"&gt;="&amp;$A20,'Ventas'!$A$7:$A$1006,"&lt;"&amp;EDATE($A20,1),'Ventas'!$D$7:$D$1006,"pagada")</x:f>
        <x:v>0</x:v>
      </x:c>
      <x:c r="G20" s="16" t="str">
        <x:f>IF(OR(J20=0,F20&gt;0),"",B20-E20)</x:f>
      </x:c>
      <x:c r="H20" s="16" t="n">
        <x:f>SUMIFS('Gastos'!$F$7:$F$1006,'Gastos'!$A$7:$A$1006,"&gt;="&amp;$A20,'Gastos'!$A$7:$A$1006,"&lt;"&amp;EDATE($A20,1))</x:f>
        <x:v>0</x:v>
      </x:c>
      <x:c r="I20" s="16" t="str">
        <x:f>IF(OR(NOT(ISNUMBER(G20)),$B$5&lt;&gt;"Sí"),"",G20-H20)</x:f>
      </x:c>
      <x:c r="J20" s="20" t="n">
        <x:f>COUNTIFS('Ventas'!$A$7:$A$1006,"&gt;="&amp;$A20,'Ventas'!$A$7:$A$1006,"&lt;"&amp;EDATE($A20,1),'Ventas'!$D$7:$D$1006,"pagada")</x:f>
        <x:v>0</x:v>
      </x:c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</x:row>
    <x:row r="22">
      <x:c r="A22" s="22" t="str">
        <x:v>Total registrado</x:v>
      </x:c>
      <x:c r="B22" s="23" t="n">
        <x:f>SUM(B9:B20)</x:f>
        <x:v>0</x:v>
      </x:c>
      <x:c r="C22" s="23" t="n">
        <x:f>SUM(C9:C20)</x:f>
        <x:v>0</x:v>
      </x:c>
      <x:c r="D22" s="23" t="n">
        <x:f>SUM(D9:D20)</x:f>
        <x:v>0</x:v>
      </x:c>
      <x:c r="E22" s="23" t="n">
        <x:f>SUM(E9:E20)</x:f>
        <x:v>0</x:v>
      </x:c>
      <x:c r="F22" s="24" t="n">
        <x:f>SUM(F9:F20)</x:f>
        <x:v>0</x:v>
      </x:c>
      <x:c r="G22" s="23" t="str">
        <x:f>IF(OR(J22=0,F22&gt;0),"",B22-E22)</x:f>
      </x:c>
      <x:c r="H22" s="23" t="n">
        <x:f>SUM(H9:H20)</x:f>
        <x:v>0</x:v>
      </x:c>
      <x:c r="I22" s="23" t="str">
        <x:f>IF(OR(NOT(ISNUMBER(G22)),$B$5&lt;&gt;"Sí"),"",G22-H22)</x:f>
      </x:c>
      <x:c r="J22" s="24" t="n">
        <x:f>SUM(J9:J20)</x:f>
        <x:v>0</x:v>
      </x:c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</x:row>
    <x:row r="25">
      <x:c r="A25" s="18" t="str">
        <x:v>No hay conexión a Firebase. Los importes solo reflejan registros incorporados y revisados. Una línea sin costo deja su utilidad en blanco; un costo cero debe confirmarse expresamente. No registrar una venta total otra vez además de sus líneas.</x:v>
      </x:c>
      <x:c r="B25" s="18"/>
      <x:c r="C25" s="18"/>
      <x:c r="D25" s="18"/>
      <x:c r="E25" s="18"/>
      <x:c r="F25" s="18"/>
      <x:c r="G25" s="18"/>
      <x:c r="H25" s="18"/>
      <x:c r="I25" s="18"/>
      <x:c r="J25" s="18"/>
    </x:row>
    <x:row r="26">
      <x:c r="A26" s="18"/>
      <x:c r="B26" s="18"/>
      <x:c r="C26" s="18"/>
      <x:c r="D26" s="18"/>
      <x:c r="E26" s="18"/>
      <x:c r="F26" s="18"/>
      <x:c r="G26" s="18"/>
      <x:c r="H26" s="18"/>
      <x:c r="I26" s="18"/>
      <x:c r="J26" s="18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</x:row>
  </x:sheetData>
  <x:mergeCells>
    <x:mergeCell ref="D4:J5"/>
    <x:mergeCell ref="A25:J26"/>
  </x:mergeCells>
  <x:dataValidations count="1">
    <x:dataValidation type="list" sqref="B5">
      <x:formula1>"No,Sí"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9" hidden="0" customWidth="1"/>
    <x:col min="3" max="3" width="19" hidden="0" customWidth="1"/>
    <x:col min="4" max="4" width="19" hidden="0" customWidth="1"/>
    <x:col min="5" max="5" width="29" hidden="0" customWidth="1"/>
    <x:col min="6" max="6" width="29" hidden="0" customWidth="1"/>
    <x:col min="7" max="7" width="19" hidden="0" customWidth="1"/>
    <x:col min="8" max="8" width="19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Ventas por medio, vendedor y producto</x:v>
      </x:c>
      <x:c r="B2" s="2"/>
      <x:c r="C2" s="2"/>
      <x:c r="D2" s="2"/>
      <x:c r="E2" s="2"/>
      <x:c r="F2" s="2"/>
      <x:c r="G2" s="2"/>
      <x:c r="H2" s="2"/>
    </x:row>
    <x:row r="3">
      <x:c r="A3" s="4"/>
      <x:c r="B3" s="4"/>
      <x:c r="C3" s="4"/>
      <x:c r="D3" s="4"/>
      <x:c r="E3" s="4"/>
      <x:c r="F3" s="4"/>
      <x:c r="G3" s="4"/>
      <x:c r="H3" s="4"/>
    </x:row>
    <x:row r="4">
      <x:c r="A4" s="2" t="str">
        <x:v>Año enlazado a Resumen. Use el filtro de orden para ver mayores, menores y cero ventas; cada producto conserva su unidad.</x:v>
      </x:c>
      <x:c r="B4" s="2"/>
      <x:c r="C4" s="2"/>
      <x:c r="D4" s="2"/>
      <x:c r="E4" s="2"/>
      <x:c r="F4" s="2"/>
      <x:c r="G4" s="2"/>
      <x:c r="H4" s="2"/>
    </x:row>
    <x:row r="5">
      <x:c r="A5" s="2"/>
      <x:c r="B5" s="2"/>
      <x:c r="C5" s="2"/>
      <x:c r="D5" s="2"/>
      <x:c r="E5" s="2"/>
      <x:c r="F5" s="2"/>
      <x:c r="G5" s="2"/>
      <x:c r="H5" s="2"/>
    </x:row>
    <x:row r="6" ht="34" customHeight="1">
      <x:c r="A6" s="7" t="str">
        <x:v>Medio de pago</x:v>
      </x:c>
      <x:c r="B6" s="7" t="str">
        <x:v>Cobro de ventas COP</x:v>
      </x:c>
      <x:c r="C6" s="2"/>
      <x:c r="D6" s="7" t="str">
        <x:v>Producto ID</x:v>
      </x:c>
      <x:c r="E6" s="7" t="str">
        <x:v>Producto</x:v>
      </x:c>
      <x:c r="F6" s="7" t="str">
        <x:v>Presentación</x:v>
      </x:c>
      <x:c r="G6" s="7" t="str">
        <x:v>Cantidad vendida</x:v>
      </x:c>
      <x:c r="H6" s="7" t="str">
        <x:v>Ingreso sin impuestos COP</x:v>
      </x:c>
    </x:row>
    <x:row r="7">
      <x:c r="A7" s="2" t="str">
        <x:v>efectivo</x:v>
      </x:c>
      <x:c r="B7" s="16" t="n">
        <x:f>SUMIFS('Ventas'!$L$7:$L$1006,'Ventas'!$A$7:$A$1006,"&gt;="&amp;DATE('Resumen'!$B$4,1,1),'Ventas'!$A$7:$A$1006,"&lt;"&amp;DATE('Resumen'!$B$4+1,1,1),'Ventas'!$D$7:$D$1006,"pagada",'Ventas'!$O$7:$O$1006,A7)</x:f>
        <x:v>0</x:v>
      </x:c>
      <x:c r="C7" s="2"/>
      <x:c r="D7" s="8"/>
      <x:c r="E7" s="8"/>
      <x:c r="F7" s="8"/>
      <x:c r="G7" s="28" t="str">
        <x:f>IF(OR(D7="",F7=""),"",SUMIFS('Ventas'!$I$7:$I$1006,'Ventas'!$A$7:$A$1006,"&gt;="&amp;DATE('Resumen'!$B$4,1,1),'Ventas'!$A$7:$A$1006,"&lt;"&amp;DATE('Resumen'!$B$4+1,1,1),'Ventas'!$D$7:$D$1006,"pagada",'Ventas'!$F$7:$F$1006,D7,'Ventas'!$H$7:$H$1006,F7))</x:f>
      </x:c>
      <x:c r="H7" s="16" t="str">
        <x:f>IF(OR(D7="",F7=""),"",SUMIFS('Ventas'!$J$7:$J$1006,'Ventas'!$A$7:$A$1006,"&gt;="&amp;DATE('Resumen'!$B$4,1,1),'Ventas'!$A$7:$A$1006,"&lt;"&amp;DATE('Resumen'!$B$4+1,1,1),'Ventas'!$D$7:$D$1006,"pagada",'Ventas'!$F$7:$F$1006,D7,'Ventas'!$H$7:$H$1006,F7))</x:f>
      </x:c>
    </x:row>
    <x:row r="8">
      <x:c r="A8" s="2" t="str">
        <x:v>transferencia</x:v>
      </x:c>
      <x:c r="B8" s="16" t="n">
        <x:f>SUMIFS('Ventas'!$L$7:$L$1006,'Ventas'!$A$7:$A$1006,"&gt;="&amp;DATE('Resumen'!$B$4,1,1),'Ventas'!$A$7:$A$1006,"&lt;"&amp;DATE('Resumen'!$B$4+1,1,1),'Ventas'!$D$7:$D$1006,"pagada",'Ventas'!$O$7:$O$1006,A8)</x:f>
        <x:v>0</x:v>
      </x:c>
      <x:c r="C8" s="2"/>
      <x:c r="D8" s="8"/>
      <x:c r="E8" s="8"/>
      <x:c r="F8" s="8"/>
      <x:c r="G8" s="28" t="str">
        <x:f>IF(OR(D8="",F8=""),"",SUMIFS('Ventas'!$I$7:$I$1006,'Ventas'!$A$7:$A$1006,"&gt;="&amp;DATE('Resumen'!$B$4,1,1),'Ventas'!$A$7:$A$1006,"&lt;"&amp;DATE('Resumen'!$B$4+1,1,1),'Ventas'!$D$7:$D$1006,"pagada",'Ventas'!$F$7:$F$1006,D8,'Ventas'!$H$7:$H$1006,F8))</x:f>
      </x:c>
      <x:c r="H8" s="16" t="str">
        <x:f>IF(OR(D8="",F8=""),"",SUMIFS('Ventas'!$J$7:$J$1006,'Ventas'!$A$7:$A$1006,"&gt;="&amp;DATE('Resumen'!$B$4,1,1),'Ventas'!$A$7:$A$1006,"&lt;"&amp;DATE('Resumen'!$B$4+1,1,1),'Ventas'!$D$7:$D$1006,"pagada",'Ventas'!$F$7:$F$1006,D8,'Ventas'!$H$7:$H$1006,F8))</x:f>
      </x:c>
    </x:row>
    <x:row r="9">
      <x:c r="A9" s="2"/>
      <x:c r="B9" s="16"/>
      <x:c r="C9" s="2"/>
      <x:c r="D9" s="8"/>
      <x:c r="E9" s="8"/>
      <x:c r="F9" s="8"/>
      <x:c r="G9" s="28" t="str">
        <x:f>IF(OR(D9="",F9=""),"",SUMIFS('Ventas'!$I$7:$I$1006,'Ventas'!$A$7:$A$1006,"&gt;="&amp;DATE('Resumen'!$B$4,1,1),'Ventas'!$A$7:$A$1006,"&lt;"&amp;DATE('Resumen'!$B$4+1,1,1),'Ventas'!$D$7:$D$1006,"pagada",'Ventas'!$F$7:$F$1006,D9,'Ventas'!$H$7:$H$1006,F9))</x:f>
      </x:c>
      <x:c r="H9" s="16" t="str">
        <x:f>IF(OR(D9="",F9=""),"",SUMIFS('Ventas'!$J$7:$J$1006,'Ventas'!$A$7:$A$1006,"&gt;="&amp;DATE('Resumen'!$B$4,1,1),'Ventas'!$A$7:$A$1006,"&lt;"&amp;DATE('Resumen'!$B$4+1,1,1),'Ventas'!$D$7:$D$1006,"pagada",'Ventas'!$F$7:$F$1006,D9,'Ventas'!$H$7:$H$1006,F9))</x:f>
      </x:c>
    </x:row>
    <x:row r="10">
      <x:c r="A10" s="2"/>
      <x:c r="B10" s="16"/>
      <x:c r="C10" s="2"/>
      <x:c r="D10" s="8"/>
      <x:c r="E10" s="8"/>
      <x:c r="F10" s="8"/>
      <x:c r="G10" s="28" t="str">
        <x:f>IF(OR(D10="",F10=""),"",SUMIFS('Ventas'!$I$7:$I$1006,'Ventas'!$A$7:$A$1006,"&gt;="&amp;DATE('Resumen'!$B$4,1,1),'Ventas'!$A$7:$A$1006,"&lt;"&amp;DATE('Resumen'!$B$4+1,1,1),'Ventas'!$D$7:$D$1006,"pagada",'Ventas'!$F$7:$F$1006,D10,'Ventas'!$H$7:$H$1006,F10))</x:f>
      </x:c>
      <x:c r="H10" s="16" t="str">
        <x:f>IF(OR(D10="",F10=""),"",SUMIFS('Ventas'!$J$7:$J$1006,'Ventas'!$A$7:$A$1006,"&gt;="&amp;DATE('Resumen'!$B$4,1,1),'Ventas'!$A$7:$A$1006,"&lt;"&amp;DATE('Resumen'!$B$4+1,1,1),'Ventas'!$D$7:$D$1006,"pagada",'Ventas'!$F$7:$F$1006,D10,'Ventas'!$H$7:$H$1006,F10))</x:f>
      </x:c>
    </x:row>
    <x:row r="11" ht="34" customHeight="1">
      <x:c r="A11" s="7" t="str">
        <x:v>Vendedor (nombre o alias)</x:v>
      </x:c>
      <x:c r="B11" s="26" t="str">
        <x:v>Cobro de ventas COP</x:v>
      </x:c>
      <x:c r="C11" s="2"/>
      <x:c r="D11" s="8"/>
      <x:c r="E11" s="8"/>
      <x:c r="F11" s="8"/>
      <x:c r="G11" s="28" t="str">
        <x:f>IF(OR(D11="",F11=""),"",SUMIFS('Ventas'!$I$7:$I$1006,'Ventas'!$A$7:$A$1006,"&gt;="&amp;DATE('Resumen'!$B$4,1,1),'Ventas'!$A$7:$A$1006,"&lt;"&amp;DATE('Resumen'!$B$4+1,1,1),'Ventas'!$D$7:$D$1006,"pagada",'Ventas'!$F$7:$F$1006,D11,'Ventas'!$H$7:$H$1006,F11))</x:f>
      </x:c>
      <x:c r="H11" s="16" t="str">
        <x:f>IF(OR(D11="",F11=""),"",SUMIFS('Ventas'!$J$7:$J$1006,'Ventas'!$A$7:$A$1006,"&gt;="&amp;DATE('Resumen'!$B$4,1,1),'Ventas'!$A$7:$A$1006,"&lt;"&amp;DATE('Resumen'!$B$4+1,1,1),'Ventas'!$D$7:$D$1006,"pagada",'Ventas'!$F$7:$F$1006,D11,'Ventas'!$H$7:$H$1006,F11))</x:f>
      </x:c>
    </x:row>
    <x:row r="12">
      <x:c r="A12" s="8"/>
      <x:c r="B12" s="16" t="str">
        <x:f>IF(A12="","",SUMIFS('Ventas'!$L$7:$L$1006,'Ventas'!$A$7:$A$1006,"&gt;="&amp;DATE('Resumen'!$B$4,1,1),'Ventas'!$A$7:$A$1006,"&lt;"&amp;DATE('Resumen'!$B$4+1,1,1),'Ventas'!$D$7:$D$1006,"pagada",'Ventas'!$E$7:$E$1006,A12))</x:f>
      </x:c>
      <x:c r="C12" s="2"/>
      <x:c r="D12" s="8"/>
      <x:c r="E12" s="8"/>
      <x:c r="F12" s="8"/>
      <x:c r="G12" s="28" t="str">
        <x:f>IF(OR(D12="",F12=""),"",SUMIFS('Ventas'!$I$7:$I$1006,'Ventas'!$A$7:$A$1006,"&gt;="&amp;DATE('Resumen'!$B$4,1,1),'Ventas'!$A$7:$A$1006,"&lt;"&amp;DATE('Resumen'!$B$4+1,1,1),'Ventas'!$D$7:$D$1006,"pagada",'Ventas'!$F$7:$F$1006,D12,'Ventas'!$H$7:$H$1006,F12))</x:f>
      </x:c>
      <x:c r="H12" s="16" t="str">
        <x:f>IF(OR(D12="",F12=""),"",SUMIFS('Ventas'!$J$7:$J$1006,'Ventas'!$A$7:$A$1006,"&gt;="&amp;DATE('Resumen'!$B$4,1,1),'Ventas'!$A$7:$A$1006,"&lt;"&amp;DATE('Resumen'!$B$4+1,1,1),'Ventas'!$D$7:$D$1006,"pagada",'Ventas'!$F$7:$F$1006,D12,'Ventas'!$H$7:$H$1006,F12))</x:f>
      </x:c>
    </x:row>
    <x:row r="13">
      <x:c r="A13" s="8"/>
      <x:c r="B13" s="16" t="str">
        <x:f>IF(A13="","",SUMIFS('Ventas'!$L$7:$L$1006,'Ventas'!$A$7:$A$1006,"&gt;="&amp;DATE('Resumen'!$B$4,1,1),'Ventas'!$A$7:$A$1006,"&lt;"&amp;DATE('Resumen'!$B$4+1,1,1),'Ventas'!$D$7:$D$1006,"pagada",'Ventas'!$E$7:$E$1006,A13))</x:f>
      </x:c>
      <x:c r="C13" s="2"/>
      <x:c r="D13" s="8"/>
      <x:c r="E13" s="8"/>
      <x:c r="F13" s="8"/>
      <x:c r="G13" s="28" t="str">
        <x:f>IF(OR(D13="",F13=""),"",SUMIFS('Ventas'!$I$7:$I$1006,'Ventas'!$A$7:$A$1006,"&gt;="&amp;DATE('Resumen'!$B$4,1,1),'Ventas'!$A$7:$A$1006,"&lt;"&amp;DATE('Resumen'!$B$4+1,1,1),'Ventas'!$D$7:$D$1006,"pagada",'Ventas'!$F$7:$F$1006,D13,'Ventas'!$H$7:$H$1006,F13))</x:f>
      </x:c>
      <x:c r="H13" s="16" t="str">
        <x:f>IF(OR(D13="",F13=""),"",SUMIFS('Ventas'!$J$7:$J$1006,'Ventas'!$A$7:$A$1006,"&gt;="&amp;DATE('Resumen'!$B$4,1,1),'Ventas'!$A$7:$A$1006,"&lt;"&amp;DATE('Resumen'!$B$4+1,1,1),'Ventas'!$D$7:$D$1006,"pagada",'Ventas'!$F$7:$F$1006,D13,'Ventas'!$H$7:$H$1006,F13))</x:f>
      </x:c>
    </x:row>
    <x:row r="14">
      <x:c r="A14" s="8"/>
      <x:c r="B14" s="16" t="str">
        <x:f>IF(A14="","",SUMIFS('Ventas'!$L$7:$L$1006,'Ventas'!$A$7:$A$1006,"&gt;="&amp;DATE('Resumen'!$B$4,1,1),'Ventas'!$A$7:$A$1006,"&lt;"&amp;DATE('Resumen'!$B$4+1,1,1),'Ventas'!$D$7:$D$1006,"pagada",'Ventas'!$E$7:$E$1006,A14))</x:f>
      </x:c>
      <x:c r="C14" s="2"/>
      <x:c r="D14" s="8"/>
      <x:c r="E14" s="8"/>
      <x:c r="F14" s="8"/>
      <x:c r="G14" s="28" t="str">
        <x:f>IF(OR(D14="",F14=""),"",SUMIFS('Ventas'!$I$7:$I$1006,'Ventas'!$A$7:$A$1006,"&gt;="&amp;DATE('Resumen'!$B$4,1,1),'Ventas'!$A$7:$A$1006,"&lt;"&amp;DATE('Resumen'!$B$4+1,1,1),'Ventas'!$D$7:$D$1006,"pagada",'Ventas'!$F$7:$F$1006,D14,'Ventas'!$H$7:$H$1006,F14))</x:f>
      </x:c>
      <x:c r="H14" s="16" t="str">
        <x:f>IF(OR(D14="",F14=""),"",SUMIFS('Ventas'!$J$7:$J$1006,'Ventas'!$A$7:$A$1006,"&gt;="&amp;DATE('Resumen'!$B$4,1,1),'Ventas'!$A$7:$A$1006,"&lt;"&amp;DATE('Resumen'!$B$4+1,1,1),'Ventas'!$D$7:$D$1006,"pagada",'Ventas'!$F$7:$F$1006,D14,'Ventas'!$H$7:$H$1006,F14))</x:f>
      </x:c>
    </x:row>
    <x:row r="15">
      <x:c r="A15" s="8"/>
      <x:c r="B15" s="16" t="str">
        <x:f>IF(A15="","",SUMIFS('Ventas'!$L$7:$L$1006,'Ventas'!$A$7:$A$1006,"&gt;="&amp;DATE('Resumen'!$B$4,1,1),'Ventas'!$A$7:$A$1006,"&lt;"&amp;DATE('Resumen'!$B$4+1,1,1),'Ventas'!$D$7:$D$1006,"pagada",'Ventas'!$E$7:$E$1006,A15))</x:f>
      </x:c>
      <x:c r="C15" s="2"/>
      <x:c r="D15" s="8"/>
      <x:c r="E15" s="8"/>
      <x:c r="F15" s="8"/>
      <x:c r="G15" s="28" t="str">
        <x:f>IF(OR(D15="",F15=""),"",SUMIFS('Ventas'!$I$7:$I$1006,'Ventas'!$A$7:$A$1006,"&gt;="&amp;DATE('Resumen'!$B$4,1,1),'Ventas'!$A$7:$A$1006,"&lt;"&amp;DATE('Resumen'!$B$4+1,1,1),'Ventas'!$D$7:$D$1006,"pagada",'Ventas'!$F$7:$F$1006,D15,'Ventas'!$H$7:$H$1006,F15))</x:f>
      </x:c>
      <x:c r="H15" s="16" t="str">
        <x:f>IF(OR(D15="",F15=""),"",SUMIFS('Ventas'!$J$7:$J$1006,'Ventas'!$A$7:$A$1006,"&gt;="&amp;DATE('Resumen'!$B$4,1,1),'Ventas'!$A$7:$A$1006,"&lt;"&amp;DATE('Resumen'!$B$4+1,1,1),'Ventas'!$D$7:$D$1006,"pagada",'Ventas'!$F$7:$F$1006,D15,'Ventas'!$H$7:$H$1006,F15))</x:f>
      </x:c>
    </x:row>
    <x:row r="16">
      <x:c r="A16" s="8"/>
      <x:c r="B16" s="16" t="str">
        <x:f>IF(A16="","",SUMIFS('Ventas'!$L$7:$L$1006,'Ventas'!$A$7:$A$1006,"&gt;="&amp;DATE('Resumen'!$B$4,1,1),'Ventas'!$A$7:$A$1006,"&lt;"&amp;DATE('Resumen'!$B$4+1,1,1),'Ventas'!$D$7:$D$1006,"pagada",'Ventas'!$E$7:$E$1006,A16))</x:f>
      </x:c>
      <x:c r="C16" s="2"/>
      <x:c r="D16" s="8"/>
      <x:c r="E16" s="8"/>
      <x:c r="F16" s="8"/>
      <x:c r="G16" s="28" t="str">
        <x:f>IF(OR(D16="",F16=""),"",SUMIFS('Ventas'!$I$7:$I$1006,'Ventas'!$A$7:$A$1006,"&gt;="&amp;DATE('Resumen'!$B$4,1,1),'Ventas'!$A$7:$A$1006,"&lt;"&amp;DATE('Resumen'!$B$4+1,1,1),'Ventas'!$D$7:$D$1006,"pagada",'Ventas'!$F$7:$F$1006,D16,'Ventas'!$H$7:$H$1006,F16))</x:f>
      </x:c>
      <x:c r="H16" s="16" t="str">
        <x:f>IF(OR(D16="",F16=""),"",SUMIFS('Ventas'!$J$7:$J$1006,'Ventas'!$A$7:$A$1006,"&gt;="&amp;DATE('Resumen'!$B$4,1,1),'Ventas'!$A$7:$A$1006,"&lt;"&amp;DATE('Resumen'!$B$4+1,1,1),'Ventas'!$D$7:$D$1006,"pagada",'Ventas'!$F$7:$F$1006,D16,'Ventas'!$H$7:$H$1006,F16))</x:f>
      </x:c>
    </x:row>
    <x:row r="17">
      <x:c r="A17" s="8"/>
      <x:c r="B17" s="16" t="str">
        <x:f>IF(A17="","",SUMIFS('Ventas'!$L$7:$L$1006,'Ventas'!$A$7:$A$1006,"&gt;="&amp;DATE('Resumen'!$B$4,1,1),'Ventas'!$A$7:$A$1006,"&lt;"&amp;DATE('Resumen'!$B$4+1,1,1),'Ventas'!$D$7:$D$1006,"pagada",'Ventas'!$E$7:$E$1006,A17))</x:f>
      </x:c>
      <x:c r="C17" s="2"/>
      <x:c r="D17" s="8"/>
      <x:c r="E17" s="8"/>
      <x:c r="F17" s="8"/>
      <x:c r="G17" s="28" t="str">
        <x:f>IF(OR(D17="",F17=""),"",SUMIFS('Ventas'!$I$7:$I$1006,'Ventas'!$A$7:$A$1006,"&gt;="&amp;DATE('Resumen'!$B$4,1,1),'Ventas'!$A$7:$A$1006,"&lt;"&amp;DATE('Resumen'!$B$4+1,1,1),'Ventas'!$D$7:$D$1006,"pagada",'Ventas'!$F$7:$F$1006,D17,'Ventas'!$H$7:$H$1006,F17))</x:f>
      </x:c>
      <x:c r="H17" s="16" t="str">
        <x:f>IF(OR(D17="",F17=""),"",SUMIFS('Ventas'!$J$7:$J$1006,'Ventas'!$A$7:$A$1006,"&gt;="&amp;DATE('Resumen'!$B$4,1,1),'Ventas'!$A$7:$A$1006,"&lt;"&amp;DATE('Resumen'!$B$4+1,1,1),'Ventas'!$D$7:$D$1006,"pagada",'Ventas'!$F$7:$F$1006,D17,'Ventas'!$H$7:$H$1006,F17))</x:f>
      </x:c>
    </x:row>
    <x:row r="18">
      <x:c r="A18" s="8"/>
      <x:c r="B18" s="16" t="str">
        <x:f>IF(A18="","",SUMIFS('Ventas'!$L$7:$L$1006,'Ventas'!$A$7:$A$1006,"&gt;="&amp;DATE('Resumen'!$B$4,1,1),'Ventas'!$A$7:$A$1006,"&lt;"&amp;DATE('Resumen'!$B$4+1,1,1),'Ventas'!$D$7:$D$1006,"pagada",'Ventas'!$E$7:$E$1006,A18))</x:f>
      </x:c>
      <x:c r="C18" s="2"/>
      <x:c r="D18" s="8"/>
      <x:c r="E18" s="8"/>
      <x:c r="F18" s="8"/>
      <x:c r="G18" s="28" t="str">
        <x:f>IF(OR(D18="",F18=""),"",SUMIFS('Ventas'!$I$7:$I$1006,'Ventas'!$A$7:$A$1006,"&gt;="&amp;DATE('Resumen'!$B$4,1,1),'Ventas'!$A$7:$A$1006,"&lt;"&amp;DATE('Resumen'!$B$4+1,1,1),'Ventas'!$D$7:$D$1006,"pagada",'Ventas'!$F$7:$F$1006,D18,'Ventas'!$H$7:$H$1006,F18))</x:f>
      </x:c>
      <x:c r="H18" s="16" t="str">
        <x:f>IF(OR(D18="",F18=""),"",SUMIFS('Ventas'!$J$7:$J$1006,'Ventas'!$A$7:$A$1006,"&gt;="&amp;DATE('Resumen'!$B$4,1,1),'Ventas'!$A$7:$A$1006,"&lt;"&amp;DATE('Resumen'!$B$4+1,1,1),'Ventas'!$D$7:$D$1006,"pagada",'Ventas'!$F$7:$F$1006,D18,'Ventas'!$H$7:$H$1006,F18))</x:f>
      </x:c>
    </x:row>
    <x:row r="19">
      <x:c r="A19" s="8"/>
      <x:c r="B19" s="16" t="str">
        <x:f>IF(A19="","",SUMIFS('Ventas'!$L$7:$L$1006,'Ventas'!$A$7:$A$1006,"&gt;="&amp;DATE('Resumen'!$B$4,1,1),'Ventas'!$A$7:$A$1006,"&lt;"&amp;DATE('Resumen'!$B$4+1,1,1),'Ventas'!$D$7:$D$1006,"pagada",'Ventas'!$E$7:$E$1006,A19))</x:f>
      </x:c>
      <x:c r="C19" s="2"/>
      <x:c r="D19" s="8"/>
      <x:c r="E19" s="8"/>
      <x:c r="F19" s="8"/>
      <x:c r="G19" s="28" t="str">
        <x:f>IF(OR(D19="",F19=""),"",SUMIFS('Ventas'!$I$7:$I$1006,'Ventas'!$A$7:$A$1006,"&gt;="&amp;DATE('Resumen'!$B$4,1,1),'Ventas'!$A$7:$A$1006,"&lt;"&amp;DATE('Resumen'!$B$4+1,1,1),'Ventas'!$D$7:$D$1006,"pagada",'Ventas'!$F$7:$F$1006,D19,'Ventas'!$H$7:$H$1006,F19))</x:f>
      </x:c>
      <x:c r="H19" s="16" t="str">
        <x:f>IF(OR(D19="",F19=""),"",SUMIFS('Ventas'!$J$7:$J$1006,'Ventas'!$A$7:$A$1006,"&gt;="&amp;DATE('Resumen'!$B$4,1,1),'Ventas'!$A$7:$A$1006,"&lt;"&amp;DATE('Resumen'!$B$4+1,1,1),'Ventas'!$D$7:$D$1006,"pagada",'Ventas'!$F$7:$F$1006,D19,'Ventas'!$H$7:$H$1006,F19))</x:f>
      </x:c>
    </x:row>
    <x:row r="20">
      <x:c r="A20" s="8"/>
      <x:c r="B20" s="16" t="str">
        <x:f>IF(A20="","",SUMIFS('Ventas'!$L$7:$L$1006,'Ventas'!$A$7:$A$1006,"&gt;="&amp;DATE('Resumen'!$B$4,1,1),'Ventas'!$A$7:$A$1006,"&lt;"&amp;DATE('Resumen'!$B$4+1,1,1),'Ventas'!$D$7:$D$1006,"pagada",'Ventas'!$E$7:$E$1006,A20))</x:f>
      </x:c>
      <x:c r="C20" s="2"/>
      <x:c r="D20" s="8"/>
      <x:c r="E20" s="8"/>
      <x:c r="F20" s="8"/>
      <x:c r="G20" s="28" t="str">
        <x:f>IF(OR(D20="",F20=""),"",SUMIFS('Ventas'!$I$7:$I$1006,'Ventas'!$A$7:$A$1006,"&gt;="&amp;DATE('Resumen'!$B$4,1,1),'Ventas'!$A$7:$A$1006,"&lt;"&amp;DATE('Resumen'!$B$4+1,1,1),'Ventas'!$D$7:$D$1006,"pagada",'Ventas'!$F$7:$F$1006,D20,'Ventas'!$H$7:$H$1006,F20))</x:f>
      </x:c>
      <x:c r="H20" s="16" t="str">
        <x:f>IF(OR(D20="",F20=""),"",SUMIFS('Ventas'!$J$7:$J$1006,'Ventas'!$A$7:$A$1006,"&gt;="&amp;DATE('Resumen'!$B$4,1,1),'Ventas'!$A$7:$A$1006,"&lt;"&amp;DATE('Resumen'!$B$4+1,1,1),'Ventas'!$D$7:$D$1006,"pagada",'Ventas'!$F$7:$F$1006,D20,'Ventas'!$H$7:$H$1006,F20))</x:f>
      </x:c>
    </x:row>
    <x:row r="21">
      <x:c r="A21" s="8"/>
      <x:c r="B21" s="16" t="str">
        <x:f>IF(A21="","",SUMIFS('Ventas'!$L$7:$L$1006,'Ventas'!$A$7:$A$1006,"&gt;="&amp;DATE('Resumen'!$B$4,1,1),'Ventas'!$A$7:$A$1006,"&lt;"&amp;DATE('Resumen'!$B$4+1,1,1),'Ventas'!$D$7:$D$1006,"pagada",'Ventas'!$E$7:$E$1006,A21))</x:f>
      </x:c>
      <x:c r="C21" s="2"/>
      <x:c r="D21" s="8"/>
      <x:c r="E21" s="8"/>
      <x:c r="F21" s="8"/>
      <x:c r="G21" s="28" t="str">
        <x:f>IF(OR(D21="",F21=""),"",SUMIFS('Ventas'!$I$7:$I$1006,'Ventas'!$A$7:$A$1006,"&gt;="&amp;DATE('Resumen'!$B$4,1,1),'Ventas'!$A$7:$A$1006,"&lt;"&amp;DATE('Resumen'!$B$4+1,1,1),'Ventas'!$D$7:$D$1006,"pagada",'Ventas'!$F$7:$F$1006,D21,'Ventas'!$H$7:$H$1006,F21))</x:f>
      </x:c>
      <x:c r="H21" s="16" t="str">
        <x:f>IF(OR(D21="",F21=""),"",SUMIFS('Ventas'!$J$7:$J$1006,'Ventas'!$A$7:$A$1006,"&gt;="&amp;DATE('Resumen'!$B$4,1,1),'Ventas'!$A$7:$A$1006,"&lt;"&amp;DATE('Resumen'!$B$4+1,1,1),'Ventas'!$D$7:$D$1006,"pagada",'Ventas'!$F$7:$F$1006,D21,'Ventas'!$H$7:$H$1006,F21))</x:f>
      </x:c>
    </x:row>
    <x:row r="22">
      <x:c r="A22" s="8"/>
      <x:c r="B22" s="16" t="str">
        <x:f>IF(A22="","",SUMIFS('Ventas'!$L$7:$L$1006,'Ventas'!$A$7:$A$1006,"&gt;="&amp;DATE('Resumen'!$B$4,1,1),'Ventas'!$A$7:$A$1006,"&lt;"&amp;DATE('Resumen'!$B$4+1,1,1),'Ventas'!$D$7:$D$1006,"pagada",'Ventas'!$E$7:$E$1006,A22))</x:f>
      </x:c>
      <x:c r="C22" s="2"/>
      <x:c r="D22" s="8"/>
      <x:c r="E22" s="8"/>
      <x:c r="F22" s="8"/>
      <x:c r="G22" s="28" t="str">
        <x:f>IF(OR(D22="",F22=""),"",SUMIFS('Ventas'!$I$7:$I$1006,'Ventas'!$A$7:$A$1006,"&gt;="&amp;DATE('Resumen'!$B$4,1,1),'Ventas'!$A$7:$A$1006,"&lt;"&amp;DATE('Resumen'!$B$4+1,1,1),'Ventas'!$D$7:$D$1006,"pagada",'Ventas'!$F$7:$F$1006,D22,'Ventas'!$H$7:$H$1006,F22))</x:f>
      </x:c>
      <x:c r="H22" s="16" t="str">
        <x:f>IF(OR(D22="",F22=""),"",SUMIFS('Ventas'!$J$7:$J$1006,'Ventas'!$A$7:$A$1006,"&gt;="&amp;DATE('Resumen'!$B$4,1,1),'Ventas'!$A$7:$A$1006,"&lt;"&amp;DATE('Resumen'!$B$4+1,1,1),'Ventas'!$D$7:$D$1006,"pagada",'Ventas'!$F$7:$F$1006,D22,'Ventas'!$H$7:$H$1006,F22))</x:f>
      </x:c>
    </x:row>
    <x:row r="23">
      <x:c r="A23" s="8"/>
      <x:c r="B23" s="16" t="str">
        <x:f>IF(A23="","",SUMIFS('Ventas'!$L$7:$L$1006,'Ventas'!$A$7:$A$1006,"&gt;="&amp;DATE('Resumen'!$B$4,1,1),'Ventas'!$A$7:$A$1006,"&lt;"&amp;DATE('Resumen'!$B$4+1,1,1),'Ventas'!$D$7:$D$1006,"pagada",'Ventas'!$E$7:$E$1006,A23))</x:f>
      </x:c>
      <x:c r="C23" s="2"/>
      <x:c r="D23" s="8"/>
      <x:c r="E23" s="8"/>
      <x:c r="F23" s="8"/>
      <x:c r="G23" s="28" t="str">
        <x:f>IF(OR(D23="",F23=""),"",SUMIFS('Ventas'!$I$7:$I$1006,'Ventas'!$A$7:$A$1006,"&gt;="&amp;DATE('Resumen'!$B$4,1,1),'Ventas'!$A$7:$A$1006,"&lt;"&amp;DATE('Resumen'!$B$4+1,1,1),'Ventas'!$D$7:$D$1006,"pagada",'Ventas'!$F$7:$F$1006,D23,'Ventas'!$H$7:$H$1006,F23))</x:f>
      </x:c>
      <x:c r="H23" s="16" t="str">
        <x:f>IF(OR(D23="",F23=""),"",SUMIFS('Ventas'!$J$7:$J$1006,'Ventas'!$A$7:$A$1006,"&gt;="&amp;DATE('Resumen'!$B$4,1,1),'Ventas'!$A$7:$A$1006,"&lt;"&amp;DATE('Resumen'!$B$4+1,1,1),'Ventas'!$D$7:$D$1006,"pagada",'Ventas'!$F$7:$F$1006,D23,'Ventas'!$H$7:$H$1006,F23))</x:f>
      </x:c>
    </x:row>
    <x:row r="24">
      <x:c r="A24" s="8"/>
      <x:c r="B24" s="16" t="str">
        <x:f>IF(A24="","",SUMIFS('Ventas'!$L$7:$L$1006,'Ventas'!$A$7:$A$1006,"&gt;="&amp;DATE('Resumen'!$B$4,1,1),'Ventas'!$A$7:$A$1006,"&lt;"&amp;DATE('Resumen'!$B$4+1,1,1),'Ventas'!$D$7:$D$1006,"pagada",'Ventas'!$E$7:$E$1006,A24))</x:f>
      </x:c>
      <x:c r="C24" s="2"/>
      <x:c r="D24" s="8"/>
      <x:c r="E24" s="8"/>
      <x:c r="F24" s="8"/>
      <x:c r="G24" s="28" t="str">
        <x:f>IF(OR(D24="",F24=""),"",SUMIFS('Ventas'!$I$7:$I$1006,'Ventas'!$A$7:$A$1006,"&gt;="&amp;DATE('Resumen'!$B$4,1,1),'Ventas'!$A$7:$A$1006,"&lt;"&amp;DATE('Resumen'!$B$4+1,1,1),'Ventas'!$D$7:$D$1006,"pagada",'Ventas'!$F$7:$F$1006,D24,'Ventas'!$H$7:$H$1006,F24))</x:f>
      </x:c>
      <x:c r="H24" s="16" t="str">
        <x:f>IF(OR(D24="",F24=""),"",SUMIFS('Ventas'!$J$7:$J$1006,'Ventas'!$A$7:$A$1006,"&gt;="&amp;DATE('Resumen'!$B$4,1,1),'Ventas'!$A$7:$A$1006,"&lt;"&amp;DATE('Resumen'!$B$4+1,1,1),'Ventas'!$D$7:$D$1006,"pagada",'Ventas'!$F$7:$F$1006,D24,'Ventas'!$H$7:$H$1006,F24))</x:f>
      </x:c>
    </x:row>
    <x:row r="25">
      <x:c r="A25" s="8"/>
      <x:c r="B25" s="16" t="str">
        <x:f>IF(A25="","",SUMIFS('Ventas'!$L$7:$L$1006,'Ventas'!$A$7:$A$1006,"&gt;="&amp;DATE('Resumen'!$B$4,1,1),'Ventas'!$A$7:$A$1006,"&lt;"&amp;DATE('Resumen'!$B$4+1,1,1),'Ventas'!$D$7:$D$1006,"pagada",'Ventas'!$E$7:$E$1006,A25))</x:f>
      </x:c>
      <x:c r="C25" s="2"/>
      <x:c r="D25" s="8"/>
      <x:c r="E25" s="8"/>
      <x:c r="F25" s="8"/>
      <x:c r="G25" s="28" t="str">
        <x:f>IF(OR(D25="",F25=""),"",SUMIFS('Ventas'!$I$7:$I$1006,'Ventas'!$A$7:$A$1006,"&gt;="&amp;DATE('Resumen'!$B$4,1,1),'Ventas'!$A$7:$A$1006,"&lt;"&amp;DATE('Resumen'!$B$4+1,1,1),'Ventas'!$D$7:$D$1006,"pagada",'Ventas'!$F$7:$F$1006,D25,'Ventas'!$H$7:$H$1006,F25))</x:f>
      </x:c>
      <x:c r="H25" s="16" t="str">
        <x:f>IF(OR(D25="",F25=""),"",SUMIFS('Ventas'!$J$7:$J$1006,'Ventas'!$A$7:$A$1006,"&gt;="&amp;DATE('Resumen'!$B$4,1,1),'Ventas'!$A$7:$A$1006,"&lt;"&amp;DATE('Resumen'!$B$4+1,1,1),'Ventas'!$D$7:$D$1006,"pagada",'Ventas'!$F$7:$F$1006,D25,'Ventas'!$H$7:$H$1006,F25))</x:f>
      </x:c>
    </x:row>
    <x:row r="26">
      <x:c r="A26" s="8"/>
      <x:c r="B26" s="16" t="str">
        <x:f>IF(A26="","",SUMIFS('Ventas'!$L$7:$L$1006,'Ventas'!$A$7:$A$1006,"&gt;="&amp;DATE('Resumen'!$B$4,1,1),'Ventas'!$A$7:$A$1006,"&lt;"&amp;DATE('Resumen'!$B$4+1,1,1),'Ventas'!$D$7:$D$1006,"pagada",'Ventas'!$E$7:$E$1006,A26))</x:f>
      </x:c>
      <x:c r="C26" s="2"/>
      <x:c r="D26" s="8"/>
      <x:c r="E26" s="8"/>
      <x:c r="F26" s="8"/>
      <x:c r="G26" s="28" t="str">
        <x:f>IF(OR(D26="",F26=""),"",SUMIFS('Ventas'!$I$7:$I$1006,'Ventas'!$A$7:$A$1006,"&gt;="&amp;DATE('Resumen'!$B$4,1,1),'Ventas'!$A$7:$A$1006,"&lt;"&amp;DATE('Resumen'!$B$4+1,1,1),'Ventas'!$D$7:$D$1006,"pagada",'Ventas'!$F$7:$F$1006,D26,'Ventas'!$H$7:$H$1006,F26))</x:f>
      </x:c>
      <x:c r="H26" s="16" t="str">
        <x:f>IF(OR(D26="",F26=""),"",SUMIFS('Ventas'!$J$7:$J$1006,'Ventas'!$A$7:$A$1006,"&gt;="&amp;DATE('Resumen'!$B$4,1,1),'Ventas'!$A$7:$A$1006,"&lt;"&amp;DATE('Resumen'!$B$4+1,1,1),'Ventas'!$D$7:$D$1006,"pagada",'Ventas'!$F$7:$F$1006,D26,'Ventas'!$H$7:$H$1006,F26))</x:f>
      </x:c>
    </x:row>
    <x:row r="27">
      <x:c r="A27" s="8"/>
      <x:c r="B27" s="16" t="str">
        <x:f>IF(A27="","",SUMIFS('Ventas'!$L$7:$L$1006,'Ventas'!$A$7:$A$1006,"&gt;="&amp;DATE('Resumen'!$B$4,1,1),'Ventas'!$A$7:$A$1006,"&lt;"&amp;DATE('Resumen'!$B$4+1,1,1),'Ventas'!$D$7:$D$1006,"pagada",'Ventas'!$E$7:$E$1006,A27))</x:f>
      </x:c>
      <x:c r="C27" s="2"/>
      <x:c r="D27" s="8"/>
      <x:c r="E27" s="8"/>
      <x:c r="F27" s="8"/>
      <x:c r="G27" s="28" t="str">
        <x:f>IF(OR(D27="",F27=""),"",SUMIFS('Ventas'!$I$7:$I$1006,'Ventas'!$A$7:$A$1006,"&gt;="&amp;DATE('Resumen'!$B$4,1,1),'Ventas'!$A$7:$A$1006,"&lt;"&amp;DATE('Resumen'!$B$4+1,1,1),'Ventas'!$D$7:$D$1006,"pagada",'Ventas'!$F$7:$F$1006,D27,'Ventas'!$H$7:$H$1006,F27))</x:f>
      </x:c>
      <x:c r="H27" s="16" t="str">
        <x:f>IF(OR(D27="",F27=""),"",SUMIFS('Ventas'!$J$7:$J$1006,'Ventas'!$A$7:$A$1006,"&gt;="&amp;DATE('Resumen'!$B$4,1,1),'Ventas'!$A$7:$A$1006,"&lt;"&amp;DATE('Resumen'!$B$4+1,1,1),'Ventas'!$D$7:$D$1006,"pagada",'Ventas'!$F$7:$F$1006,D27,'Ventas'!$H$7:$H$1006,F27))</x:f>
      </x:c>
    </x:row>
    <x:row r="28">
      <x:c r="A28" s="8"/>
      <x:c r="B28" s="16" t="str">
        <x:f>IF(A28="","",SUMIFS('Ventas'!$L$7:$L$1006,'Ventas'!$A$7:$A$1006,"&gt;="&amp;DATE('Resumen'!$B$4,1,1),'Ventas'!$A$7:$A$1006,"&lt;"&amp;DATE('Resumen'!$B$4+1,1,1),'Ventas'!$D$7:$D$1006,"pagada",'Ventas'!$E$7:$E$1006,A28))</x:f>
      </x:c>
      <x:c r="C28" s="2"/>
      <x:c r="D28" s="8"/>
      <x:c r="E28" s="8"/>
      <x:c r="F28" s="8"/>
      <x:c r="G28" s="28" t="str">
        <x:f>IF(OR(D28="",F28=""),"",SUMIFS('Ventas'!$I$7:$I$1006,'Ventas'!$A$7:$A$1006,"&gt;="&amp;DATE('Resumen'!$B$4,1,1),'Ventas'!$A$7:$A$1006,"&lt;"&amp;DATE('Resumen'!$B$4+1,1,1),'Ventas'!$D$7:$D$1006,"pagada",'Ventas'!$F$7:$F$1006,D28,'Ventas'!$H$7:$H$1006,F28))</x:f>
      </x:c>
      <x:c r="H28" s="16" t="str">
        <x:f>IF(OR(D28="",F28=""),"",SUMIFS('Ventas'!$J$7:$J$1006,'Ventas'!$A$7:$A$1006,"&gt;="&amp;DATE('Resumen'!$B$4,1,1),'Ventas'!$A$7:$A$1006,"&lt;"&amp;DATE('Resumen'!$B$4+1,1,1),'Ventas'!$D$7:$D$1006,"pagada",'Ventas'!$F$7:$F$1006,D28,'Ventas'!$H$7:$H$1006,F28))</x:f>
      </x:c>
    </x:row>
    <x:row r="29">
      <x:c r="A29" s="8"/>
      <x:c r="B29" s="16" t="str">
        <x:f>IF(A29="","",SUMIFS('Ventas'!$L$7:$L$1006,'Ventas'!$A$7:$A$1006,"&gt;="&amp;DATE('Resumen'!$B$4,1,1),'Ventas'!$A$7:$A$1006,"&lt;"&amp;DATE('Resumen'!$B$4+1,1,1),'Ventas'!$D$7:$D$1006,"pagada",'Ventas'!$E$7:$E$1006,A29))</x:f>
      </x:c>
      <x:c r="C29" s="2"/>
      <x:c r="D29" s="8"/>
      <x:c r="E29" s="8"/>
      <x:c r="F29" s="8"/>
      <x:c r="G29" s="28" t="str">
        <x:f>IF(OR(D29="",F29=""),"",SUMIFS('Ventas'!$I$7:$I$1006,'Ventas'!$A$7:$A$1006,"&gt;="&amp;DATE('Resumen'!$B$4,1,1),'Ventas'!$A$7:$A$1006,"&lt;"&amp;DATE('Resumen'!$B$4+1,1,1),'Ventas'!$D$7:$D$1006,"pagada",'Ventas'!$F$7:$F$1006,D29,'Ventas'!$H$7:$H$1006,F29))</x:f>
      </x:c>
      <x:c r="H29" s="16" t="str">
        <x:f>IF(OR(D29="",F29=""),"",SUMIFS('Ventas'!$J$7:$J$1006,'Ventas'!$A$7:$A$1006,"&gt;="&amp;DATE('Resumen'!$B$4,1,1),'Ventas'!$A$7:$A$1006,"&lt;"&amp;DATE('Resumen'!$B$4+1,1,1),'Ventas'!$D$7:$D$1006,"pagada",'Ventas'!$F$7:$F$1006,D29,'Ventas'!$H$7:$H$1006,F29))</x:f>
      </x:c>
    </x:row>
    <x:row r="30">
      <x:c r="A30" s="8"/>
      <x:c r="B30" s="16" t="str">
        <x:f>IF(A30="","",SUMIFS('Ventas'!$L$7:$L$1006,'Ventas'!$A$7:$A$1006,"&gt;="&amp;DATE('Resumen'!$B$4,1,1),'Ventas'!$A$7:$A$1006,"&lt;"&amp;DATE('Resumen'!$B$4+1,1,1),'Ventas'!$D$7:$D$1006,"pagada",'Ventas'!$E$7:$E$1006,A30))</x:f>
      </x:c>
      <x:c r="C30" s="2"/>
      <x:c r="D30" s="8"/>
      <x:c r="E30" s="8"/>
      <x:c r="F30" s="8"/>
      <x:c r="G30" s="28" t="str">
        <x:f>IF(OR(D30="",F30=""),"",SUMIFS('Ventas'!$I$7:$I$1006,'Ventas'!$A$7:$A$1006,"&gt;="&amp;DATE('Resumen'!$B$4,1,1),'Ventas'!$A$7:$A$1006,"&lt;"&amp;DATE('Resumen'!$B$4+1,1,1),'Ventas'!$D$7:$D$1006,"pagada",'Ventas'!$F$7:$F$1006,D30,'Ventas'!$H$7:$H$1006,F30))</x:f>
      </x:c>
      <x:c r="H30" s="16" t="str">
        <x:f>IF(OR(D30="",F30=""),"",SUMIFS('Ventas'!$J$7:$J$1006,'Ventas'!$A$7:$A$1006,"&gt;="&amp;DATE('Resumen'!$B$4,1,1),'Ventas'!$A$7:$A$1006,"&lt;"&amp;DATE('Resumen'!$B$4+1,1,1),'Ventas'!$D$7:$D$1006,"pagada",'Ventas'!$F$7:$F$1006,D30,'Ventas'!$H$7:$H$1006,F30))</x:f>
      </x:c>
    </x:row>
    <x:row r="31">
      <x:c r="A31" s="8"/>
      <x:c r="B31" s="16" t="str">
        <x:f>IF(A31="","",SUMIFS('Ventas'!$L$7:$L$1006,'Ventas'!$A$7:$A$1006,"&gt;="&amp;DATE('Resumen'!$B$4,1,1),'Ventas'!$A$7:$A$1006,"&lt;"&amp;DATE('Resumen'!$B$4+1,1,1),'Ventas'!$D$7:$D$1006,"pagada",'Ventas'!$E$7:$E$1006,A31))</x:f>
      </x:c>
      <x:c r="C31" s="2"/>
      <x:c r="D31" s="8"/>
      <x:c r="E31" s="8"/>
      <x:c r="F31" s="8"/>
      <x:c r="G31" s="28" t="str">
        <x:f>IF(OR(D31="",F31=""),"",SUMIFS('Ventas'!$I$7:$I$1006,'Ventas'!$A$7:$A$1006,"&gt;="&amp;DATE('Resumen'!$B$4,1,1),'Ventas'!$A$7:$A$1006,"&lt;"&amp;DATE('Resumen'!$B$4+1,1,1),'Ventas'!$D$7:$D$1006,"pagada",'Ventas'!$F$7:$F$1006,D31,'Ventas'!$H$7:$H$1006,F31))</x:f>
      </x:c>
      <x:c r="H31" s="16" t="str">
        <x:f>IF(OR(D31="",F31=""),"",SUMIFS('Ventas'!$J$7:$J$1006,'Ventas'!$A$7:$A$1006,"&gt;="&amp;DATE('Resumen'!$B$4,1,1),'Ventas'!$A$7:$A$1006,"&lt;"&amp;DATE('Resumen'!$B$4+1,1,1),'Ventas'!$D$7:$D$1006,"pagada",'Ventas'!$F$7:$F$1006,D31,'Ventas'!$H$7:$H$1006,F31))</x:f>
      </x:c>
    </x:row>
    <x:row r="32">
      <x:c r="A32" s="8"/>
      <x:c r="B32" s="16" t="str">
        <x:f>IF(A32="","",SUMIFS('Ventas'!$L$7:$L$1006,'Ventas'!$A$7:$A$1006,"&gt;="&amp;DATE('Resumen'!$B$4,1,1),'Ventas'!$A$7:$A$1006,"&lt;"&amp;DATE('Resumen'!$B$4+1,1,1),'Ventas'!$D$7:$D$1006,"pagada",'Ventas'!$E$7:$E$1006,A32))</x:f>
      </x:c>
      <x:c r="C32" s="2"/>
      <x:c r="D32" s="8"/>
      <x:c r="E32" s="8"/>
      <x:c r="F32" s="8"/>
      <x:c r="G32" s="28" t="str">
        <x:f>IF(OR(D32="",F32=""),"",SUMIFS('Ventas'!$I$7:$I$1006,'Ventas'!$A$7:$A$1006,"&gt;="&amp;DATE('Resumen'!$B$4,1,1),'Ventas'!$A$7:$A$1006,"&lt;"&amp;DATE('Resumen'!$B$4+1,1,1),'Ventas'!$D$7:$D$1006,"pagada",'Ventas'!$F$7:$F$1006,D32,'Ventas'!$H$7:$H$1006,F32))</x:f>
      </x:c>
      <x:c r="H32" s="16" t="str">
        <x:f>IF(OR(D32="",F32=""),"",SUMIFS('Ventas'!$J$7:$J$1006,'Ventas'!$A$7:$A$1006,"&gt;="&amp;DATE('Resumen'!$B$4,1,1),'Ventas'!$A$7:$A$1006,"&lt;"&amp;DATE('Resumen'!$B$4+1,1,1),'Ventas'!$D$7:$D$1006,"pagada",'Ventas'!$F$7:$F$1006,D32,'Ventas'!$H$7:$H$1006,F32))</x:f>
      </x:c>
    </x:row>
    <x:row r="33">
      <x:c r="A33" s="8"/>
      <x:c r="B33" s="16" t="str">
        <x:f>IF(A33="","",SUMIFS('Ventas'!$L$7:$L$1006,'Ventas'!$A$7:$A$1006,"&gt;="&amp;DATE('Resumen'!$B$4,1,1),'Ventas'!$A$7:$A$1006,"&lt;"&amp;DATE('Resumen'!$B$4+1,1,1),'Ventas'!$D$7:$D$1006,"pagada",'Ventas'!$E$7:$E$1006,A33))</x:f>
      </x:c>
      <x:c r="C33" s="2"/>
      <x:c r="D33" s="8"/>
      <x:c r="E33" s="8"/>
      <x:c r="F33" s="8"/>
      <x:c r="G33" s="28" t="str">
        <x:f>IF(OR(D33="",F33=""),"",SUMIFS('Ventas'!$I$7:$I$1006,'Ventas'!$A$7:$A$1006,"&gt;="&amp;DATE('Resumen'!$B$4,1,1),'Ventas'!$A$7:$A$1006,"&lt;"&amp;DATE('Resumen'!$B$4+1,1,1),'Ventas'!$D$7:$D$1006,"pagada",'Ventas'!$F$7:$F$1006,D33,'Ventas'!$H$7:$H$1006,F33))</x:f>
      </x:c>
      <x:c r="H33" s="16" t="str">
        <x:f>IF(OR(D33="",F33=""),"",SUMIFS('Ventas'!$J$7:$J$1006,'Ventas'!$A$7:$A$1006,"&gt;="&amp;DATE('Resumen'!$B$4,1,1),'Ventas'!$A$7:$A$1006,"&lt;"&amp;DATE('Resumen'!$B$4+1,1,1),'Ventas'!$D$7:$D$1006,"pagada",'Ventas'!$F$7:$F$1006,D33,'Ventas'!$H$7:$H$1006,F33))</x:f>
      </x:c>
    </x:row>
    <x:row r="34">
      <x:c r="A34" s="8"/>
      <x:c r="B34" s="16" t="str">
        <x:f>IF(A34="","",SUMIFS('Ventas'!$L$7:$L$1006,'Ventas'!$A$7:$A$1006,"&gt;="&amp;DATE('Resumen'!$B$4,1,1),'Ventas'!$A$7:$A$1006,"&lt;"&amp;DATE('Resumen'!$B$4+1,1,1),'Ventas'!$D$7:$D$1006,"pagada",'Ventas'!$E$7:$E$1006,A34))</x:f>
      </x:c>
      <x:c r="C34" s="2"/>
      <x:c r="D34" s="8"/>
      <x:c r="E34" s="8"/>
      <x:c r="F34" s="8"/>
      <x:c r="G34" s="28" t="str">
        <x:f>IF(OR(D34="",F34=""),"",SUMIFS('Ventas'!$I$7:$I$1006,'Ventas'!$A$7:$A$1006,"&gt;="&amp;DATE('Resumen'!$B$4,1,1),'Ventas'!$A$7:$A$1006,"&lt;"&amp;DATE('Resumen'!$B$4+1,1,1),'Ventas'!$D$7:$D$1006,"pagada",'Ventas'!$F$7:$F$1006,D34,'Ventas'!$H$7:$H$1006,F34))</x:f>
      </x:c>
      <x:c r="H34" s="16" t="str">
        <x:f>IF(OR(D34="",F34=""),"",SUMIFS('Ventas'!$J$7:$J$1006,'Ventas'!$A$7:$A$1006,"&gt;="&amp;DATE('Resumen'!$B$4,1,1),'Ventas'!$A$7:$A$1006,"&lt;"&amp;DATE('Resumen'!$B$4+1,1,1),'Ventas'!$D$7:$D$1006,"pagada",'Ventas'!$F$7:$F$1006,D34,'Ventas'!$H$7:$H$1006,F34))</x:f>
      </x:c>
    </x:row>
    <x:row r="35">
      <x:c r="A35" s="8"/>
      <x:c r="B35" s="16" t="str">
        <x:f>IF(A35="","",SUMIFS('Ventas'!$L$7:$L$1006,'Ventas'!$A$7:$A$1006,"&gt;="&amp;DATE('Resumen'!$B$4,1,1),'Ventas'!$A$7:$A$1006,"&lt;"&amp;DATE('Resumen'!$B$4+1,1,1),'Ventas'!$D$7:$D$1006,"pagada",'Ventas'!$E$7:$E$1006,A35))</x:f>
      </x:c>
      <x:c r="C35" s="2"/>
      <x:c r="D35" s="8"/>
      <x:c r="E35" s="8"/>
      <x:c r="F35" s="8"/>
      <x:c r="G35" s="28" t="str">
        <x:f>IF(OR(D35="",F35=""),"",SUMIFS('Ventas'!$I$7:$I$1006,'Ventas'!$A$7:$A$1006,"&gt;="&amp;DATE('Resumen'!$B$4,1,1),'Ventas'!$A$7:$A$1006,"&lt;"&amp;DATE('Resumen'!$B$4+1,1,1),'Ventas'!$D$7:$D$1006,"pagada",'Ventas'!$F$7:$F$1006,D35,'Ventas'!$H$7:$H$1006,F35))</x:f>
      </x:c>
      <x:c r="H35" s="16" t="str">
        <x:f>IF(OR(D35="",F35=""),"",SUMIFS('Ventas'!$J$7:$J$1006,'Ventas'!$A$7:$A$1006,"&gt;="&amp;DATE('Resumen'!$B$4,1,1),'Ventas'!$A$7:$A$1006,"&lt;"&amp;DATE('Resumen'!$B$4+1,1,1),'Ventas'!$D$7:$D$1006,"pagada",'Ventas'!$F$7:$F$1006,D35,'Ventas'!$H$7:$H$1006,F35))</x:f>
      </x:c>
    </x:row>
    <x:row r="36">
      <x:c r="A36" s="8"/>
      <x:c r="B36" s="16" t="str">
        <x:f>IF(A36="","",SUMIFS('Ventas'!$L$7:$L$1006,'Ventas'!$A$7:$A$1006,"&gt;="&amp;DATE('Resumen'!$B$4,1,1),'Ventas'!$A$7:$A$1006,"&lt;"&amp;DATE('Resumen'!$B$4+1,1,1),'Ventas'!$D$7:$D$1006,"pagada",'Ventas'!$E$7:$E$1006,A36))</x:f>
      </x:c>
      <x:c r="C36" s="2"/>
      <x:c r="D36" s="8"/>
      <x:c r="E36" s="8"/>
      <x:c r="F36" s="8"/>
      <x:c r="G36" s="28" t="str">
        <x:f>IF(OR(D36="",F36=""),"",SUMIFS('Ventas'!$I$7:$I$1006,'Ventas'!$A$7:$A$1006,"&gt;="&amp;DATE('Resumen'!$B$4,1,1),'Ventas'!$A$7:$A$1006,"&lt;"&amp;DATE('Resumen'!$B$4+1,1,1),'Ventas'!$D$7:$D$1006,"pagada",'Ventas'!$F$7:$F$1006,D36,'Ventas'!$H$7:$H$1006,F36))</x:f>
      </x:c>
      <x:c r="H36" s="16" t="str">
        <x:f>IF(OR(D36="",F36=""),"",SUMIFS('Ventas'!$J$7:$J$1006,'Ventas'!$A$7:$A$1006,"&gt;="&amp;DATE('Resumen'!$B$4,1,1),'Ventas'!$A$7:$A$1006,"&lt;"&amp;DATE('Resumen'!$B$4+1,1,1),'Ventas'!$D$7:$D$1006,"pagada",'Ventas'!$F$7:$F$1006,D36,'Ventas'!$H$7:$H$1006,F36))</x:f>
      </x:c>
    </x:row>
    <x:row r="37">
      <x:c r="A37" s="8"/>
      <x:c r="B37" s="16" t="str">
        <x:f>IF(A37="","",SUMIFS('Ventas'!$L$7:$L$1006,'Ventas'!$A$7:$A$1006,"&gt;="&amp;DATE('Resumen'!$B$4,1,1),'Ventas'!$A$7:$A$1006,"&lt;"&amp;DATE('Resumen'!$B$4+1,1,1),'Ventas'!$D$7:$D$1006,"pagada",'Ventas'!$E$7:$E$1006,A37))</x:f>
      </x:c>
      <x:c r="C37" s="2"/>
      <x:c r="D37" s="8"/>
      <x:c r="E37" s="8"/>
      <x:c r="F37" s="8"/>
      <x:c r="G37" s="28" t="str">
        <x:f>IF(OR(D37="",F37=""),"",SUMIFS('Ventas'!$I$7:$I$1006,'Ventas'!$A$7:$A$1006,"&gt;="&amp;DATE('Resumen'!$B$4,1,1),'Ventas'!$A$7:$A$1006,"&lt;"&amp;DATE('Resumen'!$B$4+1,1,1),'Ventas'!$D$7:$D$1006,"pagada",'Ventas'!$F$7:$F$1006,D37,'Ventas'!$H$7:$H$1006,F37))</x:f>
      </x:c>
      <x:c r="H37" s="16" t="str">
        <x:f>IF(OR(D37="",F37=""),"",SUMIFS('Ventas'!$J$7:$J$1006,'Ventas'!$A$7:$A$1006,"&gt;="&amp;DATE('Resumen'!$B$4,1,1),'Ventas'!$A$7:$A$1006,"&lt;"&amp;DATE('Resumen'!$B$4+1,1,1),'Ventas'!$D$7:$D$1006,"pagada",'Ventas'!$F$7:$F$1006,D37,'Ventas'!$H$7:$H$1006,F37))</x:f>
      </x:c>
    </x:row>
    <x:row r="38">
      <x:c r="A38" s="8"/>
      <x:c r="B38" s="16" t="str">
        <x:f>IF(A38="","",SUMIFS('Ventas'!$L$7:$L$1006,'Ventas'!$A$7:$A$1006,"&gt;="&amp;DATE('Resumen'!$B$4,1,1),'Ventas'!$A$7:$A$1006,"&lt;"&amp;DATE('Resumen'!$B$4+1,1,1),'Ventas'!$D$7:$D$1006,"pagada",'Ventas'!$E$7:$E$1006,A38))</x:f>
      </x:c>
      <x:c r="C38" s="2"/>
      <x:c r="D38" s="8"/>
      <x:c r="E38" s="8"/>
      <x:c r="F38" s="8"/>
      <x:c r="G38" s="28" t="str">
        <x:f>IF(OR(D38="",F38=""),"",SUMIFS('Ventas'!$I$7:$I$1006,'Ventas'!$A$7:$A$1006,"&gt;="&amp;DATE('Resumen'!$B$4,1,1),'Ventas'!$A$7:$A$1006,"&lt;"&amp;DATE('Resumen'!$B$4+1,1,1),'Ventas'!$D$7:$D$1006,"pagada",'Ventas'!$F$7:$F$1006,D38,'Ventas'!$H$7:$H$1006,F38))</x:f>
      </x:c>
      <x:c r="H38" s="16" t="str">
        <x:f>IF(OR(D38="",F38=""),"",SUMIFS('Ventas'!$J$7:$J$1006,'Ventas'!$A$7:$A$1006,"&gt;="&amp;DATE('Resumen'!$B$4,1,1),'Ventas'!$A$7:$A$1006,"&lt;"&amp;DATE('Resumen'!$B$4+1,1,1),'Ventas'!$D$7:$D$1006,"pagada",'Ventas'!$F$7:$F$1006,D38,'Ventas'!$H$7:$H$1006,F38))</x:f>
      </x:c>
    </x:row>
    <x:row r="39">
      <x:c r="A39" s="8"/>
      <x:c r="B39" s="16" t="str">
        <x:f>IF(A39="","",SUMIFS('Ventas'!$L$7:$L$1006,'Ventas'!$A$7:$A$1006,"&gt;="&amp;DATE('Resumen'!$B$4,1,1),'Ventas'!$A$7:$A$1006,"&lt;"&amp;DATE('Resumen'!$B$4+1,1,1),'Ventas'!$D$7:$D$1006,"pagada",'Ventas'!$E$7:$E$1006,A39))</x:f>
      </x:c>
      <x:c r="C39" s="2"/>
      <x:c r="D39" s="8"/>
      <x:c r="E39" s="8"/>
      <x:c r="F39" s="8"/>
      <x:c r="G39" s="28" t="str">
        <x:f>IF(OR(D39="",F39=""),"",SUMIFS('Ventas'!$I$7:$I$1006,'Ventas'!$A$7:$A$1006,"&gt;="&amp;DATE('Resumen'!$B$4,1,1),'Ventas'!$A$7:$A$1006,"&lt;"&amp;DATE('Resumen'!$B$4+1,1,1),'Ventas'!$D$7:$D$1006,"pagada",'Ventas'!$F$7:$F$1006,D39,'Ventas'!$H$7:$H$1006,F39))</x:f>
      </x:c>
      <x:c r="H39" s="16" t="str">
        <x:f>IF(OR(D39="",F39=""),"",SUMIFS('Ventas'!$J$7:$J$1006,'Ventas'!$A$7:$A$1006,"&gt;="&amp;DATE('Resumen'!$B$4,1,1),'Ventas'!$A$7:$A$1006,"&lt;"&amp;DATE('Resumen'!$B$4+1,1,1),'Ventas'!$D$7:$D$1006,"pagada",'Ventas'!$F$7:$F$1006,D39,'Ventas'!$H$7:$H$1006,F39))</x:f>
      </x:c>
    </x:row>
    <x:row r="40">
      <x:c r="A40" s="8"/>
      <x:c r="B40" s="16" t="str">
        <x:f>IF(A40="","",SUMIFS('Ventas'!$L$7:$L$1006,'Ventas'!$A$7:$A$1006,"&gt;="&amp;DATE('Resumen'!$B$4,1,1),'Ventas'!$A$7:$A$1006,"&lt;"&amp;DATE('Resumen'!$B$4+1,1,1),'Ventas'!$D$7:$D$1006,"pagada",'Ventas'!$E$7:$E$1006,A40))</x:f>
      </x:c>
      <x:c r="C40" s="2"/>
      <x:c r="D40" s="8"/>
      <x:c r="E40" s="8"/>
      <x:c r="F40" s="8"/>
      <x:c r="G40" s="28" t="str">
        <x:f>IF(OR(D40="",F40=""),"",SUMIFS('Ventas'!$I$7:$I$1006,'Ventas'!$A$7:$A$1006,"&gt;="&amp;DATE('Resumen'!$B$4,1,1),'Ventas'!$A$7:$A$1006,"&lt;"&amp;DATE('Resumen'!$B$4+1,1,1),'Ventas'!$D$7:$D$1006,"pagada",'Ventas'!$F$7:$F$1006,D40,'Ventas'!$H$7:$H$1006,F40))</x:f>
      </x:c>
      <x:c r="H40" s="16" t="str">
        <x:f>IF(OR(D40="",F40=""),"",SUMIFS('Ventas'!$J$7:$J$1006,'Ventas'!$A$7:$A$1006,"&gt;="&amp;DATE('Resumen'!$B$4,1,1),'Ventas'!$A$7:$A$1006,"&lt;"&amp;DATE('Resumen'!$B$4+1,1,1),'Ventas'!$D$7:$D$1006,"pagada",'Ventas'!$F$7:$F$1006,D40,'Ventas'!$H$7:$H$1006,F40))</x:f>
      </x:c>
    </x:row>
    <x:row r="41">
      <x:c r="A41" s="25"/>
      <x:c r="B41" s="27" t="str">
        <x:f>IF(A41="","",SUMIFS('Ventas'!$L$7:$L$1006,'Ventas'!$A$7:$A$1006,"&gt;="&amp;DATE('Resumen'!$B$4,1,1),'Ventas'!$A$7:$A$1006,"&lt;"&amp;DATE('Resumen'!$B$4+1,1,1),'Ventas'!$D$7:$D$1006,"pagada",'Ventas'!$E$7:$E$1006,A41))</x:f>
      </x:c>
      <x:c r="D41" s="25"/>
      <x:c r="E41" s="25"/>
      <x:c r="F41" s="25"/>
      <x:c r="G41" s="29" t="str">
        <x:f>IF(OR(D41="",F41=""),"",SUMIFS('Ventas'!$I$7:$I$1006,'Ventas'!$A$7:$A$1006,"&gt;="&amp;DATE('Resumen'!$B$4,1,1),'Ventas'!$A$7:$A$1006,"&lt;"&amp;DATE('Resumen'!$B$4+1,1,1),'Ventas'!$D$7:$D$1006,"pagada",'Ventas'!$F$7:$F$1006,D41,'Ventas'!$H$7:$H$1006,F41))</x:f>
      </x:c>
      <x:c r="H41" s="27" t="str">
        <x:f>IF(OR(D41="",F41=""),"",SUMIFS('Ventas'!$J$7:$J$1006,'Ventas'!$A$7:$A$1006,"&gt;="&amp;DATE('Resumen'!$B$4,1,1),'Ventas'!$A$7:$A$1006,"&lt;"&amp;DATE('Resumen'!$B$4+1,1,1),'Ventas'!$D$7:$D$1006,"pagada",'Ventas'!$F$7:$F$1006,D41,'Ventas'!$H$7:$H$1006,F41))</x:f>
      </x:c>
    </x:row>
    <x:row r="42">
      <x:c r="A42" s="25"/>
      <x:c r="B42" s="27" t="str">
        <x:f>IF(A42="","",SUMIFS('Ventas'!$L$7:$L$1006,'Ventas'!$A$7:$A$1006,"&gt;="&amp;DATE('Resumen'!$B$4,1,1),'Ventas'!$A$7:$A$1006,"&lt;"&amp;DATE('Resumen'!$B$4+1,1,1),'Ventas'!$D$7:$D$1006,"pagada",'Ventas'!$E$7:$E$1006,A42))</x:f>
      </x:c>
      <x:c r="D42" s="25"/>
      <x:c r="E42" s="25"/>
      <x:c r="F42" s="25"/>
      <x:c r="G42" s="29" t="str">
        <x:f>IF(OR(D42="",F42=""),"",SUMIFS('Ventas'!$I$7:$I$1006,'Ventas'!$A$7:$A$1006,"&gt;="&amp;DATE('Resumen'!$B$4,1,1),'Ventas'!$A$7:$A$1006,"&lt;"&amp;DATE('Resumen'!$B$4+1,1,1),'Ventas'!$D$7:$D$1006,"pagada",'Ventas'!$F$7:$F$1006,D42,'Ventas'!$H$7:$H$1006,F42))</x:f>
      </x:c>
      <x:c r="H42" s="27" t="str">
        <x:f>IF(OR(D42="",F42=""),"",SUMIFS('Ventas'!$J$7:$J$1006,'Ventas'!$A$7:$A$1006,"&gt;="&amp;DATE('Resumen'!$B$4,1,1),'Ventas'!$A$7:$A$1006,"&lt;"&amp;DATE('Resumen'!$B$4+1,1,1),'Ventas'!$D$7:$D$1006,"pagada",'Ventas'!$F$7:$F$1006,D42,'Ventas'!$H$7:$H$1006,F42))</x:f>
      </x:c>
    </x:row>
    <x:row r="43">
      <x:c r="A43" s="25"/>
      <x:c r="B43" s="27" t="str">
        <x:f>IF(A43="","",SUMIFS('Ventas'!$L$7:$L$1006,'Ventas'!$A$7:$A$1006,"&gt;="&amp;DATE('Resumen'!$B$4,1,1),'Ventas'!$A$7:$A$1006,"&lt;"&amp;DATE('Resumen'!$B$4+1,1,1),'Ventas'!$D$7:$D$1006,"pagada",'Ventas'!$E$7:$E$1006,A43))</x:f>
      </x:c>
      <x:c r="D43" s="25"/>
      <x:c r="E43" s="25"/>
      <x:c r="F43" s="25"/>
      <x:c r="G43" s="29" t="str">
        <x:f>IF(OR(D43="",F43=""),"",SUMIFS('Ventas'!$I$7:$I$1006,'Ventas'!$A$7:$A$1006,"&gt;="&amp;DATE('Resumen'!$B$4,1,1),'Ventas'!$A$7:$A$1006,"&lt;"&amp;DATE('Resumen'!$B$4+1,1,1),'Ventas'!$D$7:$D$1006,"pagada",'Ventas'!$F$7:$F$1006,D43,'Ventas'!$H$7:$H$1006,F43))</x:f>
      </x:c>
      <x:c r="H43" s="27" t="str">
        <x:f>IF(OR(D43="",F43=""),"",SUMIFS('Ventas'!$J$7:$J$1006,'Ventas'!$A$7:$A$1006,"&gt;="&amp;DATE('Resumen'!$B$4,1,1),'Ventas'!$A$7:$A$1006,"&lt;"&amp;DATE('Resumen'!$B$4+1,1,1),'Ventas'!$D$7:$D$1006,"pagada",'Ventas'!$F$7:$F$1006,D43,'Ventas'!$H$7:$H$1006,F43))</x:f>
      </x:c>
    </x:row>
    <x:row r="44">
      <x:c r="A44" s="25"/>
      <x:c r="B44" s="27" t="str">
        <x:f>IF(A44="","",SUMIFS('Ventas'!$L$7:$L$1006,'Ventas'!$A$7:$A$1006,"&gt;="&amp;DATE('Resumen'!$B$4,1,1),'Ventas'!$A$7:$A$1006,"&lt;"&amp;DATE('Resumen'!$B$4+1,1,1),'Ventas'!$D$7:$D$1006,"pagada",'Ventas'!$E$7:$E$1006,A44))</x:f>
      </x:c>
      <x:c r="D44" s="25"/>
      <x:c r="E44" s="25"/>
      <x:c r="F44" s="25"/>
      <x:c r="G44" s="29" t="str">
        <x:f>IF(OR(D44="",F44=""),"",SUMIFS('Ventas'!$I$7:$I$1006,'Ventas'!$A$7:$A$1006,"&gt;="&amp;DATE('Resumen'!$B$4,1,1),'Ventas'!$A$7:$A$1006,"&lt;"&amp;DATE('Resumen'!$B$4+1,1,1),'Ventas'!$D$7:$D$1006,"pagada",'Ventas'!$F$7:$F$1006,D44,'Ventas'!$H$7:$H$1006,F44))</x:f>
      </x:c>
      <x:c r="H44" s="27" t="str">
        <x:f>IF(OR(D44="",F44=""),"",SUMIFS('Ventas'!$J$7:$J$1006,'Ventas'!$A$7:$A$1006,"&gt;="&amp;DATE('Resumen'!$B$4,1,1),'Ventas'!$A$7:$A$1006,"&lt;"&amp;DATE('Resumen'!$B$4+1,1,1),'Ventas'!$D$7:$D$1006,"pagada",'Ventas'!$F$7:$F$1006,D44,'Ventas'!$H$7:$H$1006,F44))</x:f>
      </x:c>
    </x:row>
    <x:row r="45">
      <x:c r="A45" s="25"/>
      <x:c r="B45" s="27" t="str">
        <x:f>IF(A45="","",SUMIFS('Ventas'!$L$7:$L$1006,'Ventas'!$A$7:$A$1006,"&gt;="&amp;DATE('Resumen'!$B$4,1,1),'Ventas'!$A$7:$A$1006,"&lt;"&amp;DATE('Resumen'!$B$4+1,1,1),'Ventas'!$D$7:$D$1006,"pagada",'Ventas'!$E$7:$E$1006,A45))</x:f>
      </x:c>
      <x:c r="D45" s="25"/>
      <x:c r="E45" s="25"/>
      <x:c r="F45" s="25"/>
      <x:c r="G45" s="29" t="str">
        <x:f>IF(OR(D45="",F45=""),"",SUMIFS('Ventas'!$I$7:$I$1006,'Ventas'!$A$7:$A$1006,"&gt;="&amp;DATE('Resumen'!$B$4,1,1),'Ventas'!$A$7:$A$1006,"&lt;"&amp;DATE('Resumen'!$B$4+1,1,1),'Ventas'!$D$7:$D$1006,"pagada",'Ventas'!$F$7:$F$1006,D45,'Ventas'!$H$7:$H$1006,F45))</x:f>
      </x:c>
      <x:c r="H45" s="27" t="str">
        <x:f>IF(OR(D45="",F45=""),"",SUMIFS('Ventas'!$J$7:$J$1006,'Ventas'!$A$7:$A$1006,"&gt;="&amp;DATE('Resumen'!$B$4,1,1),'Ventas'!$A$7:$A$1006,"&lt;"&amp;DATE('Resumen'!$B$4+1,1,1),'Ventas'!$D$7:$D$1006,"pagada",'Ventas'!$F$7:$F$1006,D45,'Ventas'!$H$7:$H$1006,F45))</x:f>
      </x:c>
    </x:row>
    <x:row r="46">
      <x:c r="A46" s="25"/>
      <x:c r="B46" s="27" t="str">
        <x:f>IF(A46="","",SUMIFS('Ventas'!$L$7:$L$1006,'Ventas'!$A$7:$A$1006,"&gt;="&amp;DATE('Resumen'!$B$4,1,1),'Ventas'!$A$7:$A$1006,"&lt;"&amp;DATE('Resumen'!$B$4+1,1,1),'Ventas'!$D$7:$D$1006,"pagada",'Ventas'!$E$7:$E$1006,A46))</x:f>
      </x:c>
      <x:c r="D46" s="25"/>
      <x:c r="E46" s="25"/>
      <x:c r="F46" s="25"/>
      <x:c r="G46" s="29" t="str">
        <x:f>IF(OR(D46="",F46=""),"",SUMIFS('Ventas'!$I$7:$I$1006,'Ventas'!$A$7:$A$1006,"&gt;="&amp;DATE('Resumen'!$B$4,1,1),'Ventas'!$A$7:$A$1006,"&lt;"&amp;DATE('Resumen'!$B$4+1,1,1),'Ventas'!$D$7:$D$1006,"pagada",'Ventas'!$F$7:$F$1006,D46,'Ventas'!$H$7:$H$1006,F46))</x:f>
      </x:c>
      <x:c r="H46" s="27" t="str">
        <x:f>IF(OR(D46="",F46=""),"",SUMIFS('Ventas'!$J$7:$J$1006,'Ventas'!$A$7:$A$1006,"&gt;="&amp;DATE('Resumen'!$B$4,1,1),'Ventas'!$A$7:$A$1006,"&lt;"&amp;DATE('Resumen'!$B$4+1,1,1),'Ventas'!$D$7:$D$1006,"pagada",'Ventas'!$F$7:$F$1006,D46,'Ventas'!$H$7:$H$1006,F46))</x:f>
      </x:c>
    </x:row>
    <x:row r="47">
      <x:c r="A47" s="25"/>
      <x:c r="B47" s="27" t="str">
        <x:f>IF(A47="","",SUMIFS('Ventas'!$L$7:$L$1006,'Ventas'!$A$7:$A$1006,"&gt;="&amp;DATE('Resumen'!$B$4,1,1),'Ventas'!$A$7:$A$1006,"&lt;"&amp;DATE('Resumen'!$B$4+1,1,1),'Ventas'!$D$7:$D$1006,"pagada",'Ventas'!$E$7:$E$1006,A47))</x:f>
      </x:c>
      <x:c r="D47" s="25"/>
      <x:c r="E47" s="25"/>
      <x:c r="F47" s="25"/>
      <x:c r="G47" s="29" t="str">
        <x:f>IF(OR(D47="",F47=""),"",SUMIFS('Ventas'!$I$7:$I$1006,'Ventas'!$A$7:$A$1006,"&gt;="&amp;DATE('Resumen'!$B$4,1,1),'Ventas'!$A$7:$A$1006,"&lt;"&amp;DATE('Resumen'!$B$4+1,1,1),'Ventas'!$D$7:$D$1006,"pagada",'Ventas'!$F$7:$F$1006,D47,'Ventas'!$H$7:$H$1006,F47))</x:f>
      </x:c>
      <x:c r="H47" s="27" t="str">
        <x:f>IF(OR(D47="",F47=""),"",SUMIFS('Ventas'!$J$7:$J$1006,'Ventas'!$A$7:$A$1006,"&gt;="&amp;DATE('Resumen'!$B$4,1,1),'Ventas'!$A$7:$A$1006,"&lt;"&amp;DATE('Resumen'!$B$4+1,1,1),'Ventas'!$D$7:$D$1006,"pagada",'Ventas'!$F$7:$F$1006,D47,'Ventas'!$H$7:$H$1006,F47))</x:f>
      </x:c>
    </x:row>
    <x:row r="48">
      <x:c r="A48" s="25"/>
      <x:c r="B48" s="27" t="str">
        <x:f>IF(A48="","",SUMIFS('Ventas'!$L$7:$L$1006,'Ventas'!$A$7:$A$1006,"&gt;="&amp;DATE('Resumen'!$B$4,1,1),'Ventas'!$A$7:$A$1006,"&lt;"&amp;DATE('Resumen'!$B$4+1,1,1),'Ventas'!$D$7:$D$1006,"pagada",'Ventas'!$E$7:$E$1006,A48))</x:f>
      </x:c>
      <x:c r="D48" s="25"/>
      <x:c r="E48" s="25"/>
      <x:c r="F48" s="25"/>
      <x:c r="G48" s="29" t="str">
        <x:f>IF(OR(D48="",F48=""),"",SUMIFS('Ventas'!$I$7:$I$1006,'Ventas'!$A$7:$A$1006,"&gt;="&amp;DATE('Resumen'!$B$4,1,1),'Ventas'!$A$7:$A$1006,"&lt;"&amp;DATE('Resumen'!$B$4+1,1,1),'Ventas'!$D$7:$D$1006,"pagada",'Ventas'!$F$7:$F$1006,D48,'Ventas'!$H$7:$H$1006,F48))</x:f>
      </x:c>
      <x:c r="H48" s="27" t="str">
        <x:f>IF(OR(D48="",F48=""),"",SUMIFS('Ventas'!$J$7:$J$1006,'Ventas'!$A$7:$A$1006,"&gt;="&amp;DATE('Resumen'!$B$4,1,1),'Ventas'!$A$7:$A$1006,"&lt;"&amp;DATE('Resumen'!$B$4+1,1,1),'Ventas'!$D$7:$D$1006,"pagada",'Ventas'!$F$7:$F$1006,D48,'Ventas'!$H$7:$H$1006,F48))</x:f>
      </x:c>
    </x:row>
    <x:row r="49">
      <x:c r="A49" s="25"/>
      <x:c r="B49" s="27" t="str">
        <x:f>IF(A49="","",SUMIFS('Ventas'!$L$7:$L$1006,'Ventas'!$A$7:$A$1006,"&gt;="&amp;DATE('Resumen'!$B$4,1,1),'Ventas'!$A$7:$A$1006,"&lt;"&amp;DATE('Resumen'!$B$4+1,1,1),'Ventas'!$D$7:$D$1006,"pagada",'Ventas'!$E$7:$E$1006,A49))</x:f>
      </x:c>
      <x:c r="D49" s="25"/>
      <x:c r="E49" s="25"/>
      <x:c r="F49" s="25"/>
      <x:c r="G49" s="29" t="str">
        <x:f>IF(OR(D49="",F49=""),"",SUMIFS('Ventas'!$I$7:$I$1006,'Ventas'!$A$7:$A$1006,"&gt;="&amp;DATE('Resumen'!$B$4,1,1),'Ventas'!$A$7:$A$1006,"&lt;"&amp;DATE('Resumen'!$B$4+1,1,1),'Ventas'!$D$7:$D$1006,"pagada",'Ventas'!$F$7:$F$1006,D49,'Ventas'!$H$7:$H$1006,F49))</x:f>
      </x:c>
      <x:c r="H49" s="27" t="str">
        <x:f>IF(OR(D49="",F49=""),"",SUMIFS('Ventas'!$J$7:$J$1006,'Ventas'!$A$7:$A$1006,"&gt;="&amp;DATE('Resumen'!$B$4,1,1),'Ventas'!$A$7:$A$1006,"&lt;"&amp;DATE('Resumen'!$B$4+1,1,1),'Ventas'!$D$7:$D$1006,"pagada",'Ventas'!$F$7:$F$1006,D49,'Ventas'!$H$7:$H$1006,F49))</x:f>
      </x:c>
    </x:row>
    <x:row r="50">
      <x:c r="A50" s="25"/>
      <x:c r="B50" s="27" t="str">
        <x:f>IF(A50="","",SUMIFS('Ventas'!$L$7:$L$1006,'Ventas'!$A$7:$A$1006,"&gt;="&amp;DATE('Resumen'!$B$4,1,1),'Ventas'!$A$7:$A$1006,"&lt;"&amp;DATE('Resumen'!$B$4+1,1,1),'Ventas'!$D$7:$D$1006,"pagada",'Ventas'!$E$7:$E$1006,A50))</x:f>
      </x:c>
      <x:c r="D50" s="25"/>
      <x:c r="E50" s="25"/>
      <x:c r="F50" s="25"/>
      <x:c r="G50" s="29" t="str">
        <x:f>IF(OR(D50="",F50=""),"",SUMIFS('Ventas'!$I$7:$I$1006,'Ventas'!$A$7:$A$1006,"&gt;="&amp;DATE('Resumen'!$B$4,1,1),'Ventas'!$A$7:$A$1006,"&lt;"&amp;DATE('Resumen'!$B$4+1,1,1),'Ventas'!$D$7:$D$1006,"pagada",'Ventas'!$F$7:$F$1006,D50,'Ventas'!$H$7:$H$1006,F50))</x:f>
      </x:c>
      <x:c r="H50" s="27" t="str">
        <x:f>IF(OR(D50="",F50=""),"",SUMIFS('Ventas'!$J$7:$J$1006,'Ventas'!$A$7:$A$1006,"&gt;="&amp;DATE('Resumen'!$B$4,1,1),'Ventas'!$A$7:$A$1006,"&lt;"&amp;DATE('Resumen'!$B$4+1,1,1),'Ventas'!$D$7:$D$1006,"pagada",'Ventas'!$F$7:$F$1006,D50,'Ventas'!$H$7:$H$1006,F50))</x:f>
      </x:c>
    </x:row>
    <x:row r="51">
      <x:c r="A51" s="25"/>
      <x:c r="B51" s="27" t="str">
        <x:f>IF(A51="","",SUMIFS('Ventas'!$L$7:$L$1006,'Ventas'!$A$7:$A$1006,"&gt;="&amp;DATE('Resumen'!$B$4,1,1),'Ventas'!$A$7:$A$1006,"&lt;"&amp;DATE('Resumen'!$B$4+1,1,1),'Ventas'!$D$7:$D$1006,"pagada",'Ventas'!$E$7:$E$1006,A51))</x:f>
      </x:c>
      <x:c r="D51" s="25"/>
      <x:c r="E51" s="25"/>
      <x:c r="F51" s="25"/>
      <x:c r="G51" s="29" t="str">
        <x:f>IF(OR(D51="",F51=""),"",SUMIFS('Ventas'!$I$7:$I$1006,'Ventas'!$A$7:$A$1006,"&gt;="&amp;DATE('Resumen'!$B$4,1,1),'Ventas'!$A$7:$A$1006,"&lt;"&amp;DATE('Resumen'!$B$4+1,1,1),'Ventas'!$D$7:$D$1006,"pagada",'Ventas'!$F$7:$F$1006,D51,'Ventas'!$H$7:$H$1006,F51))</x:f>
      </x:c>
      <x:c r="H51" s="27" t="str">
        <x:f>IF(OR(D51="",F51=""),"",SUMIFS('Ventas'!$J$7:$J$1006,'Ventas'!$A$7:$A$1006,"&gt;="&amp;DATE('Resumen'!$B$4,1,1),'Ventas'!$A$7:$A$1006,"&lt;"&amp;DATE('Resumen'!$B$4+1,1,1),'Ventas'!$D$7:$D$1006,"pagada",'Ventas'!$F$7:$F$1006,D51,'Ventas'!$H$7:$H$1006,F51))</x:f>
      </x:c>
    </x:row>
    <x:row r="52">
      <x:c r="A52" s="25"/>
      <x:c r="B52" s="27" t="str">
        <x:f>IF(A52="","",SUMIFS('Ventas'!$L$7:$L$1006,'Ventas'!$A$7:$A$1006,"&gt;="&amp;DATE('Resumen'!$B$4,1,1),'Ventas'!$A$7:$A$1006,"&lt;"&amp;DATE('Resumen'!$B$4+1,1,1),'Ventas'!$D$7:$D$1006,"pagada",'Ventas'!$E$7:$E$1006,A52))</x:f>
      </x:c>
      <x:c r="D52" s="25"/>
      <x:c r="E52" s="25"/>
      <x:c r="F52" s="25"/>
      <x:c r="G52" s="29" t="str">
        <x:f>IF(OR(D52="",F52=""),"",SUMIFS('Ventas'!$I$7:$I$1006,'Ventas'!$A$7:$A$1006,"&gt;="&amp;DATE('Resumen'!$B$4,1,1),'Ventas'!$A$7:$A$1006,"&lt;"&amp;DATE('Resumen'!$B$4+1,1,1),'Ventas'!$D$7:$D$1006,"pagada",'Ventas'!$F$7:$F$1006,D52,'Ventas'!$H$7:$H$1006,F52))</x:f>
      </x:c>
      <x:c r="H52" s="27" t="str">
        <x:f>IF(OR(D52="",F52=""),"",SUMIFS('Ventas'!$J$7:$J$1006,'Ventas'!$A$7:$A$1006,"&gt;="&amp;DATE('Resumen'!$B$4,1,1),'Ventas'!$A$7:$A$1006,"&lt;"&amp;DATE('Resumen'!$B$4+1,1,1),'Ventas'!$D$7:$D$1006,"pagada",'Ventas'!$F$7:$F$1006,D52,'Ventas'!$H$7:$H$1006,F52))</x:f>
      </x:c>
    </x:row>
    <x:row r="53">
      <x:c r="A53" s="25"/>
      <x:c r="B53" s="27" t="str">
        <x:f>IF(A53="","",SUMIFS('Ventas'!$L$7:$L$1006,'Ventas'!$A$7:$A$1006,"&gt;="&amp;DATE('Resumen'!$B$4,1,1),'Ventas'!$A$7:$A$1006,"&lt;"&amp;DATE('Resumen'!$B$4+1,1,1),'Ventas'!$D$7:$D$1006,"pagada",'Ventas'!$E$7:$E$1006,A53))</x:f>
      </x:c>
      <x:c r="D53" s="25"/>
      <x:c r="E53" s="25"/>
      <x:c r="F53" s="25"/>
      <x:c r="G53" s="29" t="str">
        <x:f>IF(OR(D53="",F53=""),"",SUMIFS('Ventas'!$I$7:$I$1006,'Ventas'!$A$7:$A$1006,"&gt;="&amp;DATE('Resumen'!$B$4,1,1),'Ventas'!$A$7:$A$1006,"&lt;"&amp;DATE('Resumen'!$B$4+1,1,1),'Ventas'!$D$7:$D$1006,"pagada",'Ventas'!$F$7:$F$1006,D53,'Ventas'!$H$7:$H$1006,F53))</x:f>
      </x:c>
      <x:c r="H53" s="27" t="str">
        <x:f>IF(OR(D53="",F53=""),"",SUMIFS('Ventas'!$J$7:$J$1006,'Ventas'!$A$7:$A$1006,"&gt;="&amp;DATE('Resumen'!$B$4,1,1),'Ventas'!$A$7:$A$1006,"&lt;"&amp;DATE('Resumen'!$B$4+1,1,1),'Ventas'!$D$7:$D$1006,"pagada",'Ventas'!$F$7:$F$1006,D53,'Ventas'!$H$7:$H$1006,F53))</x:f>
      </x:c>
    </x:row>
    <x:row r="54">
      <x:c r="A54" s="25"/>
      <x:c r="B54" s="27" t="str">
        <x:f>IF(A54="","",SUMIFS('Ventas'!$L$7:$L$1006,'Ventas'!$A$7:$A$1006,"&gt;="&amp;DATE('Resumen'!$B$4,1,1),'Ventas'!$A$7:$A$1006,"&lt;"&amp;DATE('Resumen'!$B$4+1,1,1),'Ventas'!$D$7:$D$1006,"pagada",'Ventas'!$E$7:$E$1006,A54))</x:f>
      </x:c>
      <x:c r="D54" s="25"/>
      <x:c r="E54" s="25"/>
      <x:c r="F54" s="25"/>
      <x:c r="G54" s="29" t="str">
        <x:f>IF(OR(D54="",F54=""),"",SUMIFS('Ventas'!$I$7:$I$1006,'Ventas'!$A$7:$A$1006,"&gt;="&amp;DATE('Resumen'!$B$4,1,1),'Ventas'!$A$7:$A$1006,"&lt;"&amp;DATE('Resumen'!$B$4+1,1,1),'Ventas'!$D$7:$D$1006,"pagada",'Ventas'!$F$7:$F$1006,D54,'Ventas'!$H$7:$H$1006,F54))</x:f>
      </x:c>
      <x:c r="H54" s="27" t="str">
        <x:f>IF(OR(D54="",F54=""),"",SUMIFS('Ventas'!$J$7:$J$1006,'Ventas'!$A$7:$A$1006,"&gt;="&amp;DATE('Resumen'!$B$4,1,1),'Ventas'!$A$7:$A$1006,"&lt;"&amp;DATE('Resumen'!$B$4+1,1,1),'Ventas'!$D$7:$D$1006,"pagada",'Ventas'!$F$7:$F$1006,D54,'Ventas'!$H$7:$H$1006,F54))</x:f>
      </x:c>
    </x:row>
    <x:row r="55">
      <x:c r="A55" s="25"/>
      <x:c r="B55" s="27" t="str">
        <x:f>IF(A55="","",SUMIFS('Ventas'!$L$7:$L$1006,'Ventas'!$A$7:$A$1006,"&gt;="&amp;DATE('Resumen'!$B$4,1,1),'Ventas'!$A$7:$A$1006,"&lt;"&amp;DATE('Resumen'!$B$4+1,1,1),'Ventas'!$D$7:$D$1006,"pagada",'Ventas'!$E$7:$E$1006,A55))</x:f>
      </x:c>
      <x:c r="D55" s="25"/>
      <x:c r="E55" s="25"/>
      <x:c r="F55" s="25"/>
      <x:c r="G55" s="29" t="str">
        <x:f>IF(OR(D55="",F55=""),"",SUMIFS('Ventas'!$I$7:$I$1006,'Ventas'!$A$7:$A$1006,"&gt;="&amp;DATE('Resumen'!$B$4,1,1),'Ventas'!$A$7:$A$1006,"&lt;"&amp;DATE('Resumen'!$B$4+1,1,1),'Ventas'!$D$7:$D$1006,"pagada",'Ventas'!$F$7:$F$1006,D55,'Ventas'!$H$7:$H$1006,F55))</x:f>
      </x:c>
      <x:c r="H55" s="27" t="str">
        <x:f>IF(OR(D55="",F55=""),"",SUMIFS('Ventas'!$J$7:$J$1006,'Ventas'!$A$7:$A$1006,"&gt;="&amp;DATE('Resumen'!$B$4,1,1),'Ventas'!$A$7:$A$1006,"&lt;"&amp;DATE('Resumen'!$B$4+1,1,1),'Ventas'!$D$7:$D$1006,"pagada",'Ventas'!$F$7:$F$1006,D55,'Ventas'!$H$7:$H$1006,F55))</x:f>
      </x:c>
    </x:row>
    <x:row r="56">
      <x:c r="A56" s="25"/>
      <x:c r="B56" s="27" t="str">
        <x:f>IF(A56="","",SUMIFS('Ventas'!$L$7:$L$1006,'Ventas'!$A$7:$A$1006,"&gt;="&amp;DATE('Resumen'!$B$4,1,1),'Ventas'!$A$7:$A$1006,"&lt;"&amp;DATE('Resumen'!$B$4+1,1,1),'Ventas'!$D$7:$D$1006,"pagada",'Ventas'!$E$7:$E$1006,A56))</x:f>
      </x:c>
      <x:c r="D56" s="25"/>
      <x:c r="E56" s="25"/>
      <x:c r="F56" s="25"/>
      <x:c r="G56" s="29" t="str">
        <x:f>IF(OR(D56="",F56=""),"",SUMIFS('Ventas'!$I$7:$I$1006,'Ventas'!$A$7:$A$1006,"&gt;="&amp;DATE('Resumen'!$B$4,1,1),'Ventas'!$A$7:$A$1006,"&lt;"&amp;DATE('Resumen'!$B$4+1,1,1),'Ventas'!$D$7:$D$1006,"pagada",'Ventas'!$F$7:$F$1006,D56,'Ventas'!$H$7:$H$1006,F56))</x:f>
      </x:c>
      <x:c r="H56" s="27" t="str">
        <x:f>IF(OR(D56="",F56=""),"",SUMIFS('Ventas'!$J$7:$J$1006,'Ventas'!$A$7:$A$1006,"&gt;="&amp;DATE('Resumen'!$B$4,1,1),'Ventas'!$A$7:$A$1006,"&lt;"&amp;DATE('Resumen'!$B$4+1,1,1),'Ventas'!$D$7:$D$1006,"pagada",'Ventas'!$F$7:$F$1006,D56,'Ventas'!$H$7:$H$1006,F56))</x:f>
      </x:c>
    </x:row>
    <x:row r="57">
      <x:c r="A57" s="25"/>
      <x:c r="B57" s="27" t="str">
        <x:f>IF(A57="","",SUMIFS('Ventas'!$L$7:$L$1006,'Ventas'!$A$7:$A$1006,"&gt;="&amp;DATE('Resumen'!$B$4,1,1),'Ventas'!$A$7:$A$1006,"&lt;"&amp;DATE('Resumen'!$B$4+1,1,1),'Ventas'!$D$7:$D$1006,"pagada",'Ventas'!$E$7:$E$1006,A57))</x:f>
      </x:c>
      <x:c r="D57" s="25"/>
      <x:c r="E57" s="25"/>
      <x:c r="F57" s="25"/>
      <x:c r="G57" s="29" t="str">
        <x:f>IF(OR(D57="",F57=""),"",SUMIFS('Ventas'!$I$7:$I$1006,'Ventas'!$A$7:$A$1006,"&gt;="&amp;DATE('Resumen'!$B$4,1,1),'Ventas'!$A$7:$A$1006,"&lt;"&amp;DATE('Resumen'!$B$4+1,1,1),'Ventas'!$D$7:$D$1006,"pagada",'Ventas'!$F$7:$F$1006,D57,'Ventas'!$H$7:$H$1006,F57))</x:f>
      </x:c>
      <x:c r="H57" s="27" t="str">
        <x:f>IF(OR(D57="",F57=""),"",SUMIFS('Ventas'!$J$7:$J$1006,'Ventas'!$A$7:$A$1006,"&gt;="&amp;DATE('Resumen'!$B$4,1,1),'Ventas'!$A$7:$A$1006,"&lt;"&amp;DATE('Resumen'!$B$4+1,1,1),'Ventas'!$D$7:$D$1006,"pagada",'Ventas'!$F$7:$F$1006,D57,'Ventas'!$H$7:$H$1006,F57))</x:f>
      </x:c>
    </x:row>
    <x:row r="58">
      <x:c r="A58" s="25"/>
      <x:c r="B58" s="27" t="str">
        <x:f>IF(A58="","",SUMIFS('Ventas'!$L$7:$L$1006,'Ventas'!$A$7:$A$1006,"&gt;="&amp;DATE('Resumen'!$B$4,1,1),'Ventas'!$A$7:$A$1006,"&lt;"&amp;DATE('Resumen'!$B$4+1,1,1),'Ventas'!$D$7:$D$1006,"pagada",'Ventas'!$E$7:$E$1006,A58))</x:f>
      </x:c>
      <x:c r="D58" s="25"/>
      <x:c r="E58" s="25"/>
      <x:c r="F58" s="25"/>
      <x:c r="G58" s="29" t="str">
        <x:f>IF(OR(D58="",F58=""),"",SUMIFS('Ventas'!$I$7:$I$1006,'Ventas'!$A$7:$A$1006,"&gt;="&amp;DATE('Resumen'!$B$4,1,1),'Ventas'!$A$7:$A$1006,"&lt;"&amp;DATE('Resumen'!$B$4+1,1,1),'Ventas'!$D$7:$D$1006,"pagada",'Ventas'!$F$7:$F$1006,D58,'Ventas'!$H$7:$H$1006,F58))</x:f>
      </x:c>
      <x:c r="H58" s="27" t="str">
        <x:f>IF(OR(D58="",F58=""),"",SUMIFS('Ventas'!$J$7:$J$1006,'Ventas'!$A$7:$A$1006,"&gt;="&amp;DATE('Resumen'!$B$4,1,1),'Ventas'!$A$7:$A$1006,"&lt;"&amp;DATE('Resumen'!$B$4+1,1,1),'Ventas'!$D$7:$D$1006,"pagada",'Ventas'!$F$7:$F$1006,D58,'Ventas'!$H$7:$H$1006,F58))</x:f>
      </x:c>
    </x:row>
    <x:row r="59">
      <x:c r="A59" s="25"/>
      <x:c r="B59" s="27" t="str">
        <x:f>IF(A59="","",SUMIFS('Ventas'!$L$7:$L$1006,'Ventas'!$A$7:$A$1006,"&gt;="&amp;DATE('Resumen'!$B$4,1,1),'Ventas'!$A$7:$A$1006,"&lt;"&amp;DATE('Resumen'!$B$4+1,1,1),'Ventas'!$D$7:$D$1006,"pagada",'Ventas'!$E$7:$E$1006,A59))</x:f>
      </x:c>
      <x:c r="D59" s="25"/>
      <x:c r="E59" s="25"/>
      <x:c r="F59" s="25"/>
      <x:c r="G59" s="29" t="str">
        <x:f>IF(OR(D59="",F59=""),"",SUMIFS('Ventas'!$I$7:$I$1006,'Ventas'!$A$7:$A$1006,"&gt;="&amp;DATE('Resumen'!$B$4,1,1),'Ventas'!$A$7:$A$1006,"&lt;"&amp;DATE('Resumen'!$B$4+1,1,1),'Ventas'!$D$7:$D$1006,"pagada",'Ventas'!$F$7:$F$1006,D59,'Ventas'!$H$7:$H$1006,F59))</x:f>
      </x:c>
      <x:c r="H59" s="27" t="str">
        <x:f>IF(OR(D59="",F59=""),"",SUMIFS('Ventas'!$J$7:$J$1006,'Ventas'!$A$7:$A$1006,"&gt;="&amp;DATE('Resumen'!$B$4,1,1),'Ventas'!$A$7:$A$1006,"&lt;"&amp;DATE('Resumen'!$B$4+1,1,1),'Ventas'!$D$7:$D$1006,"pagada",'Ventas'!$F$7:$F$1006,D59,'Ventas'!$H$7:$H$1006,F59))</x:f>
      </x:c>
    </x:row>
    <x:row r="60">
      <x:c r="A60" s="25"/>
      <x:c r="B60" s="27" t="str">
        <x:f>IF(A60="","",SUMIFS('Ventas'!$L$7:$L$1006,'Ventas'!$A$7:$A$1006,"&gt;="&amp;DATE('Resumen'!$B$4,1,1),'Ventas'!$A$7:$A$1006,"&lt;"&amp;DATE('Resumen'!$B$4+1,1,1),'Ventas'!$D$7:$D$1006,"pagada",'Ventas'!$E$7:$E$1006,A60))</x:f>
      </x:c>
      <x:c r="D60" s="25"/>
      <x:c r="E60" s="25"/>
      <x:c r="F60" s="25"/>
      <x:c r="G60" s="29" t="str">
        <x:f>IF(OR(D60="",F60=""),"",SUMIFS('Ventas'!$I$7:$I$1006,'Ventas'!$A$7:$A$1006,"&gt;="&amp;DATE('Resumen'!$B$4,1,1),'Ventas'!$A$7:$A$1006,"&lt;"&amp;DATE('Resumen'!$B$4+1,1,1),'Ventas'!$D$7:$D$1006,"pagada",'Ventas'!$F$7:$F$1006,D60,'Ventas'!$H$7:$H$1006,F60))</x:f>
      </x:c>
      <x:c r="H60" s="27" t="str">
        <x:f>IF(OR(D60="",F60=""),"",SUMIFS('Ventas'!$J$7:$J$1006,'Ventas'!$A$7:$A$1006,"&gt;="&amp;DATE('Resumen'!$B$4,1,1),'Ventas'!$A$7:$A$1006,"&lt;"&amp;DATE('Resumen'!$B$4+1,1,1),'Ventas'!$D$7:$D$1006,"pagada",'Ventas'!$F$7:$F$1006,D60,'Ventas'!$H$7:$H$1006,F60))</x:f>
      </x:c>
    </x:row>
    <x:row r="61">
      <x:c r="A61" s="25"/>
      <x:c r="B61" s="27" t="str">
        <x:f>IF(A61="","",SUMIFS('Ventas'!$L$7:$L$1006,'Ventas'!$A$7:$A$1006,"&gt;="&amp;DATE('Resumen'!$B$4,1,1),'Ventas'!$A$7:$A$1006,"&lt;"&amp;DATE('Resumen'!$B$4+1,1,1),'Ventas'!$D$7:$D$1006,"pagada",'Ventas'!$E$7:$E$1006,A61))</x:f>
      </x:c>
      <x:c r="D61" s="25"/>
      <x:c r="E61" s="25"/>
      <x:c r="F61" s="25"/>
      <x:c r="G61" s="29" t="str">
        <x:f>IF(OR(D61="",F61=""),"",SUMIFS('Ventas'!$I$7:$I$1006,'Ventas'!$A$7:$A$1006,"&gt;="&amp;DATE('Resumen'!$B$4,1,1),'Ventas'!$A$7:$A$1006,"&lt;"&amp;DATE('Resumen'!$B$4+1,1,1),'Ventas'!$D$7:$D$1006,"pagada",'Ventas'!$F$7:$F$1006,D61,'Ventas'!$H$7:$H$1006,F61))</x:f>
      </x:c>
      <x:c r="H61" s="27" t="str">
        <x:f>IF(OR(D61="",F61=""),"",SUMIFS('Ventas'!$J$7:$J$1006,'Ventas'!$A$7:$A$1006,"&gt;="&amp;DATE('Resumen'!$B$4,1,1),'Ventas'!$A$7:$A$1006,"&lt;"&amp;DATE('Resumen'!$B$4+1,1,1),'Ventas'!$D$7:$D$1006,"pagada",'Ventas'!$F$7:$F$1006,D61,'Ventas'!$H$7:$H$1006,F61))</x:f>
      </x:c>
    </x:row>
    <x:row r="62">
      <x:c r="D62" s="25"/>
      <x:c r="E62" s="25"/>
      <x:c r="F62" s="25"/>
      <x:c r="G62" s="29" t="str">
        <x:f>IF(OR(D62="",F62=""),"",SUMIFS('Ventas'!$I$7:$I$1006,'Ventas'!$A$7:$A$1006,"&gt;="&amp;DATE('Resumen'!$B$4,1,1),'Ventas'!$A$7:$A$1006,"&lt;"&amp;DATE('Resumen'!$B$4+1,1,1),'Ventas'!$D$7:$D$1006,"pagada",'Ventas'!$F$7:$F$1006,D62,'Ventas'!$H$7:$H$1006,F62))</x:f>
      </x:c>
      <x:c r="H62" s="27" t="str">
        <x:f>IF(OR(D62="",F62=""),"",SUMIFS('Ventas'!$J$7:$J$1006,'Ventas'!$A$7:$A$1006,"&gt;="&amp;DATE('Resumen'!$B$4,1,1),'Ventas'!$A$7:$A$1006,"&lt;"&amp;DATE('Resumen'!$B$4+1,1,1),'Ventas'!$D$7:$D$1006,"pagada",'Ventas'!$F$7:$F$1006,D62,'Ventas'!$H$7:$H$1006,F62))</x:f>
      </x:c>
    </x:row>
    <x:row r="63">
      <x:c r="D63" s="25"/>
      <x:c r="E63" s="25"/>
      <x:c r="F63" s="25"/>
      <x:c r="G63" s="29" t="str">
        <x:f>IF(OR(D63="",F63=""),"",SUMIFS('Ventas'!$I$7:$I$1006,'Ventas'!$A$7:$A$1006,"&gt;="&amp;DATE('Resumen'!$B$4,1,1),'Ventas'!$A$7:$A$1006,"&lt;"&amp;DATE('Resumen'!$B$4+1,1,1),'Ventas'!$D$7:$D$1006,"pagada",'Ventas'!$F$7:$F$1006,D63,'Ventas'!$H$7:$H$1006,F63))</x:f>
      </x:c>
      <x:c r="H63" s="27" t="str">
        <x:f>IF(OR(D63="",F63=""),"",SUMIFS('Ventas'!$J$7:$J$1006,'Ventas'!$A$7:$A$1006,"&gt;="&amp;DATE('Resumen'!$B$4,1,1),'Ventas'!$A$7:$A$1006,"&lt;"&amp;DATE('Resumen'!$B$4+1,1,1),'Ventas'!$D$7:$D$1006,"pagada",'Ventas'!$F$7:$F$1006,D63,'Ventas'!$H$7:$H$1006,F63))</x:f>
      </x:c>
    </x:row>
    <x:row r="64">
      <x:c r="D64" s="25"/>
      <x:c r="E64" s="25"/>
      <x:c r="F64" s="25"/>
      <x:c r="G64" s="29" t="str">
        <x:f>IF(OR(D64="",F64=""),"",SUMIFS('Ventas'!$I$7:$I$1006,'Ventas'!$A$7:$A$1006,"&gt;="&amp;DATE('Resumen'!$B$4,1,1),'Ventas'!$A$7:$A$1006,"&lt;"&amp;DATE('Resumen'!$B$4+1,1,1),'Ventas'!$D$7:$D$1006,"pagada",'Ventas'!$F$7:$F$1006,D64,'Ventas'!$H$7:$H$1006,F64))</x:f>
      </x:c>
      <x:c r="H64" s="27" t="str">
        <x:f>IF(OR(D64="",F64=""),"",SUMIFS('Ventas'!$J$7:$J$1006,'Ventas'!$A$7:$A$1006,"&gt;="&amp;DATE('Resumen'!$B$4,1,1),'Ventas'!$A$7:$A$1006,"&lt;"&amp;DATE('Resumen'!$B$4+1,1,1),'Ventas'!$D$7:$D$1006,"pagada",'Ventas'!$F$7:$F$1006,D64,'Ventas'!$H$7:$H$1006,F64))</x:f>
      </x:c>
    </x:row>
    <x:row r="65">
      <x:c r="D65" s="25"/>
      <x:c r="E65" s="25"/>
      <x:c r="F65" s="25"/>
      <x:c r="G65" s="29" t="str">
        <x:f>IF(OR(D65="",F65=""),"",SUMIFS('Ventas'!$I$7:$I$1006,'Ventas'!$A$7:$A$1006,"&gt;="&amp;DATE('Resumen'!$B$4,1,1),'Ventas'!$A$7:$A$1006,"&lt;"&amp;DATE('Resumen'!$B$4+1,1,1),'Ventas'!$D$7:$D$1006,"pagada",'Ventas'!$F$7:$F$1006,D65,'Ventas'!$H$7:$H$1006,F65))</x:f>
      </x:c>
      <x:c r="H65" s="27" t="str">
        <x:f>IF(OR(D65="",F65=""),"",SUMIFS('Ventas'!$J$7:$J$1006,'Ventas'!$A$7:$A$1006,"&gt;="&amp;DATE('Resumen'!$B$4,1,1),'Ventas'!$A$7:$A$1006,"&lt;"&amp;DATE('Resumen'!$B$4+1,1,1),'Ventas'!$D$7:$D$1006,"pagada",'Ventas'!$F$7:$F$1006,D65,'Ventas'!$H$7:$H$1006,F65))</x:f>
      </x:c>
    </x:row>
    <x:row r="66">
      <x:c r="D66" s="25"/>
      <x:c r="E66" s="25"/>
      <x:c r="F66" s="25"/>
      <x:c r="G66" s="29" t="str">
        <x:f>IF(OR(D66="",F66=""),"",SUMIFS('Ventas'!$I$7:$I$1006,'Ventas'!$A$7:$A$1006,"&gt;="&amp;DATE('Resumen'!$B$4,1,1),'Ventas'!$A$7:$A$1006,"&lt;"&amp;DATE('Resumen'!$B$4+1,1,1),'Ventas'!$D$7:$D$1006,"pagada",'Ventas'!$F$7:$F$1006,D66,'Ventas'!$H$7:$H$1006,F66))</x:f>
      </x:c>
      <x:c r="H66" s="27" t="str">
        <x:f>IF(OR(D66="",F66=""),"",SUMIFS('Ventas'!$J$7:$J$1006,'Ventas'!$A$7:$A$1006,"&gt;="&amp;DATE('Resumen'!$B$4,1,1),'Ventas'!$A$7:$A$1006,"&lt;"&amp;DATE('Resumen'!$B$4+1,1,1),'Ventas'!$D$7:$D$1006,"pagada",'Ventas'!$F$7:$F$1006,D66,'Ventas'!$H$7:$H$1006,F66))</x:f>
      </x:c>
    </x:row>
    <x:row r="67">
      <x:c r="D67" s="25"/>
      <x:c r="E67" s="25"/>
      <x:c r="F67" s="25"/>
      <x:c r="G67" s="29" t="str">
        <x:f>IF(OR(D67="",F67=""),"",SUMIFS('Ventas'!$I$7:$I$1006,'Ventas'!$A$7:$A$1006,"&gt;="&amp;DATE('Resumen'!$B$4,1,1),'Ventas'!$A$7:$A$1006,"&lt;"&amp;DATE('Resumen'!$B$4+1,1,1),'Ventas'!$D$7:$D$1006,"pagada",'Ventas'!$F$7:$F$1006,D67,'Ventas'!$H$7:$H$1006,F67))</x:f>
      </x:c>
      <x:c r="H67" s="27" t="str">
        <x:f>IF(OR(D67="",F67=""),"",SUMIFS('Ventas'!$J$7:$J$1006,'Ventas'!$A$7:$A$1006,"&gt;="&amp;DATE('Resumen'!$B$4,1,1),'Ventas'!$A$7:$A$1006,"&lt;"&amp;DATE('Resumen'!$B$4+1,1,1),'Ventas'!$D$7:$D$1006,"pagada",'Ventas'!$F$7:$F$1006,D67,'Ventas'!$H$7:$H$1006,F67))</x:f>
      </x:c>
    </x:row>
    <x:row r="68">
      <x:c r="D68" s="25"/>
      <x:c r="E68" s="25"/>
      <x:c r="F68" s="25"/>
      <x:c r="G68" s="29" t="str">
        <x:f>IF(OR(D68="",F68=""),"",SUMIFS('Ventas'!$I$7:$I$1006,'Ventas'!$A$7:$A$1006,"&gt;="&amp;DATE('Resumen'!$B$4,1,1),'Ventas'!$A$7:$A$1006,"&lt;"&amp;DATE('Resumen'!$B$4+1,1,1),'Ventas'!$D$7:$D$1006,"pagada",'Ventas'!$F$7:$F$1006,D68,'Ventas'!$H$7:$H$1006,F68))</x:f>
      </x:c>
      <x:c r="H68" s="27" t="str">
        <x:f>IF(OR(D68="",F68=""),"",SUMIFS('Ventas'!$J$7:$J$1006,'Ventas'!$A$7:$A$1006,"&gt;="&amp;DATE('Resumen'!$B$4,1,1),'Ventas'!$A$7:$A$1006,"&lt;"&amp;DATE('Resumen'!$B$4+1,1,1),'Ventas'!$D$7:$D$1006,"pagada",'Ventas'!$F$7:$F$1006,D68,'Ventas'!$H$7:$H$1006,F68))</x:f>
      </x:c>
    </x:row>
    <x:row r="69">
      <x:c r="D69" s="25"/>
      <x:c r="E69" s="25"/>
      <x:c r="F69" s="25"/>
      <x:c r="G69" s="29" t="str">
        <x:f>IF(OR(D69="",F69=""),"",SUMIFS('Ventas'!$I$7:$I$1006,'Ventas'!$A$7:$A$1006,"&gt;="&amp;DATE('Resumen'!$B$4,1,1),'Ventas'!$A$7:$A$1006,"&lt;"&amp;DATE('Resumen'!$B$4+1,1,1),'Ventas'!$D$7:$D$1006,"pagada",'Ventas'!$F$7:$F$1006,D69,'Ventas'!$H$7:$H$1006,F69))</x:f>
      </x:c>
      <x:c r="H69" s="27" t="str">
        <x:f>IF(OR(D69="",F69=""),"",SUMIFS('Ventas'!$J$7:$J$1006,'Ventas'!$A$7:$A$1006,"&gt;="&amp;DATE('Resumen'!$B$4,1,1),'Ventas'!$A$7:$A$1006,"&lt;"&amp;DATE('Resumen'!$B$4+1,1,1),'Ventas'!$D$7:$D$1006,"pagada",'Ventas'!$F$7:$F$1006,D69,'Ventas'!$H$7:$H$1006,F69))</x:f>
      </x:c>
    </x:row>
    <x:row r="70">
      <x:c r="D70" s="25"/>
      <x:c r="E70" s="25"/>
      <x:c r="F70" s="25"/>
      <x:c r="G70" s="29" t="str">
        <x:f>IF(OR(D70="",F70=""),"",SUMIFS('Ventas'!$I$7:$I$1006,'Ventas'!$A$7:$A$1006,"&gt;="&amp;DATE('Resumen'!$B$4,1,1),'Ventas'!$A$7:$A$1006,"&lt;"&amp;DATE('Resumen'!$B$4+1,1,1),'Ventas'!$D$7:$D$1006,"pagada",'Ventas'!$F$7:$F$1006,D70,'Ventas'!$H$7:$H$1006,F70))</x:f>
      </x:c>
      <x:c r="H70" s="27" t="str">
        <x:f>IF(OR(D70="",F70=""),"",SUMIFS('Ventas'!$J$7:$J$1006,'Ventas'!$A$7:$A$1006,"&gt;="&amp;DATE('Resumen'!$B$4,1,1),'Ventas'!$A$7:$A$1006,"&lt;"&amp;DATE('Resumen'!$B$4+1,1,1),'Ventas'!$D$7:$D$1006,"pagada",'Ventas'!$F$7:$F$1006,D70,'Ventas'!$H$7:$H$1006,F70))</x:f>
      </x:c>
    </x:row>
    <x:row r="71">
      <x:c r="D71" s="25"/>
      <x:c r="E71" s="25"/>
      <x:c r="F71" s="25"/>
      <x:c r="G71" s="29" t="str">
        <x:f>IF(OR(D71="",F71=""),"",SUMIFS('Ventas'!$I$7:$I$1006,'Ventas'!$A$7:$A$1006,"&gt;="&amp;DATE('Resumen'!$B$4,1,1),'Ventas'!$A$7:$A$1006,"&lt;"&amp;DATE('Resumen'!$B$4+1,1,1),'Ventas'!$D$7:$D$1006,"pagada",'Ventas'!$F$7:$F$1006,D71,'Ventas'!$H$7:$H$1006,F71))</x:f>
      </x:c>
      <x:c r="H71" s="27" t="str">
        <x:f>IF(OR(D71="",F71=""),"",SUMIFS('Ventas'!$J$7:$J$1006,'Ventas'!$A$7:$A$1006,"&gt;="&amp;DATE('Resumen'!$B$4,1,1),'Ventas'!$A$7:$A$1006,"&lt;"&amp;DATE('Resumen'!$B$4+1,1,1),'Ventas'!$D$7:$D$1006,"pagada",'Ventas'!$F$7:$F$1006,D71,'Ventas'!$H$7:$H$1006,F71))</x:f>
      </x:c>
    </x:row>
    <x:row r="72">
      <x:c r="D72" s="25"/>
      <x:c r="E72" s="25"/>
      <x:c r="F72" s="25"/>
      <x:c r="G72" s="29" t="str">
        <x:f>IF(OR(D72="",F72=""),"",SUMIFS('Ventas'!$I$7:$I$1006,'Ventas'!$A$7:$A$1006,"&gt;="&amp;DATE('Resumen'!$B$4,1,1),'Ventas'!$A$7:$A$1006,"&lt;"&amp;DATE('Resumen'!$B$4+1,1,1),'Ventas'!$D$7:$D$1006,"pagada",'Ventas'!$F$7:$F$1006,D72,'Ventas'!$H$7:$H$1006,F72))</x:f>
      </x:c>
      <x:c r="H72" s="27" t="str">
        <x:f>IF(OR(D72="",F72=""),"",SUMIFS('Ventas'!$J$7:$J$1006,'Ventas'!$A$7:$A$1006,"&gt;="&amp;DATE('Resumen'!$B$4,1,1),'Ventas'!$A$7:$A$1006,"&lt;"&amp;DATE('Resumen'!$B$4+1,1,1),'Ventas'!$D$7:$D$1006,"pagada",'Ventas'!$F$7:$F$1006,D72,'Ventas'!$H$7:$H$1006,F72))</x:f>
      </x:c>
    </x:row>
    <x:row r="73">
      <x:c r="D73" s="25"/>
      <x:c r="E73" s="25"/>
      <x:c r="F73" s="25"/>
      <x:c r="G73" s="29" t="str">
        <x:f>IF(OR(D73="",F73=""),"",SUMIFS('Ventas'!$I$7:$I$1006,'Ventas'!$A$7:$A$1006,"&gt;="&amp;DATE('Resumen'!$B$4,1,1),'Ventas'!$A$7:$A$1006,"&lt;"&amp;DATE('Resumen'!$B$4+1,1,1),'Ventas'!$D$7:$D$1006,"pagada",'Ventas'!$F$7:$F$1006,D73,'Ventas'!$H$7:$H$1006,F73))</x:f>
      </x:c>
      <x:c r="H73" s="27" t="str">
        <x:f>IF(OR(D73="",F73=""),"",SUMIFS('Ventas'!$J$7:$J$1006,'Ventas'!$A$7:$A$1006,"&gt;="&amp;DATE('Resumen'!$B$4,1,1),'Ventas'!$A$7:$A$1006,"&lt;"&amp;DATE('Resumen'!$B$4+1,1,1),'Ventas'!$D$7:$D$1006,"pagada",'Ventas'!$F$7:$F$1006,D73,'Ventas'!$H$7:$H$1006,F73))</x:f>
      </x:c>
    </x:row>
    <x:row r="74">
      <x:c r="D74" s="25"/>
      <x:c r="E74" s="25"/>
      <x:c r="F74" s="25"/>
      <x:c r="G74" s="29" t="str">
        <x:f>IF(OR(D74="",F74=""),"",SUMIFS('Ventas'!$I$7:$I$1006,'Ventas'!$A$7:$A$1006,"&gt;="&amp;DATE('Resumen'!$B$4,1,1),'Ventas'!$A$7:$A$1006,"&lt;"&amp;DATE('Resumen'!$B$4+1,1,1),'Ventas'!$D$7:$D$1006,"pagada",'Ventas'!$F$7:$F$1006,D74,'Ventas'!$H$7:$H$1006,F74))</x:f>
      </x:c>
      <x:c r="H74" s="27" t="str">
        <x:f>IF(OR(D74="",F74=""),"",SUMIFS('Ventas'!$J$7:$J$1006,'Ventas'!$A$7:$A$1006,"&gt;="&amp;DATE('Resumen'!$B$4,1,1),'Ventas'!$A$7:$A$1006,"&lt;"&amp;DATE('Resumen'!$B$4+1,1,1),'Ventas'!$D$7:$D$1006,"pagada",'Ventas'!$F$7:$F$1006,D74,'Ventas'!$H$7:$H$1006,F74))</x:f>
      </x:c>
    </x:row>
    <x:row r="75">
      <x:c r="D75" s="25"/>
      <x:c r="E75" s="25"/>
      <x:c r="F75" s="25"/>
      <x:c r="G75" s="29" t="str">
        <x:f>IF(OR(D75="",F75=""),"",SUMIFS('Ventas'!$I$7:$I$1006,'Ventas'!$A$7:$A$1006,"&gt;="&amp;DATE('Resumen'!$B$4,1,1),'Ventas'!$A$7:$A$1006,"&lt;"&amp;DATE('Resumen'!$B$4+1,1,1),'Ventas'!$D$7:$D$1006,"pagada",'Ventas'!$F$7:$F$1006,D75,'Ventas'!$H$7:$H$1006,F75))</x:f>
      </x:c>
      <x:c r="H75" s="27" t="str">
        <x:f>IF(OR(D75="",F75=""),"",SUMIFS('Ventas'!$J$7:$J$1006,'Ventas'!$A$7:$A$1006,"&gt;="&amp;DATE('Resumen'!$B$4,1,1),'Ventas'!$A$7:$A$1006,"&lt;"&amp;DATE('Resumen'!$B$4+1,1,1),'Ventas'!$D$7:$D$1006,"pagada",'Ventas'!$F$7:$F$1006,D75,'Ventas'!$H$7:$H$1006,F75))</x:f>
      </x:c>
    </x:row>
    <x:row r="76">
      <x:c r="D76" s="25"/>
      <x:c r="E76" s="25"/>
      <x:c r="F76" s="25"/>
      <x:c r="G76" s="29" t="str">
        <x:f>IF(OR(D76="",F76=""),"",SUMIFS('Ventas'!$I$7:$I$1006,'Ventas'!$A$7:$A$1006,"&gt;="&amp;DATE('Resumen'!$B$4,1,1),'Ventas'!$A$7:$A$1006,"&lt;"&amp;DATE('Resumen'!$B$4+1,1,1),'Ventas'!$D$7:$D$1006,"pagada",'Ventas'!$F$7:$F$1006,D76,'Ventas'!$H$7:$H$1006,F76))</x:f>
      </x:c>
      <x:c r="H76" s="27" t="str">
        <x:f>IF(OR(D76="",F76=""),"",SUMIFS('Ventas'!$J$7:$J$1006,'Ventas'!$A$7:$A$1006,"&gt;="&amp;DATE('Resumen'!$B$4,1,1),'Ventas'!$A$7:$A$1006,"&lt;"&amp;DATE('Resumen'!$B$4+1,1,1),'Ventas'!$D$7:$D$1006,"pagada",'Ventas'!$F$7:$F$1006,D76,'Ventas'!$H$7:$H$1006,F76))</x:f>
      </x:c>
    </x:row>
    <x:row r="77">
      <x:c r="D77" s="25"/>
      <x:c r="E77" s="25"/>
      <x:c r="F77" s="25"/>
      <x:c r="G77" s="29" t="str">
        <x:f>IF(OR(D77="",F77=""),"",SUMIFS('Ventas'!$I$7:$I$1006,'Ventas'!$A$7:$A$1006,"&gt;="&amp;DATE('Resumen'!$B$4,1,1),'Ventas'!$A$7:$A$1006,"&lt;"&amp;DATE('Resumen'!$B$4+1,1,1),'Ventas'!$D$7:$D$1006,"pagada",'Ventas'!$F$7:$F$1006,D77,'Ventas'!$H$7:$H$1006,F77))</x:f>
      </x:c>
      <x:c r="H77" s="27" t="str">
        <x:f>IF(OR(D77="",F77=""),"",SUMIFS('Ventas'!$J$7:$J$1006,'Ventas'!$A$7:$A$1006,"&gt;="&amp;DATE('Resumen'!$B$4,1,1),'Ventas'!$A$7:$A$1006,"&lt;"&amp;DATE('Resumen'!$B$4+1,1,1),'Ventas'!$D$7:$D$1006,"pagada",'Ventas'!$F$7:$F$1006,D77,'Ventas'!$H$7:$H$1006,F77))</x:f>
      </x:c>
    </x:row>
    <x:row r="78">
      <x:c r="D78" s="25"/>
      <x:c r="E78" s="25"/>
      <x:c r="F78" s="25"/>
      <x:c r="G78" s="29" t="str">
        <x:f>IF(OR(D78="",F78=""),"",SUMIFS('Ventas'!$I$7:$I$1006,'Ventas'!$A$7:$A$1006,"&gt;="&amp;DATE('Resumen'!$B$4,1,1),'Ventas'!$A$7:$A$1006,"&lt;"&amp;DATE('Resumen'!$B$4+1,1,1),'Ventas'!$D$7:$D$1006,"pagada",'Ventas'!$F$7:$F$1006,D78,'Ventas'!$H$7:$H$1006,F78))</x:f>
      </x:c>
      <x:c r="H78" s="27" t="str">
        <x:f>IF(OR(D78="",F78=""),"",SUMIFS('Ventas'!$J$7:$J$1006,'Ventas'!$A$7:$A$1006,"&gt;="&amp;DATE('Resumen'!$B$4,1,1),'Ventas'!$A$7:$A$1006,"&lt;"&amp;DATE('Resumen'!$B$4+1,1,1),'Ventas'!$D$7:$D$1006,"pagada",'Ventas'!$F$7:$F$1006,D78,'Ventas'!$H$7:$H$1006,F78))</x:f>
      </x:c>
    </x:row>
    <x:row r="79">
      <x:c r="D79" s="25"/>
      <x:c r="E79" s="25"/>
      <x:c r="F79" s="25"/>
      <x:c r="G79" s="29" t="str">
        <x:f>IF(OR(D79="",F79=""),"",SUMIFS('Ventas'!$I$7:$I$1006,'Ventas'!$A$7:$A$1006,"&gt;="&amp;DATE('Resumen'!$B$4,1,1),'Ventas'!$A$7:$A$1006,"&lt;"&amp;DATE('Resumen'!$B$4+1,1,1),'Ventas'!$D$7:$D$1006,"pagada",'Ventas'!$F$7:$F$1006,D79,'Ventas'!$H$7:$H$1006,F79))</x:f>
      </x:c>
      <x:c r="H79" s="27" t="str">
        <x:f>IF(OR(D79="",F79=""),"",SUMIFS('Ventas'!$J$7:$J$1006,'Ventas'!$A$7:$A$1006,"&gt;="&amp;DATE('Resumen'!$B$4,1,1),'Ventas'!$A$7:$A$1006,"&lt;"&amp;DATE('Resumen'!$B$4+1,1,1),'Ventas'!$D$7:$D$1006,"pagada",'Ventas'!$F$7:$F$1006,D79,'Ventas'!$H$7:$H$1006,F79))</x:f>
      </x:c>
    </x:row>
    <x:row r="80">
      <x:c r="D80" s="25"/>
      <x:c r="E80" s="25"/>
      <x:c r="F80" s="25"/>
      <x:c r="G80" s="29" t="str">
        <x:f>IF(OR(D80="",F80=""),"",SUMIFS('Ventas'!$I$7:$I$1006,'Ventas'!$A$7:$A$1006,"&gt;="&amp;DATE('Resumen'!$B$4,1,1),'Ventas'!$A$7:$A$1006,"&lt;"&amp;DATE('Resumen'!$B$4+1,1,1),'Ventas'!$D$7:$D$1006,"pagada",'Ventas'!$F$7:$F$1006,D80,'Ventas'!$H$7:$H$1006,F80))</x:f>
      </x:c>
      <x:c r="H80" s="27" t="str">
        <x:f>IF(OR(D80="",F80=""),"",SUMIFS('Ventas'!$J$7:$J$1006,'Ventas'!$A$7:$A$1006,"&gt;="&amp;DATE('Resumen'!$B$4,1,1),'Ventas'!$A$7:$A$1006,"&lt;"&amp;DATE('Resumen'!$B$4+1,1,1),'Ventas'!$D$7:$D$1006,"pagada",'Ventas'!$F$7:$F$1006,D80,'Ventas'!$H$7:$H$1006,F80))</x:f>
      </x:c>
    </x:row>
    <x:row r="81">
      <x:c r="D81" s="25"/>
      <x:c r="E81" s="25"/>
      <x:c r="F81" s="25"/>
      <x:c r="G81" s="29" t="str">
        <x:f>IF(OR(D81="",F81=""),"",SUMIFS('Ventas'!$I$7:$I$1006,'Ventas'!$A$7:$A$1006,"&gt;="&amp;DATE('Resumen'!$B$4,1,1),'Ventas'!$A$7:$A$1006,"&lt;"&amp;DATE('Resumen'!$B$4+1,1,1),'Ventas'!$D$7:$D$1006,"pagada",'Ventas'!$F$7:$F$1006,D81,'Ventas'!$H$7:$H$1006,F81))</x:f>
      </x:c>
      <x:c r="H81" s="27" t="str">
        <x:f>IF(OR(D81="",F81=""),"",SUMIFS('Ventas'!$J$7:$J$1006,'Ventas'!$A$7:$A$1006,"&gt;="&amp;DATE('Resumen'!$B$4,1,1),'Ventas'!$A$7:$A$1006,"&lt;"&amp;DATE('Resumen'!$B$4+1,1,1),'Ventas'!$D$7:$D$1006,"pagada",'Ventas'!$F$7:$F$1006,D81,'Ventas'!$H$7:$H$1006,F81))</x:f>
      </x:c>
    </x:row>
    <x:row r="82">
      <x:c r="D82" s="25"/>
      <x:c r="E82" s="25"/>
      <x:c r="F82" s="25"/>
      <x:c r="G82" s="29" t="str">
        <x:f>IF(OR(D82="",F82=""),"",SUMIFS('Ventas'!$I$7:$I$1006,'Ventas'!$A$7:$A$1006,"&gt;="&amp;DATE('Resumen'!$B$4,1,1),'Ventas'!$A$7:$A$1006,"&lt;"&amp;DATE('Resumen'!$B$4+1,1,1),'Ventas'!$D$7:$D$1006,"pagada",'Ventas'!$F$7:$F$1006,D82,'Ventas'!$H$7:$H$1006,F82))</x:f>
      </x:c>
      <x:c r="H82" s="27" t="str">
        <x:f>IF(OR(D82="",F82=""),"",SUMIFS('Ventas'!$J$7:$J$1006,'Ventas'!$A$7:$A$1006,"&gt;="&amp;DATE('Resumen'!$B$4,1,1),'Ventas'!$A$7:$A$1006,"&lt;"&amp;DATE('Resumen'!$B$4+1,1,1),'Ventas'!$D$7:$D$1006,"pagada",'Ventas'!$F$7:$F$1006,D82,'Ventas'!$H$7:$H$1006,F82))</x:f>
      </x:c>
    </x:row>
    <x:row r="83">
      <x:c r="D83" s="25"/>
      <x:c r="E83" s="25"/>
      <x:c r="F83" s="25"/>
      <x:c r="G83" s="29" t="str">
        <x:f>IF(OR(D83="",F83=""),"",SUMIFS('Ventas'!$I$7:$I$1006,'Ventas'!$A$7:$A$1006,"&gt;="&amp;DATE('Resumen'!$B$4,1,1),'Ventas'!$A$7:$A$1006,"&lt;"&amp;DATE('Resumen'!$B$4+1,1,1),'Ventas'!$D$7:$D$1006,"pagada",'Ventas'!$F$7:$F$1006,D83,'Ventas'!$H$7:$H$1006,F83))</x:f>
      </x:c>
      <x:c r="H83" s="27" t="str">
        <x:f>IF(OR(D83="",F83=""),"",SUMIFS('Ventas'!$J$7:$J$1006,'Ventas'!$A$7:$A$1006,"&gt;="&amp;DATE('Resumen'!$B$4,1,1),'Ventas'!$A$7:$A$1006,"&lt;"&amp;DATE('Resumen'!$B$4+1,1,1),'Ventas'!$D$7:$D$1006,"pagada",'Ventas'!$F$7:$F$1006,D83,'Ventas'!$H$7:$H$1006,F83))</x:f>
      </x:c>
    </x:row>
    <x:row r="84">
      <x:c r="D84" s="25"/>
      <x:c r="E84" s="25"/>
      <x:c r="F84" s="25"/>
      <x:c r="G84" s="29" t="str">
        <x:f>IF(OR(D84="",F84=""),"",SUMIFS('Ventas'!$I$7:$I$1006,'Ventas'!$A$7:$A$1006,"&gt;="&amp;DATE('Resumen'!$B$4,1,1),'Ventas'!$A$7:$A$1006,"&lt;"&amp;DATE('Resumen'!$B$4+1,1,1),'Ventas'!$D$7:$D$1006,"pagada",'Ventas'!$F$7:$F$1006,D84,'Ventas'!$H$7:$H$1006,F84))</x:f>
      </x:c>
      <x:c r="H84" s="27" t="str">
        <x:f>IF(OR(D84="",F84=""),"",SUMIFS('Ventas'!$J$7:$J$1006,'Ventas'!$A$7:$A$1006,"&gt;="&amp;DATE('Resumen'!$B$4,1,1),'Ventas'!$A$7:$A$1006,"&lt;"&amp;DATE('Resumen'!$B$4+1,1,1),'Ventas'!$D$7:$D$1006,"pagada",'Ventas'!$F$7:$F$1006,D84,'Ventas'!$H$7:$H$1006,F84))</x:f>
      </x:c>
    </x:row>
    <x:row r="85">
      <x:c r="D85" s="25"/>
      <x:c r="E85" s="25"/>
      <x:c r="F85" s="25"/>
      <x:c r="G85" s="29" t="str">
        <x:f>IF(OR(D85="",F85=""),"",SUMIFS('Ventas'!$I$7:$I$1006,'Ventas'!$A$7:$A$1006,"&gt;="&amp;DATE('Resumen'!$B$4,1,1),'Ventas'!$A$7:$A$1006,"&lt;"&amp;DATE('Resumen'!$B$4+1,1,1),'Ventas'!$D$7:$D$1006,"pagada",'Ventas'!$F$7:$F$1006,D85,'Ventas'!$H$7:$H$1006,F85))</x:f>
      </x:c>
      <x:c r="H85" s="27" t="str">
        <x:f>IF(OR(D85="",F85=""),"",SUMIFS('Ventas'!$J$7:$J$1006,'Ventas'!$A$7:$A$1006,"&gt;="&amp;DATE('Resumen'!$B$4,1,1),'Ventas'!$A$7:$A$1006,"&lt;"&amp;DATE('Resumen'!$B$4+1,1,1),'Ventas'!$D$7:$D$1006,"pagada",'Ventas'!$F$7:$F$1006,D85,'Ventas'!$H$7:$H$1006,F85))</x:f>
      </x:c>
    </x:row>
    <x:row r="86">
      <x:c r="D86" s="25"/>
      <x:c r="E86" s="25"/>
      <x:c r="F86" s="25"/>
      <x:c r="G86" s="29" t="str">
        <x:f>IF(OR(D86="",F86=""),"",SUMIFS('Ventas'!$I$7:$I$1006,'Ventas'!$A$7:$A$1006,"&gt;="&amp;DATE('Resumen'!$B$4,1,1),'Ventas'!$A$7:$A$1006,"&lt;"&amp;DATE('Resumen'!$B$4+1,1,1),'Ventas'!$D$7:$D$1006,"pagada",'Ventas'!$F$7:$F$1006,D86,'Ventas'!$H$7:$H$1006,F86))</x:f>
      </x:c>
      <x:c r="H86" s="27" t="str">
        <x:f>IF(OR(D86="",F86=""),"",SUMIFS('Ventas'!$J$7:$J$1006,'Ventas'!$A$7:$A$1006,"&gt;="&amp;DATE('Resumen'!$B$4,1,1),'Ventas'!$A$7:$A$1006,"&lt;"&amp;DATE('Resumen'!$B$4+1,1,1),'Ventas'!$D$7:$D$1006,"pagada",'Ventas'!$F$7:$F$1006,D86,'Ventas'!$H$7:$H$1006,F86))</x:f>
      </x:c>
    </x:row>
    <x:row r="87">
      <x:c r="D87" s="25"/>
      <x:c r="E87" s="25"/>
      <x:c r="F87" s="25"/>
      <x:c r="G87" s="29" t="str">
        <x:f>IF(OR(D87="",F87=""),"",SUMIFS('Ventas'!$I$7:$I$1006,'Ventas'!$A$7:$A$1006,"&gt;="&amp;DATE('Resumen'!$B$4,1,1),'Ventas'!$A$7:$A$1006,"&lt;"&amp;DATE('Resumen'!$B$4+1,1,1),'Ventas'!$D$7:$D$1006,"pagada",'Ventas'!$F$7:$F$1006,D87,'Ventas'!$H$7:$H$1006,F87))</x:f>
      </x:c>
      <x:c r="H87" s="27" t="str">
        <x:f>IF(OR(D87="",F87=""),"",SUMIFS('Ventas'!$J$7:$J$1006,'Ventas'!$A$7:$A$1006,"&gt;="&amp;DATE('Resumen'!$B$4,1,1),'Ventas'!$A$7:$A$1006,"&lt;"&amp;DATE('Resumen'!$B$4+1,1,1),'Ventas'!$D$7:$D$1006,"pagada",'Ventas'!$F$7:$F$1006,D87,'Ventas'!$H$7:$H$1006,F87))</x:f>
      </x:c>
    </x:row>
    <x:row r="88">
      <x:c r="D88" s="25"/>
      <x:c r="E88" s="25"/>
      <x:c r="F88" s="25"/>
      <x:c r="G88" s="29" t="str">
        <x:f>IF(OR(D88="",F88=""),"",SUMIFS('Ventas'!$I$7:$I$1006,'Ventas'!$A$7:$A$1006,"&gt;="&amp;DATE('Resumen'!$B$4,1,1),'Ventas'!$A$7:$A$1006,"&lt;"&amp;DATE('Resumen'!$B$4+1,1,1),'Ventas'!$D$7:$D$1006,"pagada",'Ventas'!$F$7:$F$1006,D88,'Ventas'!$H$7:$H$1006,F88))</x:f>
      </x:c>
      <x:c r="H88" s="27" t="str">
        <x:f>IF(OR(D88="",F88=""),"",SUMIFS('Ventas'!$J$7:$J$1006,'Ventas'!$A$7:$A$1006,"&gt;="&amp;DATE('Resumen'!$B$4,1,1),'Ventas'!$A$7:$A$1006,"&lt;"&amp;DATE('Resumen'!$B$4+1,1,1),'Ventas'!$D$7:$D$1006,"pagada",'Ventas'!$F$7:$F$1006,D88,'Ventas'!$H$7:$H$1006,F88))</x:f>
      </x:c>
    </x:row>
    <x:row r="89">
      <x:c r="D89" s="25"/>
      <x:c r="E89" s="25"/>
      <x:c r="F89" s="25"/>
      <x:c r="G89" s="29" t="str">
        <x:f>IF(OR(D89="",F89=""),"",SUMIFS('Ventas'!$I$7:$I$1006,'Ventas'!$A$7:$A$1006,"&gt;="&amp;DATE('Resumen'!$B$4,1,1),'Ventas'!$A$7:$A$1006,"&lt;"&amp;DATE('Resumen'!$B$4+1,1,1),'Ventas'!$D$7:$D$1006,"pagada",'Ventas'!$F$7:$F$1006,D89,'Ventas'!$H$7:$H$1006,F89))</x:f>
      </x:c>
      <x:c r="H89" s="27" t="str">
        <x:f>IF(OR(D89="",F89=""),"",SUMIFS('Ventas'!$J$7:$J$1006,'Ventas'!$A$7:$A$1006,"&gt;="&amp;DATE('Resumen'!$B$4,1,1),'Ventas'!$A$7:$A$1006,"&lt;"&amp;DATE('Resumen'!$B$4+1,1,1),'Ventas'!$D$7:$D$1006,"pagada",'Ventas'!$F$7:$F$1006,D89,'Ventas'!$H$7:$H$1006,F89))</x:f>
      </x:c>
    </x:row>
    <x:row r="90">
      <x:c r="D90" s="25"/>
      <x:c r="E90" s="25"/>
      <x:c r="F90" s="25"/>
      <x:c r="G90" s="29" t="str">
        <x:f>IF(OR(D90="",F90=""),"",SUMIFS('Ventas'!$I$7:$I$1006,'Ventas'!$A$7:$A$1006,"&gt;="&amp;DATE('Resumen'!$B$4,1,1),'Ventas'!$A$7:$A$1006,"&lt;"&amp;DATE('Resumen'!$B$4+1,1,1),'Ventas'!$D$7:$D$1006,"pagada",'Ventas'!$F$7:$F$1006,D90,'Ventas'!$H$7:$H$1006,F90))</x:f>
      </x:c>
      <x:c r="H90" s="27" t="str">
        <x:f>IF(OR(D90="",F90=""),"",SUMIFS('Ventas'!$J$7:$J$1006,'Ventas'!$A$7:$A$1006,"&gt;="&amp;DATE('Resumen'!$B$4,1,1),'Ventas'!$A$7:$A$1006,"&lt;"&amp;DATE('Resumen'!$B$4+1,1,1),'Ventas'!$D$7:$D$1006,"pagada",'Ventas'!$F$7:$F$1006,D90,'Ventas'!$H$7:$H$1006,F90))</x:f>
      </x:c>
    </x:row>
    <x:row r="91">
      <x:c r="D91" s="25"/>
      <x:c r="E91" s="25"/>
      <x:c r="F91" s="25"/>
      <x:c r="G91" s="29" t="str">
        <x:f>IF(OR(D91="",F91=""),"",SUMIFS('Ventas'!$I$7:$I$1006,'Ventas'!$A$7:$A$1006,"&gt;="&amp;DATE('Resumen'!$B$4,1,1),'Ventas'!$A$7:$A$1006,"&lt;"&amp;DATE('Resumen'!$B$4+1,1,1),'Ventas'!$D$7:$D$1006,"pagada",'Ventas'!$F$7:$F$1006,D91,'Ventas'!$H$7:$H$1006,F91))</x:f>
      </x:c>
      <x:c r="H91" s="27" t="str">
        <x:f>IF(OR(D91="",F91=""),"",SUMIFS('Ventas'!$J$7:$J$1006,'Ventas'!$A$7:$A$1006,"&gt;="&amp;DATE('Resumen'!$B$4,1,1),'Ventas'!$A$7:$A$1006,"&lt;"&amp;DATE('Resumen'!$B$4+1,1,1),'Ventas'!$D$7:$D$1006,"pagada",'Ventas'!$F$7:$F$1006,D91,'Ventas'!$H$7:$H$1006,F91))</x:f>
      </x:c>
    </x:row>
    <x:row r="92">
      <x:c r="D92" s="25"/>
      <x:c r="E92" s="25"/>
      <x:c r="F92" s="25"/>
      <x:c r="G92" s="29" t="str">
        <x:f>IF(OR(D92="",F92=""),"",SUMIFS('Ventas'!$I$7:$I$1006,'Ventas'!$A$7:$A$1006,"&gt;="&amp;DATE('Resumen'!$B$4,1,1),'Ventas'!$A$7:$A$1006,"&lt;"&amp;DATE('Resumen'!$B$4+1,1,1),'Ventas'!$D$7:$D$1006,"pagada",'Ventas'!$F$7:$F$1006,D92,'Ventas'!$H$7:$H$1006,F92))</x:f>
      </x:c>
      <x:c r="H92" s="27" t="str">
        <x:f>IF(OR(D92="",F92=""),"",SUMIFS('Ventas'!$J$7:$J$1006,'Ventas'!$A$7:$A$1006,"&gt;="&amp;DATE('Resumen'!$B$4,1,1),'Ventas'!$A$7:$A$1006,"&lt;"&amp;DATE('Resumen'!$B$4+1,1,1),'Ventas'!$D$7:$D$1006,"pagada",'Ventas'!$F$7:$F$1006,D92,'Ventas'!$H$7:$H$1006,F92))</x:f>
      </x:c>
    </x:row>
    <x:row r="93">
      <x:c r="D93" s="25"/>
      <x:c r="E93" s="25"/>
      <x:c r="F93" s="25"/>
      <x:c r="G93" s="29" t="str">
        <x:f>IF(OR(D93="",F93=""),"",SUMIFS('Ventas'!$I$7:$I$1006,'Ventas'!$A$7:$A$1006,"&gt;="&amp;DATE('Resumen'!$B$4,1,1),'Ventas'!$A$7:$A$1006,"&lt;"&amp;DATE('Resumen'!$B$4+1,1,1),'Ventas'!$D$7:$D$1006,"pagada",'Ventas'!$F$7:$F$1006,D93,'Ventas'!$H$7:$H$1006,F93))</x:f>
      </x:c>
      <x:c r="H93" s="27" t="str">
        <x:f>IF(OR(D93="",F93=""),"",SUMIFS('Ventas'!$J$7:$J$1006,'Ventas'!$A$7:$A$1006,"&gt;="&amp;DATE('Resumen'!$B$4,1,1),'Ventas'!$A$7:$A$1006,"&lt;"&amp;DATE('Resumen'!$B$4+1,1,1),'Ventas'!$D$7:$D$1006,"pagada",'Ventas'!$F$7:$F$1006,D93,'Ventas'!$H$7:$H$1006,F93))</x:f>
      </x:c>
    </x:row>
    <x:row r="94">
      <x:c r="D94" s="25"/>
      <x:c r="E94" s="25"/>
      <x:c r="F94" s="25"/>
      <x:c r="G94" s="29" t="str">
        <x:f>IF(OR(D94="",F94=""),"",SUMIFS('Ventas'!$I$7:$I$1006,'Ventas'!$A$7:$A$1006,"&gt;="&amp;DATE('Resumen'!$B$4,1,1),'Ventas'!$A$7:$A$1006,"&lt;"&amp;DATE('Resumen'!$B$4+1,1,1),'Ventas'!$D$7:$D$1006,"pagada",'Ventas'!$F$7:$F$1006,D94,'Ventas'!$H$7:$H$1006,F94))</x:f>
      </x:c>
      <x:c r="H94" s="27" t="str">
        <x:f>IF(OR(D94="",F94=""),"",SUMIFS('Ventas'!$J$7:$J$1006,'Ventas'!$A$7:$A$1006,"&gt;="&amp;DATE('Resumen'!$B$4,1,1),'Ventas'!$A$7:$A$1006,"&lt;"&amp;DATE('Resumen'!$B$4+1,1,1),'Ventas'!$D$7:$D$1006,"pagada",'Ventas'!$F$7:$F$1006,D94,'Ventas'!$H$7:$H$1006,F94))</x:f>
      </x:c>
    </x:row>
    <x:row r="95">
      <x:c r="D95" s="25"/>
      <x:c r="E95" s="25"/>
      <x:c r="F95" s="25"/>
      <x:c r="G95" s="29" t="str">
        <x:f>IF(OR(D95="",F95=""),"",SUMIFS('Ventas'!$I$7:$I$1006,'Ventas'!$A$7:$A$1006,"&gt;="&amp;DATE('Resumen'!$B$4,1,1),'Ventas'!$A$7:$A$1006,"&lt;"&amp;DATE('Resumen'!$B$4+1,1,1),'Ventas'!$D$7:$D$1006,"pagada",'Ventas'!$F$7:$F$1006,D95,'Ventas'!$H$7:$H$1006,F95))</x:f>
      </x:c>
      <x:c r="H95" s="27" t="str">
        <x:f>IF(OR(D95="",F95=""),"",SUMIFS('Ventas'!$J$7:$J$1006,'Ventas'!$A$7:$A$1006,"&gt;="&amp;DATE('Resumen'!$B$4,1,1),'Ventas'!$A$7:$A$1006,"&lt;"&amp;DATE('Resumen'!$B$4+1,1,1),'Ventas'!$D$7:$D$1006,"pagada",'Ventas'!$F$7:$F$1006,D95,'Ventas'!$H$7:$H$1006,F95))</x:f>
      </x:c>
    </x:row>
    <x:row r="96">
      <x:c r="D96" s="25"/>
      <x:c r="E96" s="25"/>
      <x:c r="F96" s="25"/>
      <x:c r="G96" s="29" t="str">
        <x:f>IF(OR(D96="",F96=""),"",SUMIFS('Ventas'!$I$7:$I$1006,'Ventas'!$A$7:$A$1006,"&gt;="&amp;DATE('Resumen'!$B$4,1,1),'Ventas'!$A$7:$A$1006,"&lt;"&amp;DATE('Resumen'!$B$4+1,1,1),'Ventas'!$D$7:$D$1006,"pagada",'Ventas'!$F$7:$F$1006,D96,'Ventas'!$H$7:$H$1006,F96))</x:f>
      </x:c>
      <x:c r="H96" s="27" t="str">
        <x:f>IF(OR(D96="",F96=""),"",SUMIFS('Ventas'!$J$7:$J$1006,'Ventas'!$A$7:$A$1006,"&gt;="&amp;DATE('Resumen'!$B$4,1,1),'Ventas'!$A$7:$A$1006,"&lt;"&amp;DATE('Resumen'!$B$4+1,1,1),'Ventas'!$D$7:$D$1006,"pagada",'Ventas'!$F$7:$F$1006,D96,'Ventas'!$H$7:$H$1006,F96))</x:f>
      </x:c>
    </x:row>
    <x:row r="97">
      <x:c r="D97" s="25"/>
      <x:c r="E97" s="25"/>
      <x:c r="F97" s="25"/>
      <x:c r="G97" s="29" t="str">
        <x:f>IF(OR(D97="",F97=""),"",SUMIFS('Ventas'!$I$7:$I$1006,'Ventas'!$A$7:$A$1006,"&gt;="&amp;DATE('Resumen'!$B$4,1,1),'Ventas'!$A$7:$A$1006,"&lt;"&amp;DATE('Resumen'!$B$4+1,1,1),'Ventas'!$D$7:$D$1006,"pagada",'Ventas'!$F$7:$F$1006,D97,'Ventas'!$H$7:$H$1006,F97))</x:f>
      </x:c>
      <x:c r="H97" s="27" t="str">
        <x:f>IF(OR(D97="",F97=""),"",SUMIFS('Ventas'!$J$7:$J$1006,'Ventas'!$A$7:$A$1006,"&gt;="&amp;DATE('Resumen'!$B$4,1,1),'Ventas'!$A$7:$A$1006,"&lt;"&amp;DATE('Resumen'!$B$4+1,1,1),'Ventas'!$D$7:$D$1006,"pagada",'Ventas'!$F$7:$F$1006,D97,'Ventas'!$H$7:$H$1006,F97))</x:f>
      </x:c>
    </x:row>
    <x:row r="98">
      <x:c r="D98" s="25"/>
      <x:c r="E98" s="25"/>
      <x:c r="F98" s="25"/>
      <x:c r="G98" s="29" t="str">
        <x:f>IF(OR(D98="",F98=""),"",SUMIFS('Ventas'!$I$7:$I$1006,'Ventas'!$A$7:$A$1006,"&gt;="&amp;DATE('Resumen'!$B$4,1,1),'Ventas'!$A$7:$A$1006,"&lt;"&amp;DATE('Resumen'!$B$4+1,1,1),'Ventas'!$D$7:$D$1006,"pagada",'Ventas'!$F$7:$F$1006,D98,'Ventas'!$H$7:$H$1006,F98))</x:f>
      </x:c>
      <x:c r="H98" s="27" t="str">
        <x:f>IF(OR(D98="",F98=""),"",SUMIFS('Ventas'!$J$7:$J$1006,'Ventas'!$A$7:$A$1006,"&gt;="&amp;DATE('Resumen'!$B$4,1,1),'Ventas'!$A$7:$A$1006,"&lt;"&amp;DATE('Resumen'!$B$4+1,1,1),'Ventas'!$D$7:$D$1006,"pagada",'Ventas'!$F$7:$F$1006,D98,'Ventas'!$H$7:$H$1006,F98))</x:f>
      </x:c>
    </x:row>
    <x:row r="99">
      <x:c r="D99" s="25"/>
      <x:c r="E99" s="25"/>
      <x:c r="F99" s="25"/>
      <x:c r="G99" s="29" t="str">
        <x:f>IF(OR(D99="",F99=""),"",SUMIFS('Ventas'!$I$7:$I$1006,'Ventas'!$A$7:$A$1006,"&gt;="&amp;DATE('Resumen'!$B$4,1,1),'Ventas'!$A$7:$A$1006,"&lt;"&amp;DATE('Resumen'!$B$4+1,1,1),'Ventas'!$D$7:$D$1006,"pagada",'Ventas'!$F$7:$F$1006,D99,'Ventas'!$H$7:$H$1006,F99))</x:f>
      </x:c>
      <x:c r="H99" s="27" t="str">
        <x:f>IF(OR(D99="",F99=""),"",SUMIFS('Ventas'!$J$7:$J$1006,'Ventas'!$A$7:$A$1006,"&gt;="&amp;DATE('Resumen'!$B$4,1,1),'Ventas'!$A$7:$A$1006,"&lt;"&amp;DATE('Resumen'!$B$4+1,1,1),'Ventas'!$D$7:$D$1006,"pagada",'Ventas'!$F$7:$F$1006,D99,'Ventas'!$H$7:$H$1006,F99))</x:f>
      </x:c>
    </x:row>
    <x:row r="100">
      <x:c r="D100" s="25"/>
      <x:c r="E100" s="25"/>
      <x:c r="F100" s="25"/>
      <x:c r="G100" s="29" t="str">
        <x:f>IF(OR(D100="",F100=""),"",SUMIFS('Ventas'!$I$7:$I$1006,'Ventas'!$A$7:$A$1006,"&gt;="&amp;DATE('Resumen'!$B$4,1,1),'Ventas'!$A$7:$A$1006,"&lt;"&amp;DATE('Resumen'!$B$4+1,1,1),'Ventas'!$D$7:$D$1006,"pagada",'Ventas'!$F$7:$F$1006,D100,'Ventas'!$H$7:$H$1006,F100))</x:f>
      </x:c>
      <x:c r="H100" s="27" t="str">
        <x:f>IF(OR(D100="",F100=""),"",SUMIFS('Ventas'!$J$7:$J$1006,'Ventas'!$A$7:$A$1006,"&gt;="&amp;DATE('Resumen'!$B$4,1,1),'Ventas'!$A$7:$A$1006,"&lt;"&amp;DATE('Resumen'!$B$4+1,1,1),'Ventas'!$D$7:$D$1006,"pagada",'Ventas'!$F$7:$F$1006,D100,'Ventas'!$H$7:$H$1006,F100))</x:f>
      </x:c>
    </x:row>
    <x:row r="101">
      <x:c r="D101" s="25"/>
      <x:c r="E101" s="25"/>
      <x:c r="F101" s="25"/>
      <x:c r="G101" s="29" t="str">
        <x:f>IF(OR(D101="",F101=""),"",SUMIFS('Ventas'!$I$7:$I$1006,'Ventas'!$A$7:$A$1006,"&gt;="&amp;DATE('Resumen'!$B$4,1,1),'Ventas'!$A$7:$A$1006,"&lt;"&amp;DATE('Resumen'!$B$4+1,1,1),'Ventas'!$D$7:$D$1006,"pagada",'Ventas'!$F$7:$F$1006,D101,'Ventas'!$H$7:$H$1006,F101))</x:f>
      </x:c>
      <x:c r="H101" s="27" t="str">
        <x:f>IF(OR(D101="",F101=""),"",SUMIFS('Ventas'!$J$7:$J$1006,'Ventas'!$A$7:$A$1006,"&gt;="&amp;DATE('Resumen'!$B$4,1,1),'Ventas'!$A$7:$A$1006,"&lt;"&amp;DATE('Resumen'!$B$4+1,1,1),'Ventas'!$D$7:$D$1006,"pagada",'Ventas'!$F$7:$F$1006,D101,'Ventas'!$H$7:$H$1006,F101))</x:f>
      </x:c>
    </x:row>
    <x:row r="102">
      <x:c r="D102" s="25"/>
      <x:c r="E102" s="25"/>
      <x:c r="F102" s="25"/>
      <x:c r="G102" s="29" t="str">
        <x:f>IF(OR(D102="",F102=""),"",SUMIFS('Ventas'!$I$7:$I$1006,'Ventas'!$A$7:$A$1006,"&gt;="&amp;DATE('Resumen'!$B$4,1,1),'Ventas'!$A$7:$A$1006,"&lt;"&amp;DATE('Resumen'!$B$4+1,1,1),'Ventas'!$D$7:$D$1006,"pagada",'Ventas'!$F$7:$F$1006,D102,'Ventas'!$H$7:$H$1006,F102))</x:f>
      </x:c>
      <x:c r="H102" s="27" t="str">
        <x:f>IF(OR(D102="",F102=""),"",SUMIFS('Ventas'!$J$7:$J$1006,'Ventas'!$A$7:$A$1006,"&gt;="&amp;DATE('Resumen'!$B$4,1,1),'Ventas'!$A$7:$A$1006,"&lt;"&amp;DATE('Resumen'!$B$4+1,1,1),'Ventas'!$D$7:$D$1006,"pagada",'Ventas'!$F$7:$F$1006,D102,'Ventas'!$H$7:$H$1006,F102))</x:f>
      </x:c>
    </x:row>
    <x:row r="103">
      <x:c r="D103" s="25"/>
      <x:c r="E103" s="25"/>
      <x:c r="F103" s="25"/>
      <x:c r="G103" s="29" t="str">
        <x:f>IF(OR(D103="",F103=""),"",SUMIFS('Ventas'!$I$7:$I$1006,'Ventas'!$A$7:$A$1006,"&gt;="&amp;DATE('Resumen'!$B$4,1,1),'Ventas'!$A$7:$A$1006,"&lt;"&amp;DATE('Resumen'!$B$4+1,1,1),'Ventas'!$D$7:$D$1006,"pagada",'Ventas'!$F$7:$F$1006,D103,'Ventas'!$H$7:$H$1006,F103))</x:f>
      </x:c>
      <x:c r="H103" s="27" t="str">
        <x:f>IF(OR(D103="",F103=""),"",SUMIFS('Ventas'!$J$7:$J$1006,'Ventas'!$A$7:$A$1006,"&gt;="&amp;DATE('Resumen'!$B$4,1,1),'Ventas'!$A$7:$A$1006,"&lt;"&amp;DATE('Resumen'!$B$4+1,1,1),'Ventas'!$D$7:$D$1006,"pagada",'Ventas'!$F$7:$F$1006,D103,'Ventas'!$H$7:$H$1006,F103))</x:f>
      </x:c>
    </x:row>
    <x:row r="104">
      <x:c r="D104" s="25"/>
      <x:c r="E104" s="25"/>
      <x:c r="F104" s="25"/>
      <x:c r="G104" s="29" t="str">
        <x:f>IF(OR(D104="",F104=""),"",SUMIFS('Ventas'!$I$7:$I$1006,'Ventas'!$A$7:$A$1006,"&gt;="&amp;DATE('Resumen'!$B$4,1,1),'Ventas'!$A$7:$A$1006,"&lt;"&amp;DATE('Resumen'!$B$4+1,1,1),'Ventas'!$D$7:$D$1006,"pagada",'Ventas'!$F$7:$F$1006,D104,'Ventas'!$H$7:$H$1006,F104))</x:f>
      </x:c>
      <x:c r="H104" s="27" t="str">
        <x:f>IF(OR(D104="",F104=""),"",SUMIFS('Ventas'!$J$7:$J$1006,'Ventas'!$A$7:$A$1006,"&gt;="&amp;DATE('Resumen'!$B$4,1,1),'Ventas'!$A$7:$A$1006,"&lt;"&amp;DATE('Resumen'!$B$4+1,1,1),'Ventas'!$D$7:$D$1006,"pagada",'Ventas'!$F$7:$F$1006,D104,'Ventas'!$H$7:$H$1006,F104))</x:f>
      </x:c>
    </x:row>
    <x:row r="105">
      <x:c r="D105" s="25"/>
      <x:c r="E105" s="25"/>
      <x:c r="F105" s="25"/>
      <x:c r="G105" s="29" t="str">
        <x:f>IF(OR(D105="",F105=""),"",SUMIFS('Ventas'!$I$7:$I$1006,'Ventas'!$A$7:$A$1006,"&gt;="&amp;DATE('Resumen'!$B$4,1,1),'Ventas'!$A$7:$A$1006,"&lt;"&amp;DATE('Resumen'!$B$4+1,1,1),'Ventas'!$D$7:$D$1006,"pagada",'Ventas'!$F$7:$F$1006,D105,'Ventas'!$H$7:$H$1006,F105))</x:f>
      </x:c>
      <x:c r="H105" s="27" t="str">
        <x:f>IF(OR(D105="",F105=""),"",SUMIFS('Ventas'!$J$7:$J$1006,'Ventas'!$A$7:$A$1006,"&gt;="&amp;DATE('Resumen'!$B$4,1,1),'Ventas'!$A$7:$A$1006,"&lt;"&amp;DATE('Resumen'!$B$4+1,1,1),'Ventas'!$D$7:$D$1006,"pagada",'Ventas'!$F$7:$F$1006,D105,'Ventas'!$H$7:$H$1006,F105))</x:f>
      </x:c>
    </x:row>
    <x:row r="106">
      <x:c r="D106" s="25"/>
      <x:c r="E106" s="25"/>
      <x:c r="F106" s="25"/>
      <x:c r="G106" s="29" t="str">
        <x:f>IF(OR(D106="",F106=""),"",SUMIFS('Ventas'!$I$7:$I$1006,'Ventas'!$A$7:$A$1006,"&gt;="&amp;DATE('Resumen'!$B$4,1,1),'Ventas'!$A$7:$A$1006,"&lt;"&amp;DATE('Resumen'!$B$4+1,1,1),'Ventas'!$D$7:$D$1006,"pagada",'Ventas'!$F$7:$F$1006,D106,'Ventas'!$H$7:$H$1006,F106))</x:f>
      </x:c>
      <x:c r="H106" s="27" t="str">
        <x:f>IF(OR(D106="",F106=""),"",SUMIFS('Ventas'!$J$7:$J$1006,'Ventas'!$A$7:$A$1006,"&gt;="&amp;DATE('Resumen'!$B$4,1,1),'Ventas'!$A$7:$A$1006,"&lt;"&amp;DATE('Resumen'!$B$4+1,1,1),'Ventas'!$D$7:$D$1006,"pagada",'Ventas'!$F$7:$F$1006,D106,'Ventas'!$H$7:$H$1006,F106))</x:f>
      </x:c>
    </x:row>
    <x:row r="107">
      <x:c r="D107" s="25"/>
      <x:c r="E107" s="25"/>
      <x:c r="F107" s="25"/>
      <x:c r="G107" s="29" t="str">
        <x:f>IF(OR(D107="",F107=""),"",SUMIFS('Ventas'!$I$7:$I$1006,'Ventas'!$A$7:$A$1006,"&gt;="&amp;DATE('Resumen'!$B$4,1,1),'Ventas'!$A$7:$A$1006,"&lt;"&amp;DATE('Resumen'!$B$4+1,1,1),'Ventas'!$D$7:$D$1006,"pagada",'Ventas'!$F$7:$F$1006,D107,'Ventas'!$H$7:$H$1006,F107))</x:f>
      </x:c>
      <x:c r="H107" s="27" t="str">
        <x:f>IF(OR(D107="",F107=""),"",SUMIFS('Ventas'!$J$7:$J$1006,'Ventas'!$A$7:$A$1006,"&gt;="&amp;DATE('Resumen'!$B$4,1,1),'Ventas'!$A$7:$A$1006,"&lt;"&amp;DATE('Resumen'!$B$4+1,1,1),'Ventas'!$D$7:$D$1006,"pagada",'Ventas'!$F$7:$F$1006,D107,'Ventas'!$H$7:$H$1006,F107))</x:f>
      </x:c>
    </x:row>
    <x:row r="108">
      <x:c r="D108" s="25"/>
      <x:c r="E108" s="25"/>
      <x:c r="F108" s="25"/>
      <x:c r="G108" s="29" t="str">
        <x:f>IF(OR(D108="",F108=""),"",SUMIFS('Ventas'!$I$7:$I$1006,'Ventas'!$A$7:$A$1006,"&gt;="&amp;DATE('Resumen'!$B$4,1,1),'Ventas'!$A$7:$A$1006,"&lt;"&amp;DATE('Resumen'!$B$4+1,1,1),'Ventas'!$D$7:$D$1006,"pagada",'Ventas'!$F$7:$F$1006,D108,'Ventas'!$H$7:$H$1006,F108))</x:f>
      </x:c>
      <x:c r="H108" s="27" t="str">
        <x:f>IF(OR(D108="",F108=""),"",SUMIFS('Ventas'!$J$7:$J$1006,'Ventas'!$A$7:$A$1006,"&gt;="&amp;DATE('Resumen'!$B$4,1,1),'Ventas'!$A$7:$A$1006,"&lt;"&amp;DATE('Resumen'!$B$4+1,1,1),'Ventas'!$D$7:$D$1006,"pagada",'Ventas'!$F$7:$F$1006,D108,'Ventas'!$H$7:$H$1006,F108))</x:f>
      </x:c>
    </x:row>
    <x:row r="109">
      <x:c r="D109" s="25"/>
      <x:c r="E109" s="25"/>
      <x:c r="F109" s="25"/>
      <x:c r="G109" s="29" t="str">
        <x:f>IF(OR(D109="",F109=""),"",SUMIFS('Ventas'!$I$7:$I$1006,'Ventas'!$A$7:$A$1006,"&gt;="&amp;DATE('Resumen'!$B$4,1,1),'Ventas'!$A$7:$A$1006,"&lt;"&amp;DATE('Resumen'!$B$4+1,1,1),'Ventas'!$D$7:$D$1006,"pagada",'Ventas'!$F$7:$F$1006,D109,'Ventas'!$H$7:$H$1006,F109))</x:f>
      </x:c>
      <x:c r="H109" s="27" t="str">
        <x:f>IF(OR(D109="",F109=""),"",SUMIFS('Ventas'!$J$7:$J$1006,'Ventas'!$A$7:$A$1006,"&gt;="&amp;DATE('Resumen'!$B$4,1,1),'Ventas'!$A$7:$A$1006,"&lt;"&amp;DATE('Resumen'!$B$4+1,1,1),'Ventas'!$D$7:$D$1006,"pagada",'Ventas'!$F$7:$F$1006,D109,'Ventas'!$H$7:$H$1006,F109))</x:f>
      </x:c>
    </x:row>
    <x:row r="110">
      <x:c r="D110" s="25"/>
      <x:c r="E110" s="25"/>
      <x:c r="F110" s="25"/>
      <x:c r="G110" s="29" t="str">
        <x:f>IF(OR(D110="",F110=""),"",SUMIFS('Ventas'!$I$7:$I$1006,'Ventas'!$A$7:$A$1006,"&gt;="&amp;DATE('Resumen'!$B$4,1,1),'Ventas'!$A$7:$A$1006,"&lt;"&amp;DATE('Resumen'!$B$4+1,1,1),'Ventas'!$D$7:$D$1006,"pagada",'Ventas'!$F$7:$F$1006,D110,'Ventas'!$H$7:$H$1006,F110))</x:f>
      </x:c>
      <x:c r="H110" s="27" t="str">
        <x:f>IF(OR(D110="",F110=""),"",SUMIFS('Ventas'!$J$7:$J$1006,'Ventas'!$A$7:$A$1006,"&gt;="&amp;DATE('Resumen'!$B$4,1,1),'Ventas'!$A$7:$A$1006,"&lt;"&amp;DATE('Resumen'!$B$4+1,1,1),'Ventas'!$D$7:$D$1006,"pagada",'Ventas'!$F$7:$F$1006,D110,'Ventas'!$H$7:$H$1006,F110))</x:f>
      </x:c>
    </x:row>
    <x:row r="111">
      <x:c r="D111" s="25"/>
      <x:c r="E111" s="25"/>
      <x:c r="F111" s="25"/>
      <x:c r="G111" s="29" t="str">
        <x:f>IF(OR(D111="",F111=""),"",SUMIFS('Ventas'!$I$7:$I$1006,'Ventas'!$A$7:$A$1006,"&gt;="&amp;DATE('Resumen'!$B$4,1,1),'Ventas'!$A$7:$A$1006,"&lt;"&amp;DATE('Resumen'!$B$4+1,1,1),'Ventas'!$D$7:$D$1006,"pagada",'Ventas'!$F$7:$F$1006,D111,'Ventas'!$H$7:$H$1006,F111))</x:f>
      </x:c>
      <x:c r="H111" s="27" t="str">
        <x:f>IF(OR(D111="",F111=""),"",SUMIFS('Ventas'!$J$7:$J$1006,'Ventas'!$A$7:$A$1006,"&gt;="&amp;DATE('Resumen'!$B$4,1,1),'Ventas'!$A$7:$A$1006,"&lt;"&amp;DATE('Resumen'!$B$4+1,1,1),'Ventas'!$D$7:$D$1006,"pagada",'Ventas'!$F$7:$F$1006,D111,'Ventas'!$H$7:$H$1006,F111))</x:f>
      </x:c>
    </x:row>
    <x:row r="112">
      <x:c r="D112" s="25"/>
      <x:c r="E112" s="25"/>
      <x:c r="F112" s="25"/>
      <x:c r="G112" s="29" t="str">
        <x:f>IF(OR(D112="",F112=""),"",SUMIFS('Ventas'!$I$7:$I$1006,'Ventas'!$A$7:$A$1006,"&gt;="&amp;DATE('Resumen'!$B$4,1,1),'Ventas'!$A$7:$A$1006,"&lt;"&amp;DATE('Resumen'!$B$4+1,1,1),'Ventas'!$D$7:$D$1006,"pagada",'Ventas'!$F$7:$F$1006,D112,'Ventas'!$H$7:$H$1006,F112))</x:f>
      </x:c>
      <x:c r="H112" s="27" t="str">
        <x:f>IF(OR(D112="",F112=""),"",SUMIFS('Ventas'!$J$7:$J$1006,'Ventas'!$A$7:$A$1006,"&gt;="&amp;DATE('Resumen'!$B$4,1,1),'Ventas'!$A$7:$A$1006,"&lt;"&amp;DATE('Resumen'!$B$4+1,1,1),'Ventas'!$D$7:$D$1006,"pagada",'Ventas'!$F$7:$F$1006,D112,'Ventas'!$H$7:$H$1006,F112))</x:f>
      </x:c>
    </x:row>
    <x:row r="113">
      <x:c r="D113" s="25"/>
      <x:c r="E113" s="25"/>
      <x:c r="F113" s="25"/>
      <x:c r="G113" s="29" t="str">
        <x:f>IF(OR(D113="",F113=""),"",SUMIFS('Ventas'!$I$7:$I$1006,'Ventas'!$A$7:$A$1006,"&gt;="&amp;DATE('Resumen'!$B$4,1,1),'Ventas'!$A$7:$A$1006,"&lt;"&amp;DATE('Resumen'!$B$4+1,1,1),'Ventas'!$D$7:$D$1006,"pagada",'Ventas'!$F$7:$F$1006,D113,'Ventas'!$H$7:$H$1006,F113))</x:f>
      </x:c>
      <x:c r="H113" s="27" t="str">
        <x:f>IF(OR(D113="",F113=""),"",SUMIFS('Ventas'!$J$7:$J$1006,'Ventas'!$A$7:$A$1006,"&gt;="&amp;DATE('Resumen'!$B$4,1,1),'Ventas'!$A$7:$A$1006,"&lt;"&amp;DATE('Resumen'!$B$4+1,1,1),'Ventas'!$D$7:$D$1006,"pagada",'Ventas'!$F$7:$F$1006,D113,'Ventas'!$H$7:$H$1006,F113))</x:f>
      </x:c>
    </x:row>
    <x:row r="114">
      <x:c r="D114" s="25"/>
      <x:c r="E114" s="25"/>
      <x:c r="F114" s="25"/>
      <x:c r="G114" s="29" t="str">
        <x:f>IF(OR(D114="",F114=""),"",SUMIFS('Ventas'!$I$7:$I$1006,'Ventas'!$A$7:$A$1006,"&gt;="&amp;DATE('Resumen'!$B$4,1,1),'Ventas'!$A$7:$A$1006,"&lt;"&amp;DATE('Resumen'!$B$4+1,1,1),'Ventas'!$D$7:$D$1006,"pagada",'Ventas'!$F$7:$F$1006,D114,'Ventas'!$H$7:$H$1006,F114))</x:f>
      </x:c>
      <x:c r="H114" s="27" t="str">
        <x:f>IF(OR(D114="",F114=""),"",SUMIFS('Ventas'!$J$7:$J$1006,'Ventas'!$A$7:$A$1006,"&gt;="&amp;DATE('Resumen'!$B$4,1,1),'Ventas'!$A$7:$A$1006,"&lt;"&amp;DATE('Resumen'!$B$4+1,1,1),'Ventas'!$D$7:$D$1006,"pagada",'Ventas'!$F$7:$F$1006,D114,'Ventas'!$H$7:$H$1006,F114))</x:f>
      </x:c>
    </x:row>
    <x:row r="115">
      <x:c r="D115" s="25"/>
      <x:c r="E115" s="25"/>
      <x:c r="F115" s="25"/>
      <x:c r="G115" s="29" t="str">
        <x:f>IF(OR(D115="",F115=""),"",SUMIFS('Ventas'!$I$7:$I$1006,'Ventas'!$A$7:$A$1006,"&gt;="&amp;DATE('Resumen'!$B$4,1,1),'Ventas'!$A$7:$A$1006,"&lt;"&amp;DATE('Resumen'!$B$4+1,1,1),'Ventas'!$D$7:$D$1006,"pagada",'Ventas'!$F$7:$F$1006,D115,'Ventas'!$H$7:$H$1006,F115))</x:f>
      </x:c>
      <x:c r="H115" s="27" t="str">
        <x:f>IF(OR(D115="",F115=""),"",SUMIFS('Ventas'!$J$7:$J$1006,'Ventas'!$A$7:$A$1006,"&gt;="&amp;DATE('Resumen'!$B$4,1,1),'Ventas'!$A$7:$A$1006,"&lt;"&amp;DATE('Resumen'!$B$4+1,1,1),'Ventas'!$D$7:$D$1006,"pagada",'Ventas'!$F$7:$F$1006,D115,'Ventas'!$H$7:$H$1006,F115))</x:f>
      </x:c>
    </x:row>
    <x:row r="116">
      <x:c r="D116" s="25"/>
      <x:c r="E116" s="25"/>
      <x:c r="F116" s="25"/>
      <x:c r="G116" s="29" t="str">
        <x:f>IF(OR(D116="",F116=""),"",SUMIFS('Ventas'!$I$7:$I$1006,'Ventas'!$A$7:$A$1006,"&gt;="&amp;DATE('Resumen'!$B$4,1,1),'Ventas'!$A$7:$A$1006,"&lt;"&amp;DATE('Resumen'!$B$4+1,1,1),'Ventas'!$D$7:$D$1006,"pagada",'Ventas'!$F$7:$F$1006,D116,'Ventas'!$H$7:$H$1006,F116))</x:f>
      </x:c>
      <x:c r="H116" s="27" t="str">
        <x:f>IF(OR(D116="",F116=""),"",SUMIFS('Ventas'!$J$7:$J$1006,'Ventas'!$A$7:$A$1006,"&gt;="&amp;DATE('Resumen'!$B$4,1,1),'Ventas'!$A$7:$A$1006,"&lt;"&amp;DATE('Resumen'!$B$4+1,1,1),'Ventas'!$D$7:$D$1006,"pagada",'Ventas'!$F$7:$F$1006,D116,'Ventas'!$H$7:$H$1006,F116))</x:f>
      </x:c>
    </x:row>
    <x:row r="117">
      <x:c r="D117" s="25"/>
      <x:c r="E117" s="25"/>
      <x:c r="F117" s="25"/>
      <x:c r="G117" s="29" t="str">
        <x:f>IF(OR(D117="",F117=""),"",SUMIFS('Ventas'!$I$7:$I$1006,'Ventas'!$A$7:$A$1006,"&gt;="&amp;DATE('Resumen'!$B$4,1,1),'Ventas'!$A$7:$A$1006,"&lt;"&amp;DATE('Resumen'!$B$4+1,1,1),'Ventas'!$D$7:$D$1006,"pagada",'Ventas'!$F$7:$F$1006,D117,'Ventas'!$H$7:$H$1006,F117))</x:f>
      </x:c>
      <x:c r="H117" s="27" t="str">
        <x:f>IF(OR(D117="",F117=""),"",SUMIFS('Ventas'!$J$7:$J$1006,'Ventas'!$A$7:$A$1006,"&gt;="&amp;DATE('Resumen'!$B$4,1,1),'Ventas'!$A$7:$A$1006,"&lt;"&amp;DATE('Resumen'!$B$4+1,1,1),'Ventas'!$D$7:$D$1006,"pagada",'Ventas'!$F$7:$F$1006,D117,'Ventas'!$H$7:$H$1006,F117))</x:f>
      </x:c>
    </x:row>
    <x:row r="118">
      <x:c r="D118" s="25"/>
      <x:c r="E118" s="25"/>
      <x:c r="F118" s="25"/>
      <x:c r="G118" s="29" t="str">
        <x:f>IF(OR(D118="",F118=""),"",SUMIFS('Ventas'!$I$7:$I$1006,'Ventas'!$A$7:$A$1006,"&gt;="&amp;DATE('Resumen'!$B$4,1,1),'Ventas'!$A$7:$A$1006,"&lt;"&amp;DATE('Resumen'!$B$4+1,1,1),'Ventas'!$D$7:$D$1006,"pagada",'Ventas'!$F$7:$F$1006,D118,'Ventas'!$H$7:$H$1006,F118))</x:f>
      </x:c>
      <x:c r="H118" s="27" t="str">
        <x:f>IF(OR(D118="",F118=""),"",SUMIFS('Ventas'!$J$7:$J$1006,'Ventas'!$A$7:$A$1006,"&gt;="&amp;DATE('Resumen'!$B$4,1,1),'Ventas'!$A$7:$A$1006,"&lt;"&amp;DATE('Resumen'!$B$4+1,1,1),'Ventas'!$D$7:$D$1006,"pagada",'Ventas'!$F$7:$F$1006,D118,'Ventas'!$H$7:$H$1006,F118))</x:f>
      </x:c>
    </x:row>
    <x:row r="119">
      <x:c r="D119" s="25"/>
      <x:c r="E119" s="25"/>
      <x:c r="F119" s="25"/>
      <x:c r="G119" s="29" t="str">
        <x:f>IF(OR(D119="",F119=""),"",SUMIFS('Ventas'!$I$7:$I$1006,'Ventas'!$A$7:$A$1006,"&gt;="&amp;DATE('Resumen'!$B$4,1,1),'Ventas'!$A$7:$A$1006,"&lt;"&amp;DATE('Resumen'!$B$4+1,1,1),'Ventas'!$D$7:$D$1006,"pagada",'Ventas'!$F$7:$F$1006,D119,'Ventas'!$H$7:$H$1006,F119))</x:f>
      </x:c>
      <x:c r="H119" s="27" t="str">
        <x:f>IF(OR(D119="",F119=""),"",SUMIFS('Ventas'!$J$7:$J$1006,'Ventas'!$A$7:$A$1006,"&gt;="&amp;DATE('Resumen'!$B$4,1,1),'Ventas'!$A$7:$A$1006,"&lt;"&amp;DATE('Resumen'!$B$4+1,1,1),'Ventas'!$D$7:$D$1006,"pagada",'Ventas'!$F$7:$F$1006,D119,'Ventas'!$H$7:$H$1006,F119))</x:f>
      </x:c>
    </x:row>
    <x:row r="120">
      <x:c r="D120" s="25"/>
      <x:c r="E120" s="25"/>
      <x:c r="F120" s="25"/>
      <x:c r="G120" s="29" t="str">
        <x:f>IF(OR(D120="",F120=""),"",SUMIFS('Ventas'!$I$7:$I$1006,'Ventas'!$A$7:$A$1006,"&gt;="&amp;DATE('Resumen'!$B$4,1,1),'Ventas'!$A$7:$A$1006,"&lt;"&amp;DATE('Resumen'!$B$4+1,1,1),'Ventas'!$D$7:$D$1006,"pagada",'Ventas'!$F$7:$F$1006,D120,'Ventas'!$H$7:$H$1006,F120))</x:f>
      </x:c>
      <x:c r="H120" s="27" t="str">
        <x:f>IF(OR(D120="",F120=""),"",SUMIFS('Ventas'!$J$7:$J$1006,'Ventas'!$A$7:$A$1006,"&gt;="&amp;DATE('Resumen'!$B$4,1,1),'Ventas'!$A$7:$A$1006,"&lt;"&amp;DATE('Resumen'!$B$4+1,1,1),'Ventas'!$D$7:$D$1006,"pagada",'Ventas'!$F$7:$F$1006,D120,'Ventas'!$H$7:$H$1006,F120))</x:f>
      </x:c>
    </x:row>
    <x:row r="121">
      <x:c r="D121" s="25"/>
      <x:c r="E121" s="25"/>
      <x:c r="F121" s="25"/>
      <x:c r="G121" s="29" t="str">
        <x:f>IF(OR(D121="",F121=""),"",SUMIFS('Ventas'!$I$7:$I$1006,'Ventas'!$A$7:$A$1006,"&gt;="&amp;DATE('Resumen'!$B$4,1,1),'Ventas'!$A$7:$A$1006,"&lt;"&amp;DATE('Resumen'!$B$4+1,1,1),'Ventas'!$D$7:$D$1006,"pagada",'Ventas'!$F$7:$F$1006,D121,'Ventas'!$H$7:$H$1006,F121))</x:f>
      </x:c>
      <x:c r="H121" s="27" t="str">
        <x:f>IF(OR(D121="",F121=""),"",SUMIFS('Ventas'!$J$7:$J$1006,'Ventas'!$A$7:$A$1006,"&gt;="&amp;DATE('Resumen'!$B$4,1,1),'Ventas'!$A$7:$A$1006,"&lt;"&amp;DATE('Resumen'!$B$4+1,1,1),'Ventas'!$D$7:$D$1006,"pagada",'Ventas'!$F$7:$F$1006,D121,'Ventas'!$H$7:$H$1006,F121))</x:f>
      </x:c>
    </x:row>
    <x:row r="122">
      <x:c r="D122" s="25"/>
      <x:c r="E122" s="25"/>
      <x:c r="F122" s="25"/>
      <x:c r="G122" s="29" t="str">
        <x:f>IF(OR(D122="",F122=""),"",SUMIFS('Ventas'!$I$7:$I$1006,'Ventas'!$A$7:$A$1006,"&gt;="&amp;DATE('Resumen'!$B$4,1,1),'Ventas'!$A$7:$A$1006,"&lt;"&amp;DATE('Resumen'!$B$4+1,1,1),'Ventas'!$D$7:$D$1006,"pagada",'Ventas'!$F$7:$F$1006,D122,'Ventas'!$H$7:$H$1006,F122))</x:f>
      </x:c>
      <x:c r="H122" s="27" t="str">
        <x:f>IF(OR(D122="",F122=""),"",SUMIFS('Ventas'!$J$7:$J$1006,'Ventas'!$A$7:$A$1006,"&gt;="&amp;DATE('Resumen'!$B$4,1,1),'Ventas'!$A$7:$A$1006,"&lt;"&amp;DATE('Resumen'!$B$4+1,1,1),'Ventas'!$D$7:$D$1006,"pagada",'Ventas'!$F$7:$F$1006,D122,'Ventas'!$H$7:$H$1006,F122))</x:f>
      </x:c>
    </x:row>
    <x:row r="123">
      <x:c r="D123" s="25"/>
      <x:c r="E123" s="25"/>
      <x:c r="F123" s="25"/>
      <x:c r="G123" s="29" t="str">
        <x:f>IF(OR(D123="",F123=""),"",SUMIFS('Ventas'!$I$7:$I$1006,'Ventas'!$A$7:$A$1006,"&gt;="&amp;DATE('Resumen'!$B$4,1,1),'Ventas'!$A$7:$A$1006,"&lt;"&amp;DATE('Resumen'!$B$4+1,1,1),'Ventas'!$D$7:$D$1006,"pagada",'Ventas'!$F$7:$F$1006,D123,'Ventas'!$H$7:$H$1006,F123))</x:f>
      </x:c>
      <x:c r="H123" s="27" t="str">
        <x:f>IF(OR(D123="",F123=""),"",SUMIFS('Ventas'!$J$7:$J$1006,'Ventas'!$A$7:$A$1006,"&gt;="&amp;DATE('Resumen'!$B$4,1,1),'Ventas'!$A$7:$A$1006,"&lt;"&amp;DATE('Resumen'!$B$4+1,1,1),'Ventas'!$D$7:$D$1006,"pagada",'Ventas'!$F$7:$F$1006,D123,'Ventas'!$H$7:$H$1006,F123))</x:f>
      </x:c>
    </x:row>
    <x:row r="124">
      <x:c r="D124" s="25"/>
      <x:c r="E124" s="25"/>
      <x:c r="F124" s="25"/>
      <x:c r="G124" s="29" t="str">
        <x:f>IF(OR(D124="",F124=""),"",SUMIFS('Ventas'!$I$7:$I$1006,'Ventas'!$A$7:$A$1006,"&gt;="&amp;DATE('Resumen'!$B$4,1,1),'Ventas'!$A$7:$A$1006,"&lt;"&amp;DATE('Resumen'!$B$4+1,1,1),'Ventas'!$D$7:$D$1006,"pagada",'Ventas'!$F$7:$F$1006,D124,'Ventas'!$H$7:$H$1006,F124))</x:f>
      </x:c>
      <x:c r="H124" s="27" t="str">
        <x:f>IF(OR(D124="",F124=""),"",SUMIFS('Ventas'!$J$7:$J$1006,'Ventas'!$A$7:$A$1006,"&gt;="&amp;DATE('Resumen'!$B$4,1,1),'Ventas'!$A$7:$A$1006,"&lt;"&amp;DATE('Resumen'!$B$4+1,1,1),'Ventas'!$D$7:$D$1006,"pagada",'Ventas'!$F$7:$F$1006,D124,'Ventas'!$H$7:$H$1006,F124))</x:f>
      </x:c>
    </x:row>
    <x:row r="125">
      <x:c r="D125" s="25"/>
      <x:c r="E125" s="25"/>
      <x:c r="F125" s="25"/>
      <x:c r="G125" s="29" t="str">
        <x:f>IF(OR(D125="",F125=""),"",SUMIFS('Ventas'!$I$7:$I$1006,'Ventas'!$A$7:$A$1006,"&gt;="&amp;DATE('Resumen'!$B$4,1,1),'Ventas'!$A$7:$A$1006,"&lt;"&amp;DATE('Resumen'!$B$4+1,1,1),'Ventas'!$D$7:$D$1006,"pagada",'Ventas'!$F$7:$F$1006,D125,'Ventas'!$H$7:$H$1006,F125))</x:f>
      </x:c>
      <x:c r="H125" s="27" t="str">
        <x:f>IF(OR(D125="",F125=""),"",SUMIFS('Ventas'!$J$7:$J$1006,'Ventas'!$A$7:$A$1006,"&gt;="&amp;DATE('Resumen'!$B$4,1,1),'Ventas'!$A$7:$A$1006,"&lt;"&amp;DATE('Resumen'!$B$4+1,1,1),'Ventas'!$D$7:$D$1006,"pagada",'Ventas'!$F$7:$F$1006,D125,'Ventas'!$H$7:$H$1006,F125))</x:f>
      </x:c>
    </x:row>
    <x:row r="126">
      <x:c r="D126" s="25"/>
      <x:c r="E126" s="25"/>
      <x:c r="F126" s="25"/>
      <x:c r="G126" s="29" t="str">
        <x:f>IF(OR(D126="",F126=""),"",SUMIFS('Ventas'!$I$7:$I$1006,'Ventas'!$A$7:$A$1006,"&gt;="&amp;DATE('Resumen'!$B$4,1,1),'Ventas'!$A$7:$A$1006,"&lt;"&amp;DATE('Resumen'!$B$4+1,1,1),'Ventas'!$D$7:$D$1006,"pagada",'Ventas'!$F$7:$F$1006,D126,'Ventas'!$H$7:$H$1006,F126))</x:f>
      </x:c>
      <x:c r="H126" s="27" t="str">
        <x:f>IF(OR(D126="",F126=""),"",SUMIFS('Ventas'!$J$7:$J$1006,'Ventas'!$A$7:$A$1006,"&gt;="&amp;DATE('Resumen'!$B$4,1,1),'Ventas'!$A$7:$A$1006,"&lt;"&amp;DATE('Resumen'!$B$4+1,1,1),'Ventas'!$D$7:$D$1006,"pagada",'Ventas'!$F$7:$F$1006,D126,'Ventas'!$H$7:$H$1006,F126))</x:f>
      </x:c>
    </x:row>
    <x:row r="127">
      <x:c r="D127" s="25"/>
      <x:c r="E127" s="25"/>
      <x:c r="F127" s="25"/>
      <x:c r="G127" s="29" t="str">
        <x:f>IF(OR(D127="",F127=""),"",SUMIFS('Ventas'!$I$7:$I$1006,'Ventas'!$A$7:$A$1006,"&gt;="&amp;DATE('Resumen'!$B$4,1,1),'Ventas'!$A$7:$A$1006,"&lt;"&amp;DATE('Resumen'!$B$4+1,1,1),'Ventas'!$D$7:$D$1006,"pagada",'Ventas'!$F$7:$F$1006,D127,'Ventas'!$H$7:$H$1006,F127))</x:f>
      </x:c>
      <x:c r="H127" s="27" t="str">
        <x:f>IF(OR(D127="",F127=""),"",SUMIFS('Ventas'!$J$7:$J$1006,'Ventas'!$A$7:$A$1006,"&gt;="&amp;DATE('Resumen'!$B$4,1,1),'Ventas'!$A$7:$A$1006,"&lt;"&amp;DATE('Resumen'!$B$4+1,1,1),'Ventas'!$D$7:$D$1006,"pagada",'Ventas'!$F$7:$F$1006,D127,'Ventas'!$H$7:$H$1006,F127))</x:f>
      </x:c>
    </x:row>
    <x:row r="128">
      <x:c r="D128" s="25"/>
      <x:c r="E128" s="25"/>
      <x:c r="F128" s="25"/>
      <x:c r="G128" s="29" t="str">
        <x:f>IF(OR(D128="",F128=""),"",SUMIFS('Ventas'!$I$7:$I$1006,'Ventas'!$A$7:$A$1006,"&gt;="&amp;DATE('Resumen'!$B$4,1,1),'Ventas'!$A$7:$A$1006,"&lt;"&amp;DATE('Resumen'!$B$4+1,1,1),'Ventas'!$D$7:$D$1006,"pagada",'Ventas'!$F$7:$F$1006,D128,'Ventas'!$H$7:$H$1006,F128))</x:f>
      </x:c>
      <x:c r="H128" s="27" t="str">
        <x:f>IF(OR(D128="",F128=""),"",SUMIFS('Ventas'!$J$7:$J$1006,'Ventas'!$A$7:$A$1006,"&gt;="&amp;DATE('Resumen'!$B$4,1,1),'Ventas'!$A$7:$A$1006,"&lt;"&amp;DATE('Resumen'!$B$4+1,1,1),'Ventas'!$D$7:$D$1006,"pagada",'Ventas'!$F$7:$F$1006,D128,'Ventas'!$H$7:$H$1006,F128))</x:f>
      </x:c>
    </x:row>
    <x:row r="129">
      <x:c r="D129" s="25"/>
      <x:c r="E129" s="25"/>
      <x:c r="F129" s="25"/>
      <x:c r="G129" s="29" t="str">
        <x:f>IF(OR(D129="",F129=""),"",SUMIFS('Ventas'!$I$7:$I$1006,'Ventas'!$A$7:$A$1006,"&gt;="&amp;DATE('Resumen'!$B$4,1,1),'Ventas'!$A$7:$A$1006,"&lt;"&amp;DATE('Resumen'!$B$4+1,1,1),'Ventas'!$D$7:$D$1006,"pagada",'Ventas'!$F$7:$F$1006,D129,'Ventas'!$H$7:$H$1006,F129))</x:f>
      </x:c>
      <x:c r="H129" s="27" t="str">
        <x:f>IF(OR(D129="",F129=""),"",SUMIFS('Ventas'!$J$7:$J$1006,'Ventas'!$A$7:$A$1006,"&gt;="&amp;DATE('Resumen'!$B$4,1,1),'Ventas'!$A$7:$A$1006,"&lt;"&amp;DATE('Resumen'!$B$4+1,1,1),'Ventas'!$D$7:$D$1006,"pagada",'Ventas'!$F$7:$F$1006,D129,'Ventas'!$H$7:$H$1006,F129))</x:f>
      </x:c>
    </x:row>
    <x:row r="130">
      <x:c r="D130" s="25"/>
      <x:c r="E130" s="25"/>
      <x:c r="F130" s="25"/>
      <x:c r="G130" s="29" t="str">
        <x:f>IF(OR(D130="",F130=""),"",SUMIFS('Ventas'!$I$7:$I$1006,'Ventas'!$A$7:$A$1006,"&gt;="&amp;DATE('Resumen'!$B$4,1,1),'Ventas'!$A$7:$A$1006,"&lt;"&amp;DATE('Resumen'!$B$4+1,1,1),'Ventas'!$D$7:$D$1006,"pagada",'Ventas'!$F$7:$F$1006,D130,'Ventas'!$H$7:$H$1006,F130))</x:f>
      </x:c>
      <x:c r="H130" s="27" t="str">
        <x:f>IF(OR(D130="",F130=""),"",SUMIFS('Ventas'!$J$7:$J$1006,'Ventas'!$A$7:$A$1006,"&gt;="&amp;DATE('Resumen'!$B$4,1,1),'Ventas'!$A$7:$A$1006,"&lt;"&amp;DATE('Resumen'!$B$4+1,1,1),'Ventas'!$D$7:$D$1006,"pagada",'Ventas'!$F$7:$F$1006,D130,'Ventas'!$H$7:$H$1006,F130))</x:f>
      </x:c>
    </x:row>
    <x:row r="131">
      <x:c r="D131" s="25"/>
      <x:c r="E131" s="25"/>
      <x:c r="F131" s="25"/>
      <x:c r="G131" s="29" t="str">
        <x:f>IF(OR(D131="",F131=""),"",SUMIFS('Ventas'!$I$7:$I$1006,'Ventas'!$A$7:$A$1006,"&gt;="&amp;DATE('Resumen'!$B$4,1,1),'Ventas'!$A$7:$A$1006,"&lt;"&amp;DATE('Resumen'!$B$4+1,1,1),'Ventas'!$D$7:$D$1006,"pagada",'Ventas'!$F$7:$F$1006,D131,'Ventas'!$H$7:$H$1006,F131))</x:f>
      </x:c>
      <x:c r="H131" s="27" t="str">
        <x:f>IF(OR(D131="",F131=""),"",SUMIFS('Ventas'!$J$7:$J$1006,'Ventas'!$A$7:$A$1006,"&gt;="&amp;DATE('Resumen'!$B$4,1,1),'Ventas'!$A$7:$A$1006,"&lt;"&amp;DATE('Resumen'!$B$4+1,1,1),'Ventas'!$D$7:$D$1006,"pagada",'Ventas'!$F$7:$F$1006,D131,'Ventas'!$H$7:$H$1006,F131))</x:f>
      </x:c>
    </x:row>
    <x:row r="132">
      <x:c r="D132" s="25"/>
      <x:c r="E132" s="25"/>
      <x:c r="F132" s="25"/>
      <x:c r="G132" s="29" t="str">
        <x:f>IF(OR(D132="",F132=""),"",SUMIFS('Ventas'!$I$7:$I$1006,'Ventas'!$A$7:$A$1006,"&gt;="&amp;DATE('Resumen'!$B$4,1,1),'Ventas'!$A$7:$A$1006,"&lt;"&amp;DATE('Resumen'!$B$4+1,1,1),'Ventas'!$D$7:$D$1006,"pagada",'Ventas'!$F$7:$F$1006,D132,'Ventas'!$H$7:$H$1006,F132))</x:f>
      </x:c>
      <x:c r="H132" s="27" t="str">
        <x:f>IF(OR(D132="",F132=""),"",SUMIFS('Ventas'!$J$7:$J$1006,'Ventas'!$A$7:$A$1006,"&gt;="&amp;DATE('Resumen'!$B$4,1,1),'Ventas'!$A$7:$A$1006,"&lt;"&amp;DATE('Resumen'!$B$4+1,1,1),'Ventas'!$D$7:$D$1006,"pagada",'Ventas'!$F$7:$F$1006,D132,'Ventas'!$H$7:$H$1006,F132))</x:f>
      </x:c>
    </x:row>
    <x:row r="133">
      <x:c r="D133" s="25"/>
      <x:c r="E133" s="25"/>
      <x:c r="F133" s="25"/>
      <x:c r="G133" s="29" t="str">
        <x:f>IF(OR(D133="",F133=""),"",SUMIFS('Ventas'!$I$7:$I$1006,'Ventas'!$A$7:$A$1006,"&gt;="&amp;DATE('Resumen'!$B$4,1,1),'Ventas'!$A$7:$A$1006,"&lt;"&amp;DATE('Resumen'!$B$4+1,1,1),'Ventas'!$D$7:$D$1006,"pagada",'Ventas'!$F$7:$F$1006,D133,'Ventas'!$H$7:$H$1006,F133))</x:f>
      </x:c>
      <x:c r="H133" s="27" t="str">
        <x:f>IF(OR(D133="",F133=""),"",SUMIFS('Ventas'!$J$7:$J$1006,'Ventas'!$A$7:$A$1006,"&gt;="&amp;DATE('Resumen'!$B$4,1,1),'Ventas'!$A$7:$A$1006,"&lt;"&amp;DATE('Resumen'!$B$4+1,1,1),'Ventas'!$D$7:$D$1006,"pagada",'Ventas'!$F$7:$F$1006,D133,'Ventas'!$H$7:$H$1006,F133))</x:f>
      </x:c>
    </x:row>
    <x:row r="134">
      <x:c r="D134" s="25"/>
      <x:c r="E134" s="25"/>
      <x:c r="F134" s="25"/>
      <x:c r="G134" s="29" t="str">
        <x:f>IF(OR(D134="",F134=""),"",SUMIFS('Ventas'!$I$7:$I$1006,'Ventas'!$A$7:$A$1006,"&gt;="&amp;DATE('Resumen'!$B$4,1,1),'Ventas'!$A$7:$A$1006,"&lt;"&amp;DATE('Resumen'!$B$4+1,1,1),'Ventas'!$D$7:$D$1006,"pagada",'Ventas'!$F$7:$F$1006,D134,'Ventas'!$H$7:$H$1006,F134))</x:f>
      </x:c>
      <x:c r="H134" s="27" t="str">
        <x:f>IF(OR(D134="",F134=""),"",SUMIFS('Ventas'!$J$7:$J$1006,'Ventas'!$A$7:$A$1006,"&gt;="&amp;DATE('Resumen'!$B$4,1,1),'Ventas'!$A$7:$A$1006,"&lt;"&amp;DATE('Resumen'!$B$4+1,1,1),'Ventas'!$D$7:$D$1006,"pagada",'Ventas'!$F$7:$F$1006,D134,'Ventas'!$H$7:$H$1006,F134))</x:f>
      </x:c>
    </x:row>
    <x:row r="135">
      <x:c r="D135" s="25"/>
      <x:c r="E135" s="25"/>
      <x:c r="F135" s="25"/>
      <x:c r="G135" s="29" t="str">
        <x:f>IF(OR(D135="",F135=""),"",SUMIFS('Ventas'!$I$7:$I$1006,'Ventas'!$A$7:$A$1006,"&gt;="&amp;DATE('Resumen'!$B$4,1,1),'Ventas'!$A$7:$A$1006,"&lt;"&amp;DATE('Resumen'!$B$4+1,1,1),'Ventas'!$D$7:$D$1006,"pagada",'Ventas'!$F$7:$F$1006,D135,'Ventas'!$H$7:$H$1006,F135))</x:f>
      </x:c>
      <x:c r="H135" s="27" t="str">
        <x:f>IF(OR(D135="",F135=""),"",SUMIFS('Ventas'!$J$7:$J$1006,'Ventas'!$A$7:$A$1006,"&gt;="&amp;DATE('Resumen'!$B$4,1,1),'Ventas'!$A$7:$A$1006,"&lt;"&amp;DATE('Resumen'!$B$4+1,1,1),'Ventas'!$D$7:$D$1006,"pagada",'Ventas'!$F$7:$F$1006,D135,'Ventas'!$H$7:$H$1006,F135))</x:f>
      </x:c>
    </x:row>
    <x:row r="136">
      <x:c r="D136" s="25"/>
      <x:c r="E136" s="25"/>
      <x:c r="F136" s="25"/>
      <x:c r="G136" s="29" t="str">
        <x:f>IF(OR(D136="",F136=""),"",SUMIFS('Ventas'!$I$7:$I$1006,'Ventas'!$A$7:$A$1006,"&gt;="&amp;DATE('Resumen'!$B$4,1,1),'Ventas'!$A$7:$A$1006,"&lt;"&amp;DATE('Resumen'!$B$4+1,1,1),'Ventas'!$D$7:$D$1006,"pagada",'Ventas'!$F$7:$F$1006,D136,'Ventas'!$H$7:$H$1006,F136))</x:f>
      </x:c>
      <x:c r="H136" s="27" t="str">
        <x:f>IF(OR(D136="",F136=""),"",SUMIFS('Ventas'!$J$7:$J$1006,'Ventas'!$A$7:$A$1006,"&gt;="&amp;DATE('Resumen'!$B$4,1,1),'Ventas'!$A$7:$A$1006,"&lt;"&amp;DATE('Resumen'!$B$4+1,1,1),'Ventas'!$D$7:$D$1006,"pagada",'Ventas'!$F$7:$F$1006,D136,'Ventas'!$H$7:$H$1006,F136))</x:f>
      </x:c>
    </x:row>
    <x:row r="137">
      <x:c r="D137" s="25"/>
      <x:c r="E137" s="25"/>
      <x:c r="F137" s="25"/>
      <x:c r="G137" s="29" t="str">
        <x:f>IF(OR(D137="",F137=""),"",SUMIFS('Ventas'!$I$7:$I$1006,'Ventas'!$A$7:$A$1006,"&gt;="&amp;DATE('Resumen'!$B$4,1,1),'Ventas'!$A$7:$A$1006,"&lt;"&amp;DATE('Resumen'!$B$4+1,1,1),'Ventas'!$D$7:$D$1006,"pagada",'Ventas'!$F$7:$F$1006,D137,'Ventas'!$H$7:$H$1006,F137))</x:f>
      </x:c>
      <x:c r="H137" s="27" t="str">
        <x:f>IF(OR(D137="",F137=""),"",SUMIFS('Ventas'!$J$7:$J$1006,'Ventas'!$A$7:$A$1006,"&gt;="&amp;DATE('Resumen'!$B$4,1,1),'Ventas'!$A$7:$A$1006,"&lt;"&amp;DATE('Resumen'!$B$4+1,1,1),'Ventas'!$D$7:$D$1006,"pagada",'Ventas'!$F$7:$F$1006,D137,'Ventas'!$H$7:$H$1006,F137))</x:f>
      </x:c>
    </x:row>
    <x:row r="138">
      <x:c r="D138" s="25"/>
      <x:c r="E138" s="25"/>
      <x:c r="F138" s="25"/>
      <x:c r="G138" s="29" t="str">
        <x:f>IF(OR(D138="",F138=""),"",SUMIFS('Ventas'!$I$7:$I$1006,'Ventas'!$A$7:$A$1006,"&gt;="&amp;DATE('Resumen'!$B$4,1,1),'Ventas'!$A$7:$A$1006,"&lt;"&amp;DATE('Resumen'!$B$4+1,1,1),'Ventas'!$D$7:$D$1006,"pagada",'Ventas'!$F$7:$F$1006,D138,'Ventas'!$H$7:$H$1006,F138))</x:f>
      </x:c>
      <x:c r="H138" s="27" t="str">
        <x:f>IF(OR(D138="",F138=""),"",SUMIFS('Ventas'!$J$7:$J$1006,'Ventas'!$A$7:$A$1006,"&gt;="&amp;DATE('Resumen'!$B$4,1,1),'Ventas'!$A$7:$A$1006,"&lt;"&amp;DATE('Resumen'!$B$4+1,1,1),'Ventas'!$D$7:$D$1006,"pagada",'Ventas'!$F$7:$F$1006,D138,'Ventas'!$H$7:$H$1006,F138))</x:f>
      </x:c>
    </x:row>
    <x:row r="139">
      <x:c r="D139" s="25"/>
      <x:c r="E139" s="25"/>
      <x:c r="F139" s="25"/>
      <x:c r="G139" s="29" t="str">
        <x:f>IF(OR(D139="",F139=""),"",SUMIFS('Ventas'!$I$7:$I$1006,'Ventas'!$A$7:$A$1006,"&gt;="&amp;DATE('Resumen'!$B$4,1,1),'Ventas'!$A$7:$A$1006,"&lt;"&amp;DATE('Resumen'!$B$4+1,1,1),'Ventas'!$D$7:$D$1006,"pagada",'Ventas'!$F$7:$F$1006,D139,'Ventas'!$H$7:$H$1006,F139))</x:f>
      </x:c>
      <x:c r="H139" s="27" t="str">
        <x:f>IF(OR(D139="",F139=""),"",SUMIFS('Ventas'!$J$7:$J$1006,'Ventas'!$A$7:$A$1006,"&gt;="&amp;DATE('Resumen'!$B$4,1,1),'Ventas'!$A$7:$A$1006,"&lt;"&amp;DATE('Resumen'!$B$4+1,1,1),'Ventas'!$D$7:$D$1006,"pagada",'Ventas'!$F$7:$F$1006,D139,'Ventas'!$H$7:$H$1006,F139))</x:f>
      </x:c>
    </x:row>
    <x:row r="140">
      <x:c r="D140" s="25"/>
      <x:c r="E140" s="25"/>
      <x:c r="F140" s="25"/>
      <x:c r="G140" s="29" t="str">
        <x:f>IF(OR(D140="",F140=""),"",SUMIFS('Ventas'!$I$7:$I$1006,'Ventas'!$A$7:$A$1006,"&gt;="&amp;DATE('Resumen'!$B$4,1,1),'Ventas'!$A$7:$A$1006,"&lt;"&amp;DATE('Resumen'!$B$4+1,1,1),'Ventas'!$D$7:$D$1006,"pagada",'Ventas'!$F$7:$F$1006,D140,'Ventas'!$H$7:$H$1006,F140))</x:f>
      </x:c>
      <x:c r="H140" s="27" t="str">
        <x:f>IF(OR(D140="",F140=""),"",SUMIFS('Ventas'!$J$7:$J$1006,'Ventas'!$A$7:$A$1006,"&gt;="&amp;DATE('Resumen'!$B$4,1,1),'Ventas'!$A$7:$A$1006,"&lt;"&amp;DATE('Resumen'!$B$4+1,1,1),'Ventas'!$D$7:$D$1006,"pagada",'Ventas'!$F$7:$F$1006,D140,'Ventas'!$H$7:$H$1006,F140))</x:f>
      </x:c>
    </x:row>
    <x:row r="141">
      <x:c r="D141" s="25"/>
      <x:c r="E141" s="25"/>
      <x:c r="F141" s="25"/>
      <x:c r="G141" s="29" t="str">
        <x:f>IF(OR(D141="",F141=""),"",SUMIFS('Ventas'!$I$7:$I$1006,'Ventas'!$A$7:$A$1006,"&gt;="&amp;DATE('Resumen'!$B$4,1,1),'Ventas'!$A$7:$A$1006,"&lt;"&amp;DATE('Resumen'!$B$4+1,1,1),'Ventas'!$D$7:$D$1006,"pagada",'Ventas'!$F$7:$F$1006,D141,'Ventas'!$H$7:$H$1006,F141))</x:f>
      </x:c>
      <x:c r="H141" s="27" t="str">
        <x:f>IF(OR(D141="",F141=""),"",SUMIFS('Ventas'!$J$7:$J$1006,'Ventas'!$A$7:$A$1006,"&gt;="&amp;DATE('Resumen'!$B$4,1,1),'Ventas'!$A$7:$A$1006,"&lt;"&amp;DATE('Resumen'!$B$4+1,1,1),'Ventas'!$D$7:$D$1006,"pagada",'Ventas'!$F$7:$F$1006,D141,'Ventas'!$H$7:$H$1006,F141))</x:f>
      </x:c>
    </x:row>
    <x:row r="142">
      <x:c r="D142" s="25"/>
      <x:c r="E142" s="25"/>
      <x:c r="F142" s="25"/>
      <x:c r="G142" s="29" t="str">
        <x:f>IF(OR(D142="",F142=""),"",SUMIFS('Ventas'!$I$7:$I$1006,'Ventas'!$A$7:$A$1006,"&gt;="&amp;DATE('Resumen'!$B$4,1,1),'Ventas'!$A$7:$A$1006,"&lt;"&amp;DATE('Resumen'!$B$4+1,1,1),'Ventas'!$D$7:$D$1006,"pagada",'Ventas'!$F$7:$F$1006,D142,'Ventas'!$H$7:$H$1006,F142))</x:f>
      </x:c>
      <x:c r="H142" s="27" t="str">
        <x:f>IF(OR(D142="",F142=""),"",SUMIFS('Ventas'!$J$7:$J$1006,'Ventas'!$A$7:$A$1006,"&gt;="&amp;DATE('Resumen'!$B$4,1,1),'Ventas'!$A$7:$A$1006,"&lt;"&amp;DATE('Resumen'!$B$4+1,1,1),'Ventas'!$D$7:$D$1006,"pagada",'Ventas'!$F$7:$F$1006,D142,'Ventas'!$H$7:$H$1006,F142))</x:f>
      </x:c>
    </x:row>
    <x:row r="143">
      <x:c r="D143" s="25"/>
      <x:c r="E143" s="25"/>
      <x:c r="F143" s="25"/>
      <x:c r="G143" s="29" t="str">
        <x:f>IF(OR(D143="",F143=""),"",SUMIFS('Ventas'!$I$7:$I$1006,'Ventas'!$A$7:$A$1006,"&gt;="&amp;DATE('Resumen'!$B$4,1,1),'Ventas'!$A$7:$A$1006,"&lt;"&amp;DATE('Resumen'!$B$4+1,1,1),'Ventas'!$D$7:$D$1006,"pagada",'Ventas'!$F$7:$F$1006,D143,'Ventas'!$H$7:$H$1006,F143))</x:f>
      </x:c>
      <x:c r="H143" s="27" t="str">
        <x:f>IF(OR(D143="",F143=""),"",SUMIFS('Ventas'!$J$7:$J$1006,'Ventas'!$A$7:$A$1006,"&gt;="&amp;DATE('Resumen'!$B$4,1,1),'Ventas'!$A$7:$A$1006,"&lt;"&amp;DATE('Resumen'!$B$4+1,1,1),'Ventas'!$D$7:$D$1006,"pagada",'Ventas'!$F$7:$F$1006,D143,'Ventas'!$H$7:$H$1006,F143))</x:f>
      </x:c>
    </x:row>
    <x:row r="144">
      <x:c r="D144" s="25"/>
      <x:c r="E144" s="25"/>
      <x:c r="F144" s="25"/>
      <x:c r="G144" s="29" t="str">
        <x:f>IF(OR(D144="",F144=""),"",SUMIFS('Ventas'!$I$7:$I$1006,'Ventas'!$A$7:$A$1006,"&gt;="&amp;DATE('Resumen'!$B$4,1,1),'Ventas'!$A$7:$A$1006,"&lt;"&amp;DATE('Resumen'!$B$4+1,1,1),'Ventas'!$D$7:$D$1006,"pagada",'Ventas'!$F$7:$F$1006,D144,'Ventas'!$H$7:$H$1006,F144))</x:f>
      </x:c>
      <x:c r="H144" s="27" t="str">
        <x:f>IF(OR(D144="",F144=""),"",SUMIFS('Ventas'!$J$7:$J$1006,'Ventas'!$A$7:$A$1006,"&gt;="&amp;DATE('Resumen'!$B$4,1,1),'Ventas'!$A$7:$A$1006,"&lt;"&amp;DATE('Resumen'!$B$4+1,1,1),'Ventas'!$D$7:$D$1006,"pagada",'Ventas'!$F$7:$F$1006,D144,'Ventas'!$H$7:$H$1006,F144))</x:f>
      </x:c>
    </x:row>
    <x:row r="145">
      <x:c r="D145" s="25"/>
      <x:c r="E145" s="25"/>
      <x:c r="F145" s="25"/>
      <x:c r="G145" s="29" t="str">
        <x:f>IF(OR(D145="",F145=""),"",SUMIFS('Ventas'!$I$7:$I$1006,'Ventas'!$A$7:$A$1006,"&gt;="&amp;DATE('Resumen'!$B$4,1,1),'Ventas'!$A$7:$A$1006,"&lt;"&amp;DATE('Resumen'!$B$4+1,1,1),'Ventas'!$D$7:$D$1006,"pagada",'Ventas'!$F$7:$F$1006,D145,'Ventas'!$H$7:$H$1006,F145))</x:f>
      </x:c>
      <x:c r="H145" s="27" t="str">
        <x:f>IF(OR(D145="",F145=""),"",SUMIFS('Ventas'!$J$7:$J$1006,'Ventas'!$A$7:$A$1006,"&gt;="&amp;DATE('Resumen'!$B$4,1,1),'Ventas'!$A$7:$A$1006,"&lt;"&amp;DATE('Resumen'!$B$4+1,1,1),'Ventas'!$D$7:$D$1006,"pagada",'Ventas'!$F$7:$F$1006,D145,'Ventas'!$H$7:$H$1006,F145))</x:f>
      </x:c>
    </x:row>
    <x:row r="146">
      <x:c r="D146" s="25"/>
      <x:c r="E146" s="25"/>
      <x:c r="F146" s="25"/>
      <x:c r="G146" s="29" t="str">
        <x:f>IF(OR(D146="",F146=""),"",SUMIFS('Ventas'!$I$7:$I$1006,'Ventas'!$A$7:$A$1006,"&gt;="&amp;DATE('Resumen'!$B$4,1,1),'Ventas'!$A$7:$A$1006,"&lt;"&amp;DATE('Resumen'!$B$4+1,1,1),'Ventas'!$D$7:$D$1006,"pagada",'Ventas'!$F$7:$F$1006,D146,'Ventas'!$H$7:$H$1006,F146))</x:f>
      </x:c>
      <x:c r="H146" s="27" t="str">
        <x:f>IF(OR(D146="",F146=""),"",SUMIFS('Ventas'!$J$7:$J$1006,'Ventas'!$A$7:$A$1006,"&gt;="&amp;DATE('Resumen'!$B$4,1,1),'Ventas'!$A$7:$A$1006,"&lt;"&amp;DATE('Resumen'!$B$4+1,1,1),'Ventas'!$D$7:$D$1006,"pagada",'Ventas'!$F$7:$F$1006,D146,'Ventas'!$H$7:$H$1006,F146))</x:f>
      </x:c>
    </x:row>
    <x:row r="147">
      <x:c r="D147" s="25"/>
      <x:c r="E147" s="25"/>
      <x:c r="F147" s="25"/>
      <x:c r="G147" s="29" t="str">
        <x:f>IF(OR(D147="",F147=""),"",SUMIFS('Ventas'!$I$7:$I$1006,'Ventas'!$A$7:$A$1006,"&gt;="&amp;DATE('Resumen'!$B$4,1,1),'Ventas'!$A$7:$A$1006,"&lt;"&amp;DATE('Resumen'!$B$4+1,1,1),'Ventas'!$D$7:$D$1006,"pagada",'Ventas'!$F$7:$F$1006,D147,'Ventas'!$H$7:$H$1006,F147))</x:f>
      </x:c>
      <x:c r="H147" s="27" t="str">
        <x:f>IF(OR(D147="",F147=""),"",SUMIFS('Ventas'!$J$7:$J$1006,'Ventas'!$A$7:$A$1006,"&gt;="&amp;DATE('Resumen'!$B$4,1,1),'Ventas'!$A$7:$A$1006,"&lt;"&amp;DATE('Resumen'!$B$4+1,1,1),'Ventas'!$D$7:$D$1006,"pagada",'Ventas'!$F$7:$F$1006,D147,'Ventas'!$H$7:$H$1006,F147))</x:f>
      </x:c>
    </x:row>
    <x:row r="148">
      <x:c r="D148" s="25"/>
      <x:c r="E148" s="25"/>
      <x:c r="F148" s="25"/>
      <x:c r="G148" s="29" t="str">
        <x:f>IF(OR(D148="",F148=""),"",SUMIFS('Ventas'!$I$7:$I$1006,'Ventas'!$A$7:$A$1006,"&gt;="&amp;DATE('Resumen'!$B$4,1,1),'Ventas'!$A$7:$A$1006,"&lt;"&amp;DATE('Resumen'!$B$4+1,1,1),'Ventas'!$D$7:$D$1006,"pagada",'Ventas'!$F$7:$F$1006,D148,'Ventas'!$H$7:$H$1006,F148))</x:f>
      </x:c>
      <x:c r="H148" s="27" t="str">
        <x:f>IF(OR(D148="",F148=""),"",SUMIFS('Ventas'!$J$7:$J$1006,'Ventas'!$A$7:$A$1006,"&gt;="&amp;DATE('Resumen'!$B$4,1,1),'Ventas'!$A$7:$A$1006,"&lt;"&amp;DATE('Resumen'!$B$4+1,1,1),'Ventas'!$D$7:$D$1006,"pagada",'Ventas'!$F$7:$F$1006,D148,'Ventas'!$H$7:$H$1006,F148))</x:f>
      </x:c>
    </x:row>
    <x:row r="149">
      <x:c r="D149" s="25"/>
      <x:c r="E149" s="25"/>
      <x:c r="F149" s="25"/>
      <x:c r="G149" s="29" t="str">
        <x:f>IF(OR(D149="",F149=""),"",SUMIFS('Ventas'!$I$7:$I$1006,'Ventas'!$A$7:$A$1006,"&gt;="&amp;DATE('Resumen'!$B$4,1,1),'Ventas'!$A$7:$A$1006,"&lt;"&amp;DATE('Resumen'!$B$4+1,1,1),'Ventas'!$D$7:$D$1006,"pagada",'Ventas'!$F$7:$F$1006,D149,'Ventas'!$H$7:$H$1006,F149))</x:f>
      </x:c>
      <x:c r="H149" s="27" t="str">
        <x:f>IF(OR(D149="",F149=""),"",SUMIFS('Ventas'!$J$7:$J$1006,'Ventas'!$A$7:$A$1006,"&gt;="&amp;DATE('Resumen'!$B$4,1,1),'Ventas'!$A$7:$A$1006,"&lt;"&amp;DATE('Resumen'!$B$4+1,1,1),'Ventas'!$D$7:$D$1006,"pagada",'Ventas'!$F$7:$F$1006,D149,'Ventas'!$H$7:$H$1006,F149))</x:f>
      </x:c>
    </x:row>
    <x:row r="150">
      <x:c r="D150" s="25"/>
      <x:c r="E150" s="25"/>
      <x:c r="F150" s="25"/>
      <x:c r="G150" s="29" t="str">
        <x:f>IF(OR(D150="",F150=""),"",SUMIFS('Ventas'!$I$7:$I$1006,'Ventas'!$A$7:$A$1006,"&gt;="&amp;DATE('Resumen'!$B$4,1,1),'Ventas'!$A$7:$A$1006,"&lt;"&amp;DATE('Resumen'!$B$4+1,1,1),'Ventas'!$D$7:$D$1006,"pagada",'Ventas'!$F$7:$F$1006,D150,'Ventas'!$H$7:$H$1006,F150))</x:f>
      </x:c>
      <x:c r="H150" s="27" t="str">
        <x:f>IF(OR(D150="",F150=""),"",SUMIFS('Ventas'!$J$7:$J$1006,'Ventas'!$A$7:$A$1006,"&gt;="&amp;DATE('Resumen'!$B$4,1,1),'Ventas'!$A$7:$A$1006,"&lt;"&amp;DATE('Resumen'!$B$4+1,1,1),'Ventas'!$D$7:$D$1006,"pagada",'Ventas'!$F$7:$F$1006,D150,'Ventas'!$H$7:$H$1006,F150))</x:f>
      </x:c>
    </x:row>
    <x:row r="151">
      <x:c r="D151" s="25"/>
      <x:c r="E151" s="25"/>
      <x:c r="F151" s="25"/>
      <x:c r="G151" s="29" t="str">
        <x:f>IF(OR(D151="",F151=""),"",SUMIFS('Ventas'!$I$7:$I$1006,'Ventas'!$A$7:$A$1006,"&gt;="&amp;DATE('Resumen'!$B$4,1,1),'Ventas'!$A$7:$A$1006,"&lt;"&amp;DATE('Resumen'!$B$4+1,1,1),'Ventas'!$D$7:$D$1006,"pagada",'Ventas'!$F$7:$F$1006,D151,'Ventas'!$H$7:$H$1006,F151))</x:f>
      </x:c>
      <x:c r="H151" s="27" t="str">
        <x:f>IF(OR(D151="",F151=""),"",SUMIFS('Ventas'!$J$7:$J$1006,'Ventas'!$A$7:$A$1006,"&gt;="&amp;DATE('Resumen'!$B$4,1,1),'Ventas'!$A$7:$A$1006,"&lt;"&amp;DATE('Resumen'!$B$4+1,1,1),'Ventas'!$D$7:$D$1006,"pagada",'Ventas'!$F$7:$F$1006,D151,'Ventas'!$H$7:$H$1006,F151))</x:f>
      </x:c>
    </x:row>
    <x:row r="152">
      <x:c r="D152" s="25"/>
      <x:c r="E152" s="25"/>
      <x:c r="F152" s="25"/>
      <x:c r="G152" s="29" t="str">
        <x:f>IF(OR(D152="",F152=""),"",SUMIFS('Ventas'!$I$7:$I$1006,'Ventas'!$A$7:$A$1006,"&gt;="&amp;DATE('Resumen'!$B$4,1,1),'Ventas'!$A$7:$A$1006,"&lt;"&amp;DATE('Resumen'!$B$4+1,1,1),'Ventas'!$D$7:$D$1006,"pagada",'Ventas'!$F$7:$F$1006,D152,'Ventas'!$H$7:$H$1006,F152))</x:f>
      </x:c>
      <x:c r="H152" s="27" t="str">
        <x:f>IF(OR(D152="",F152=""),"",SUMIFS('Ventas'!$J$7:$J$1006,'Ventas'!$A$7:$A$1006,"&gt;="&amp;DATE('Resumen'!$B$4,1,1),'Ventas'!$A$7:$A$1006,"&lt;"&amp;DATE('Resumen'!$B$4+1,1,1),'Ventas'!$D$7:$D$1006,"pagada",'Ventas'!$F$7:$F$1006,D152,'Ventas'!$H$7:$H$1006,F152))</x:f>
      </x:c>
    </x:row>
    <x:row r="153">
      <x:c r="D153" s="25"/>
      <x:c r="E153" s="25"/>
      <x:c r="F153" s="25"/>
      <x:c r="G153" s="29" t="str">
        <x:f>IF(OR(D153="",F153=""),"",SUMIFS('Ventas'!$I$7:$I$1006,'Ventas'!$A$7:$A$1006,"&gt;="&amp;DATE('Resumen'!$B$4,1,1),'Ventas'!$A$7:$A$1006,"&lt;"&amp;DATE('Resumen'!$B$4+1,1,1),'Ventas'!$D$7:$D$1006,"pagada",'Ventas'!$F$7:$F$1006,D153,'Ventas'!$H$7:$H$1006,F153))</x:f>
      </x:c>
      <x:c r="H153" s="27" t="str">
        <x:f>IF(OR(D153="",F153=""),"",SUMIFS('Ventas'!$J$7:$J$1006,'Ventas'!$A$7:$A$1006,"&gt;="&amp;DATE('Resumen'!$B$4,1,1),'Ventas'!$A$7:$A$1006,"&lt;"&amp;DATE('Resumen'!$B$4+1,1,1),'Ventas'!$D$7:$D$1006,"pagada",'Ventas'!$F$7:$F$1006,D153,'Ventas'!$H$7:$H$1006,F153))</x:f>
      </x:c>
    </x:row>
    <x:row r="154">
      <x:c r="D154" s="25"/>
      <x:c r="E154" s="25"/>
      <x:c r="F154" s="25"/>
      <x:c r="G154" s="29" t="str">
        <x:f>IF(OR(D154="",F154=""),"",SUMIFS('Ventas'!$I$7:$I$1006,'Ventas'!$A$7:$A$1006,"&gt;="&amp;DATE('Resumen'!$B$4,1,1),'Ventas'!$A$7:$A$1006,"&lt;"&amp;DATE('Resumen'!$B$4+1,1,1),'Ventas'!$D$7:$D$1006,"pagada",'Ventas'!$F$7:$F$1006,D154,'Ventas'!$H$7:$H$1006,F154))</x:f>
      </x:c>
      <x:c r="H154" s="27" t="str">
        <x:f>IF(OR(D154="",F154=""),"",SUMIFS('Ventas'!$J$7:$J$1006,'Ventas'!$A$7:$A$1006,"&gt;="&amp;DATE('Resumen'!$B$4,1,1),'Ventas'!$A$7:$A$1006,"&lt;"&amp;DATE('Resumen'!$B$4+1,1,1),'Ventas'!$D$7:$D$1006,"pagada",'Ventas'!$F$7:$F$1006,D154,'Ventas'!$H$7:$H$1006,F154))</x:f>
      </x:c>
    </x:row>
    <x:row r="155">
      <x:c r="D155" s="25"/>
      <x:c r="E155" s="25"/>
      <x:c r="F155" s="25"/>
      <x:c r="G155" s="29" t="str">
        <x:f>IF(OR(D155="",F155=""),"",SUMIFS('Ventas'!$I$7:$I$1006,'Ventas'!$A$7:$A$1006,"&gt;="&amp;DATE('Resumen'!$B$4,1,1),'Ventas'!$A$7:$A$1006,"&lt;"&amp;DATE('Resumen'!$B$4+1,1,1),'Ventas'!$D$7:$D$1006,"pagada",'Ventas'!$F$7:$F$1006,D155,'Ventas'!$H$7:$H$1006,F155))</x:f>
      </x:c>
      <x:c r="H155" s="27" t="str">
        <x:f>IF(OR(D155="",F155=""),"",SUMIFS('Ventas'!$J$7:$J$1006,'Ventas'!$A$7:$A$1006,"&gt;="&amp;DATE('Resumen'!$B$4,1,1),'Ventas'!$A$7:$A$1006,"&lt;"&amp;DATE('Resumen'!$B$4+1,1,1),'Ventas'!$D$7:$D$1006,"pagada",'Ventas'!$F$7:$F$1006,D155,'Ventas'!$H$7:$H$1006,F155))</x:f>
      </x:c>
    </x:row>
    <x:row r="156">
      <x:c r="D156" s="25"/>
      <x:c r="E156" s="25"/>
      <x:c r="F156" s="25"/>
      <x:c r="G156" s="29" t="str">
        <x:f>IF(OR(D156="",F156=""),"",SUMIFS('Ventas'!$I$7:$I$1006,'Ventas'!$A$7:$A$1006,"&gt;="&amp;DATE('Resumen'!$B$4,1,1),'Ventas'!$A$7:$A$1006,"&lt;"&amp;DATE('Resumen'!$B$4+1,1,1),'Ventas'!$D$7:$D$1006,"pagada",'Ventas'!$F$7:$F$1006,D156,'Ventas'!$H$7:$H$1006,F156))</x:f>
      </x:c>
      <x:c r="H156" s="27" t="str">
        <x:f>IF(OR(D156="",F156=""),"",SUMIFS('Ventas'!$J$7:$J$1006,'Ventas'!$A$7:$A$1006,"&gt;="&amp;DATE('Resumen'!$B$4,1,1),'Ventas'!$A$7:$A$1006,"&lt;"&amp;DATE('Resumen'!$B$4+1,1,1),'Ventas'!$D$7:$D$1006,"pagada",'Ventas'!$F$7:$F$1006,D156,'Ventas'!$H$7:$H$1006,F156))</x:f>
      </x:c>
    </x:row>
    <x:row r="157">
      <x:c r="D157" s="25"/>
      <x:c r="E157" s="25"/>
      <x:c r="F157" s="25"/>
      <x:c r="G157" s="29" t="str">
        <x:f>IF(OR(D157="",F157=""),"",SUMIFS('Ventas'!$I$7:$I$1006,'Ventas'!$A$7:$A$1006,"&gt;="&amp;DATE('Resumen'!$B$4,1,1),'Ventas'!$A$7:$A$1006,"&lt;"&amp;DATE('Resumen'!$B$4+1,1,1),'Ventas'!$D$7:$D$1006,"pagada",'Ventas'!$F$7:$F$1006,D157,'Ventas'!$H$7:$H$1006,F157))</x:f>
      </x:c>
      <x:c r="H157" s="27" t="str">
        <x:f>IF(OR(D157="",F157=""),"",SUMIFS('Ventas'!$J$7:$J$1006,'Ventas'!$A$7:$A$1006,"&gt;="&amp;DATE('Resumen'!$B$4,1,1),'Ventas'!$A$7:$A$1006,"&lt;"&amp;DATE('Resumen'!$B$4+1,1,1),'Ventas'!$D$7:$D$1006,"pagada",'Ventas'!$F$7:$F$1006,D157,'Ventas'!$H$7:$H$1006,F157))</x:f>
      </x:c>
    </x:row>
    <x:row r="158">
      <x:c r="D158" s="25"/>
      <x:c r="E158" s="25"/>
      <x:c r="F158" s="25"/>
      <x:c r="G158" s="29" t="str">
        <x:f>IF(OR(D158="",F158=""),"",SUMIFS('Ventas'!$I$7:$I$1006,'Ventas'!$A$7:$A$1006,"&gt;="&amp;DATE('Resumen'!$B$4,1,1),'Ventas'!$A$7:$A$1006,"&lt;"&amp;DATE('Resumen'!$B$4+1,1,1),'Ventas'!$D$7:$D$1006,"pagada",'Ventas'!$F$7:$F$1006,D158,'Ventas'!$H$7:$H$1006,F158))</x:f>
      </x:c>
      <x:c r="H158" s="27" t="str">
        <x:f>IF(OR(D158="",F158=""),"",SUMIFS('Ventas'!$J$7:$J$1006,'Ventas'!$A$7:$A$1006,"&gt;="&amp;DATE('Resumen'!$B$4,1,1),'Ventas'!$A$7:$A$1006,"&lt;"&amp;DATE('Resumen'!$B$4+1,1,1),'Ventas'!$D$7:$D$1006,"pagada",'Ventas'!$F$7:$F$1006,D158,'Ventas'!$H$7:$H$1006,F158))</x:f>
      </x:c>
    </x:row>
    <x:row r="159">
      <x:c r="D159" s="25"/>
      <x:c r="E159" s="25"/>
      <x:c r="F159" s="25"/>
      <x:c r="G159" s="29" t="str">
        <x:f>IF(OR(D159="",F159=""),"",SUMIFS('Ventas'!$I$7:$I$1006,'Ventas'!$A$7:$A$1006,"&gt;="&amp;DATE('Resumen'!$B$4,1,1),'Ventas'!$A$7:$A$1006,"&lt;"&amp;DATE('Resumen'!$B$4+1,1,1),'Ventas'!$D$7:$D$1006,"pagada",'Ventas'!$F$7:$F$1006,D159,'Ventas'!$H$7:$H$1006,F159))</x:f>
      </x:c>
      <x:c r="H159" s="27" t="str">
        <x:f>IF(OR(D159="",F159=""),"",SUMIFS('Ventas'!$J$7:$J$1006,'Ventas'!$A$7:$A$1006,"&gt;="&amp;DATE('Resumen'!$B$4,1,1),'Ventas'!$A$7:$A$1006,"&lt;"&amp;DATE('Resumen'!$B$4+1,1,1),'Ventas'!$D$7:$D$1006,"pagada",'Ventas'!$F$7:$F$1006,D159,'Ventas'!$H$7:$H$1006,F159))</x:f>
      </x:c>
    </x:row>
    <x:row r="160">
      <x:c r="D160" s="25"/>
      <x:c r="E160" s="25"/>
      <x:c r="F160" s="25"/>
      <x:c r="G160" s="29" t="str">
        <x:f>IF(OR(D160="",F160=""),"",SUMIFS('Ventas'!$I$7:$I$1006,'Ventas'!$A$7:$A$1006,"&gt;="&amp;DATE('Resumen'!$B$4,1,1),'Ventas'!$A$7:$A$1006,"&lt;"&amp;DATE('Resumen'!$B$4+1,1,1),'Ventas'!$D$7:$D$1006,"pagada",'Ventas'!$F$7:$F$1006,D160,'Ventas'!$H$7:$H$1006,F160))</x:f>
      </x:c>
      <x:c r="H160" s="27" t="str">
        <x:f>IF(OR(D160="",F160=""),"",SUMIFS('Ventas'!$J$7:$J$1006,'Ventas'!$A$7:$A$1006,"&gt;="&amp;DATE('Resumen'!$B$4,1,1),'Ventas'!$A$7:$A$1006,"&lt;"&amp;DATE('Resumen'!$B$4+1,1,1),'Ventas'!$D$7:$D$1006,"pagada",'Ventas'!$F$7:$F$1006,D160,'Ventas'!$H$7:$H$1006,F160))</x:f>
      </x:c>
    </x:row>
    <x:row r="161">
      <x:c r="D161" s="25"/>
      <x:c r="E161" s="25"/>
      <x:c r="F161" s="25"/>
      <x:c r="G161" s="29" t="str">
        <x:f>IF(OR(D161="",F161=""),"",SUMIFS('Ventas'!$I$7:$I$1006,'Ventas'!$A$7:$A$1006,"&gt;="&amp;DATE('Resumen'!$B$4,1,1),'Ventas'!$A$7:$A$1006,"&lt;"&amp;DATE('Resumen'!$B$4+1,1,1),'Ventas'!$D$7:$D$1006,"pagada",'Ventas'!$F$7:$F$1006,D161,'Ventas'!$H$7:$H$1006,F161))</x:f>
      </x:c>
      <x:c r="H161" s="27" t="str">
        <x:f>IF(OR(D161="",F161=""),"",SUMIFS('Ventas'!$J$7:$J$1006,'Ventas'!$A$7:$A$1006,"&gt;="&amp;DATE('Resumen'!$B$4,1,1),'Ventas'!$A$7:$A$1006,"&lt;"&amp;DATE('Resumen'!$B$4+1,1,1),'Ventas'!$D$7:$D$1006,"pagada",'Ventas'!$F$7:$F$1006,D161,'Ventas'!$H$7:$H$1006,F161))</x:f>
      </x:c>
    </x:row>
    <x:row r="162">
      <x:c r="D162" s="25"/>
      <x:c r="E162" s="25"/>
      <x:c r="F162" s="25"/>
      <x:c r="G162" s="29" t="str">
        <x:f>IF(OR(D162="",F162=""),"",SUMIFS('Ventas'!$I$7:$I$1006,'Ventas'!$A$7:$A$1006,"&gt;="&amp;DATE('Resumen'!$B$4,1,1),'Ventas'!$A$7:$A$1006,"&lt;"&amp;DATE('Resumen'!$B$4+1,1,1),'Ventas'!$D$7:$D$1006,"pagada",'Ventas'!$F$7:$F$1006,D162,'Ventas'!$H$7:$H$1006,F162))</x:f>
      </x:c>
      <x:c r="H162" s="27" t="str">
        <x:f>IF(OR(D162="",F162=""),"",SUMIFS('Ventas'!$J$7:$J$1006,'Ventas'!$A$7:$A$1006,"&gt;="&amp;DATE('Resumen'!$B$4,1,1),'Ventas'!$A$7:$A$1006,"&lt;"&amp;DATE('Resumen'!$B$4+1,1,1),'Ventas'!$D$7:$D$1006,"pagada",'Ventas'!$F$7:$F$1006,D162,'Ventas'!$H$7:$H$1006,F162))</x:f>
      </x:c>
    </x:row>
    <x:row r="163">
      <x:c r="D163" s="25"/>
      <x:c r="E163" s="25"/>
      <x:c r="F163" s="25"/>
      <x:c r="G163" s="29" t="str">
        <x:f>IF(OR(D163="",F163=""),"",SUMIFS('Ventas'!$I$7:$I$1006,'Ventas'!$A$7:$A$1006,"&gt;="&amp;DATE('Resumen'!$B$4,1,1),'Ventas'!$A$7:$A$1006,"&lt;"&amp;DATE('Resumen'!$B$4+1,1,1),'Ventas'!$D$7:$D$1006,"pagada",'Ventas'!$F$7:$F$1006,D163,'Ventas'!$H$7:$H$1006,F163))</x:f>
      </x:c>
      <x:c r="H163" s="27" t="str">
        <x:f>IF(OR(D163="",F163=""),"",SUMIFS('Ventas'!$J$7:$J$1006,'Ventas'!$A$7:$A$1006,"&gt;="&amp;DATE('Resumen'!$B$4,1,1),'Ventas'!$A$7:$A$1006,"&lt;"&amp;DATE('Resumen'!$B$4+1,1,1),'Ventas'!$D$7:$D$1006,"pagada",'Ventas'!$F$7:$F$1006,D163,'Ventas'!$H$7:$H$1006,F163))</x:f>
      </x:c>
    </x:row>
    <x:row r="164">
      <x:c r="D164" s="25"/>
      <x:c r="E164" s="25"/>
      <x:c r="F164" s="25"/>
      <x:c r="G164" s="29" t="str">
        <x:f>IF(OR(D164="",F164=""),"",SUMIFS('Ventas'!$I$7:$I$1006,'Ventas'!$A$7:$A$1006,"&gt;="&amp;DATE('Resumen'!$B$4,1,1),'Ventas'!$A$7:$A$1006,"&lt;"&amp;DATE('Resumen'!$B$4+1,1,1),'Ventas'!$D$7:$D$1006,"pagada",'Ventas'!$F$7:$F$1006,D164,'Ventas'!$H$7:$H$1006,F164))</x:f>
      </x:c>
      <x:c r="H164" s="27" t="str">
        <x:f>IF(OR(D164="",F164=""),"",SUMIFS('Ventas'!$J$7:$J$1006,'Ventas'!$A$7:$A$1006,"&gt;="&amp;DATE('Resumen'!$B$4,1,1),'Ventas'!$A$7:$A$1006,"&lt;"&amp;DATE('Resumen'!$B$4+1,1,1),'Ventas'!$D$7:$D$1006,"pagada",'Ventas'!$F$7:$F$1006,D164,'Ventas'!$H$7:$H$1006,F164))</x:f>
      </x:c>
    </x:row>
    <x:row r="165">
      <x:c r="D165" s="25"/>
      <x:c r="E165" s="25"/>
      <x:c r="F165" s="25"/>
      <x:c r="G165" s="29" t="str">
        <x:f>IF(OR(D165="",F165=""),"",SUMIFS('Ventas'!$I$7:$I$1006,'Ventas'!$A$7:$A$1006,"&gt;="&amp;DATE('Resumen'!$B$4,1,1),'Ventas'!$A$7:$A$1006,"&lt;"&amp;DATE('Resumen'!$B$4+1,1,1),'Ventas'!$D$7:$D$1006,"pagada",'Ventas'!$F$7:$F$1006,D165,'Ventas'!$H$7:$H$1006,F165))</x:f>
      </x:c>
      <x:c r="H165" s="27" t="str">
        <x:f>IF(OR(D165="",F165=""),"",SUMIFS('Ventas'!$J$7:$J$1006,'Ventas'!$A$7:$A$1006,"&gt;="&amp;DATE('Resumen'!$B$4,1,1),'Ventas'!$A$7:$A$1006,"&lt;"&amp;DATE('Resumen'!$B$4+1,1,1),'Ventas'!$D$7:$D$1006,"pagada",'Ventas'!$F$7:$F$1006,D165,'Ventas'!$H$7:$H$1006,F165))</x:f>
      </x:c>
    </x:row>
    <x:row r="166">
      <x:c r="D166" s="25"/>
      <x:c r="E166" s="25"/>
      <x:c r="F166" s="25"/>
      <x:c r="G166" s="29" t="str">
        <x:f>IF(OR(D166="",F166=""),"",SUMIFS('Ventas'!$I$7:$I$1006,'Ventas'!$A$7:$A$1006,"&gt;="&amp;DATE('Resumen'!$B$4,1,1),'Ventas'!$A$7:$A$1006,"&lt;"&amp;DATE('Resumen'!$B$4+1,1,1),'Ventas'!$D$7:$D$1006,"pagada",'Ventas'!$F$7:$F$1006,D166,'Ventas'!$H$7:$H$1006,F166))</x:f>
      </x:c>
      <x:c r="H166" s="27" t="str">
        <x:f>IF(OR(D166="",F166=""),"",SUMIFS('Ventas'!$J$7:$J$1006,'Ventas'!$A$7:$A$1006,"&gt;="&amp;DATE('Resumen'!$B$4,1,1),'Ventas'!$A$7:$A$1006,"&lt;"&amp;DATE('Resumen'!$B$4+1,1,1),'Ventas'!$D$7:$D$1006,"pagada",'Ventas'!$F$7:$F$1006,D166,'Ventas'!$H$7:$H$1006,F166))</x:f>
      </x:c>
    </x:row>
    <x:row r="167">
      <x:c r="D167" s="25"/>
      <x:c r="E167" s="25"/>
      <x:c r="F167" s="25"/>
      <x:c r="G167" s="29" t="str">
        <x:f>IF(OR(D167="",F167=""),"",SUMIFS('Ventas'!$I$7:$I$1006,'Ventas'!$A$7:$A$1006,"&gt;="&amp;DATE('Resumen'!$B$4,1,1),'Ventas'!$A$7:$A$1006,"&lt;"&amp;DATE('Resumen'!$B$4+1,1,1),'Ventas'!$D$7:$D$1006,"pagada",'Ventas'!$F$7:$F$1006,D167,'Ventas'!$H$7:$H$1006,F167))</x:f>
      </x:c>
      <x:c r="H167" s="27" t="str">
        <x:f>IF(OR(D167="",F167=""),"",SUMIFS('Ventas'!$J$7:$J$1006,'Ventas'!$A$7:$A$1006,"&gt;="&amp;DATE('Resumen'!$B$4,1,1),'Ventas'!$A$7:$A$1006,"&lt;"&amp;DATE('Resumen'!$B$4+1,1,1),'Ventas'!$D$7:$D$1006,"pagada",'Ventas'!$F$7:$F$1006,D167,'Ventas'!$H$7:$H$1006,F167))</x:f>
      </x:c>
    </x:row>
    <x:row r="168">
      <x:c r="D168" s="25"/>
      <x:c r="E168" s="25"/>
      <x:c r="F168" s="25"/>
      <x:c r="G168" s="29" t="str">
        <x:f>IF(OR(D168="",F168=""),"",SUMIFS('Ventas'!$I$7:$I$1006,'Ventas'!$A$7:$A$1006,"&gt;="&amp;DATE('Resumen'!$B$4,1,1),'Ventas'!$A$7:$A$1006,"&lt;"&amp;DATE('Resumen'!$B$4+1,1,1),'Ventas'!$D$7:$D$1006,"pagada",'Ventas'!$F$7:$F$1006,D168,'Ventas'!$H$7:$H$1006,F168))</x:f>
      </x:c>
      <x:c r="H168" s="27" t="str">
        <x:f>IF(OR(D168="",F168=""),"",SUMIFS('Ventas'!$J$7:$J$1006,'Ventas'!$A$7:$A$1006,"&gt;="&amp;DATE('Resumen'!$B$4,1,1),'Ventas'!$A$7:$A$1006,"&lt;"&amp;DATE('Resumen'!$B$4+1,1,1),'Ventas'!$D$7:$D$1006,"pagada",'Ventas'!$F$7:$F$1006,D168,'Ventas'!$H$7:$H$1006,F168))</x:f>
      </x:c>
    </x:row>
    <x:row r="169">
      <x:c r="D169" s="25"/>
      <x:c r="E169" s="25"/>
      <x:c r="F169" s="25"/>
      <x:c r="G169" s="29" t="str">
        <x:f>IF(OR(D169="",F169=""),"",SUMIFS('Ventas'!$I$7:$I$1006,'Ventas'!$A$7:$A$1006,"&gt;="&amp;DATE('Resumen'!$B$4,1,1),'Ventas'!$A$7:$A$1006,"&lt;"&amp;DATE('Resumen'!$B$4+1,1,1),'Ventas'!$D$7:$D$1006,"pagada",'Ventas'!$F$7:$F$1006,D169,'Ventas'!$H$7:$H$1006,F169))</x:f>
      </x:c>
      <x:c r="H169" s="27" t="str">
        <x:f>IF(OR(D169="",F169=""),"",SUMIFS('Ventas'!$J$7:$J$1006,'Ventas'!$A$7:$A$1006,"&gt;="&amp;DATE('Resumen'!$B$4,1,1),'Ventas'!$A$7:$A$1006,"&lt;"&amp;DATE('Resumen'!$B$4+1,1,1),'Ventas'!$D$7:$D$1006,"pagada",'Ventas'!$F$7:$F$1006,D169,'Ventas'!$H$7:$H$1006,F169))</x:f>
      </x:c>
    </x:row>
    <x:row r="170">
      <x:c r="D170" s="25"/>
      <x:c r="E170" s="25"/>
      <x:c r="F170" s="25"/>
      <x:c r="G170" s="29" t="str">
        <x:f>IF(OR(D170="",F170=""),"",SUMIFS('Ventas'!$I$7:$I$1006,'Ventas'!$A$7:$A$1006,"&gt;="&amp;DATE('Resumen'!$B$4,1,1),'Ventas'!$A$7:$A$1006,"&lt;"&amp;DATE('Resumen'!$B$4+1,1,1),'Ventas'!$D$7:$D$1006,"pagada",'Ventas'!$F$7:$F$1006,D170,'Ventas'!$H$7:$H$1006,F170))</x:f>
      </x:c>
      <x:c r="H170" s="27" t="str">
        <x:f>IF(OR(D170="",F170=""),"",SUMIFS('Ventas'!$J$7:$J$1006,'Ventas'!$A$7:$A$1006,"&gt;="&amp;DATE('Resumen'!$B$4,1,1),'Ventas'!$A$7:$A$1006,"&lt;"&amp;DATE('Resumen'!$B$4+1,1,1),'Ventas'!$D$7:$D$1006,"pagada",'Ventas'!$F$7:$F$1006,D170,'Ventas'!$H$7:$H$1006,F170))</x:f>
      </x:c>
    </x:row>
    <x:row r="171">
      <x:c r="D171" s="25"/>
      <x:c r="E171" s="25"/>
      <x:c r="F171" s="25"/>
      <x:c r="G171" s="29" t="str">
        <x:f>IF(OR(D171="",F171=""),"",SUMIFS('Ventas'!$I$7:$I$1006,'Ventas'!$A$7:$A$1006,"&gt;="&amp;DATE('Resumen'!$B$4,1,1),'Ventas'!$A$7:$A$1006,"&lt;"&amp;DATE('Resumen'!$B$4+1,1,1),'Ventas'!$D$7:$D$1006,"pagada",'Ventas'!$F$7:$F$1006,D171,'Ventas'!$H$7:$H$1006,F171))</x:f>
      </x:c>
      <x:c r="H171" s="27" t="str">
        <x:f>IF(OR(D171="",F171=""),"",SUMIFS('Ventas'!$J$7:$J$1006,'Ventas'!$A$7:$A$1006,"&gt;="&amp;DATE('Resumen'!$B$4,1,1),'Ventas'!$A$7:$A$1006,"&lt;"&amp;DATE('Resumen'!$B$4+1,1,1),'Ventas'!$D$7:$D$1006,"pagada",'Ventas'!$F$7:$F$1006,D171,'Ventas'!$H$7:$H$1006,F171))</x:f>
      </x:c>
    </x:row>
    <x:row r="172">
      <x:c r="D172" s="25"/>
      <x:c r="E172" s="25"/>
      <x:c r="F172" s="25"/>
      <x:c r="G172" s="29" t="str">
        <x:f>IF(OR(D172="",F172=""),"",SUMIFS('Ventas'!$I$7:$I$1006,'Ventas'!$A$7:$A$1006,"&gt;="&amp;DATE('Resumen'!$B$4,1,1),'Ventas'!$A$7:$A$1006,"&lt;"&amp;DATE('Resumen'!$B$4+1,1,1),'Ventas'!$D$7:$D$1006,"pagada",'Ventas'!$F$7:$F$1006,D172,'Ventas'!$H$7:$H$1006,F172))</x:f>
      </x:c>
      <x:c r="H172" s="27" t="str">
        <x:f>IF(OR(D172="",F172=""),"",SUMIFS('Ventas'!$J$7:$J$1006,'Ventas'!$A$7:$A$1006,"&gt;="&amp;DATE('Resumen'!$B$4,1,1),'Ventas'!$A$7:$A$1006,"&lt;"&amp;DATE('Resumen'!$B$4+1,1,1),'Ventas'!$D$7:$D$1006,"pagada",'Ventas'!$F$7:$F$1006,D172,'Ventas'!$H$7:$H$1006,F172))</x:f>
      </x:c>
    </x:row>
    <x:row r="173">
      <x:c r="D173" s="25"/>
      <x:c r="E173" s="25"/>
      <x:c r="F173" s="25"/>
      <x:c r="G173" s="29" t="str">
        <x:f>IF(OR(D173="",F173=""),"",SUMIFS('Ventas'!$I$7:$I$1006,'Ventas'!$A$7:$A$1006,"&gt;="&amp;DATE('Resumen'!$B$4,1,1),'Ventas'!$A$7:$A$1006,"&lt;"&amp;DATE('Resumen'!$B$4+1,1,1),'Ventas'!$D$7:$D$1006,"pagada",'Ventas'!$F$7:$F$1006,D173,'Ventas'!$H$7:$H$1006,F173))</x:f>
      </x:c>
      <x:c r="H173" s="27" t="str">
        <x:f>IF(OR(D173="",F173=""),"",SUMIFS('Ventas'!$J$7:$J$1006,'Ventas'!$A$7:$A$1006,"&gt;="&amp;DATE('Resumen'!$B$4,1,1),'Ventas'!$A$7:$A$1006,"&lt;"&amp;DATE('Resumen'!$B$4+1,1,1),'Ventas'!$D$7:$D$1006,"pagada",'Ventas'!$F$7:$F$1006,D173,'Ventas'!$H$7:$H$1006,F173))</x:f>
      </x:c>
    </x:row>
    <x:row r="174">
      <x:c r="D174" s="25"/>
      <x:c r="E174" s="25"/>
      <x:c r="F174" s="25"/>
      <x:c r="G174" s="29" t="str">
        <x:f>IF(OR(D174="",F174=""),"",SUMIFS('Ventas'!$I$7:$I$1006,'Ventas'!$A$7:$A$1006,"&gt;="&amp;DATE('Resumen'!$B$4,1,1),'Ventas'!$A$7:$A$1006,"&lt;"&amp;DATE('Resumen'!$B$4+1,1,1),'Ventas'!$D$7:$D$1006,"pagada",'Ventas'!$F$7:$F$1006,D174,'Ventas'!$H$7:$H$1006,F174))</x:f>
      </x:c>
      <x:c r="H174" s="27" t="str">
        <x:f>IF(OR(D174="",F174=""),"",SUMIFS('Ventas'!$J$7:$J$1006,'Ventas'!$A$7:$A$1006,"&gt;="&amp;DATE('Resumen'!$B$4,1,1),'Ventas'!$A$7:$A$1006,"&lt;"&amp;DATE('Resumen'!$B$4+1,1,1),'Ventas'!$D$7:$D$1006,"pagada",'Ventas'!$F$7:$F$1006,D174,'Ventas'!$H$7:$H$1006,F174))</x:f>
      </x:c>
    </x:row>
    <x:row r="175">
      <x:c r="D175" s="25"/>
      <x:c r="E175" s="25"/>
      <x:c r="F175" s="25"/>
      <x:c r="G175" s="29" t="str">
        <x:f>IF(OR(D175="",F175=""),"",SUMIFS('Ventas'!$I$7:$I$1006,'Ventas'!$A$7:$A$1006,"&gt;="&amp;DATE('Resumen'!$B$4,1,1),'Ventas'!$A$7:$A$1006,"&lt;"&amp;DATE('Resumen'!$B$4+1,1,1),'Ventas'!$D$7:$D$1006,"pagada",'Ventas'!$F$7:$F$1006,D175,'Ventas'!$H$7:$H$1006,F175))</x:f>
      </x:c>
      <x:c r="H175" s="27" t="str">
        <x:f>IF(OR(D175="",F175=""),"",SUMIFS('Ventas'!$J$7:$J$1006,'Ventas'!$A$7:$A$1006,"&gt;="&amp;DATE('Resumen'!$B$4,1,1),'Ventas'!$A$7:$A$1006,"&lt;"&amp;DATE('Resumen'!$B$4+1,1,1),'Ventas'!$D$7:$D$1006,"pagada",'Ventas'!$F$7:$F$1006,D175,'Ventas'!$H$7:$H$1006,F175))</x:f>
      </x:c>
    </x:row>
    <x:row r="176">
      <x:c r="D176" s="25"/>
      <x:c r="E176" s="25"/>
      <x:c r="F176" s="25"/>
      <x:c r="G176" s="29" t="str">
        <x:f>IF(OR(D176="",F176=""),"",SUMIFS('Ventas'!$I$7:$I$1006,'Ventas'!$A$7:$A$1006,"&gt;="&amp;DATE('Resumen'!$B$4,1,1),'Ventas'!$A$7:$A$1006,"&lt;"&amp;DATE('Resumen'!$B$4+1,1,1),'Ventas'!$D$7:$D$1006,"pagada",'Ventas'!$F$7:$F$1006,D176,'Ventas'!$H$7:$H$1006,F176))</x:f>
      </x:c>
      <x:c r="H176" s="27" t="str">
        <x:f>IF(OR(D176="",F176=""),"",SUMIFS('Ventas'!$J$7:$J$1006,'Ventas'!$A$7:$A$1006,"&gt;="&amp;DATE('Resumen'!$B$4,1,1),'Ventas'!$A$7:$A$1006,"&lt;"&amp;DATE('Resumen'!$B$4+1,1,1),'Ventas'!$D$7:$D$1006,"pagada",'Ventas'!$F$7:$F$1006,D176,'Ventas'!$H$7:$H$1006,F176))</x:f>
      </x:c>
    </x:row>
    <x:row r="177">
      <x:c r="D177" s="25"/>
      <x:c r="E177" s="25"/>
      <x:c r="F177" s="25"/>
      <x:c r="G177" s="29" t="str">
        <x:f>IF(OR(D177="",F177=""),"",SUMIFS('Ventas'!$I$7:$I$1006,'Ventas'!$A$7:$A$1006,"&gt;="&amp;DATE('Resumen'!$B$4,1,1),'Ventas'!$A$7:$A$1006,"&lt;"&amp;DATE('Resumen'!$B$4+1,1,1),'Ventas'!$D$7:$D$1006,"pagada",'Ventas'!$F$7:$F$1006,D177,'Ventas'!$H$7:$H$1006,F177))</x:f>
      </x:c>
      <x:c r="H177" s="27" t="str">
        <x:f>IF(OR(D177="",F177=""),"",SUMIFS('Ventas'!$J$7:$J$1006,'Ventas'!$A$7:$A$1006,"&gt;="&amp;DATE('Resumen'!$B$4,1,1),'Ventas'!$A$7:$A$1006,"&lt;"&amp;DATE('Resumen'!$B$4+1,1,1),'Ventas'!$D$7:$D$1006,"pagada",'Ventas'!$F$7:$F$1006,D177,'Ventas'!$H$7:$H$1006,F177))</x:f>
      </x:c>
    </x:row>
    <x:row r="178">
      <x:c r="D178" s="25"/>
      <x:c r="E178" s="25"/>
      <x:c r="F178" s="25"/>
      <x:c r="G178" s="29" t="str">
        <x:f>IF(OR(D178="",F178=""),"",SUMIFS('Ventas'!$I$7:$I$1006,'Ventas'!$A$7:$A$1006,"&gt;="&amp;DATE('Resumen'!$B$4,1,1),'Ventas'!$A$7:$A$1006,"&lt;"&amp;DATE('Resumen'!$B$4+1,1,1),'Ventas'!$D$7:$D$1006,"pagada",'Ventas'!$F$7:$F$1006,D178,'Ventas'!$H$7:$H$1006,F178))</x:f>
      </x:c>
      <x:c r="H178" s="27" t="str">
        <x:f>IF(OR(D178="",F178=""),"",SUMIFS('Ventas'!$J$7:$J$1006,'Ventas'!$A$7:$A$1006,"&gt;="&amp;DATE('Resumen'!$B$4,1,1),'Ventas'!$A$7:$A$1006,"&lt;"&amp;DATE('Resumen'!$B$4+1,1,1),'Ventas'!$D$7:$D$1006,"pagada",'Ventas'!$F$7:$F$1006,D178,'Ventas'!$H$7:$H$1006,F178))</x:f>
      </x:c>
    </x:row>
    <x:row r="179">
      <x:c r="D179" s="25"/>
      <x:c r="E179" s="25"/>
      <x:c r="F179" s="25"/>
      <x:c r="G179" s="29" t="str">
        <x:f>IF(OR(D179="",F179=""),"",SUMIFS('Ventas'!$I$7:$I$1006,'Ventas'!$A$7:$A$1006,"&gt;="&amp;DATE('Resumen'!$B$4,1,1),'Ventas'!$A$7:$A$1006,"&lt;"&amp;DATE('Resumen'!$B$4+1,1,1),'Ventas'!$D$7:$D$1006,"pagada",'Ventas'!$F$7:$F$1006,D179,'Ventas'!$H$7:$H$1006,F179))</x:f>
      </x:c>
      <x:c r="H179" s="27" t="str">
        <x:f>IF(OR(D179="",F179=""),"",SUMIFS('Ventas'!$J$7:$J$1006,'Ventas'!$A$7:$A$1006,"&gt;="&amp;DATE('Resumen'!$B$4,1,1),'Ventas'!$A$7:$A$1006,"&lt;"&amp;DATE('Resumen'!$B$4+1,1,1),'Ventas'!$D$7:$D$1006,"pagada",'Ventas'!$F$7:$F$1006,D179,'Ventas'!$H$7:$H$1006,F179))</x:f>
      </x:c>
    </x:row>
    <x:row r="180">
      <x:c r="D180" s="25"/>
      <x:c r="E180" s="25"/>
      <x:c r="F180" s="25"/>
      <x:c r="G180" s="29" t="str">
        <x:f>IF(OR(D180="",F180=""),"",SUMIFS('Ventas'!$I$7:$I$1006,'Ventas'!$A$7:$A$1006,"&gt;="&amp;DATE('Resumen'!$B$4,1,1),'Ventas'!$A$7:$A$1006,"&lt;"&amp;DATE('Resumen'!$B$4+1,1,1),'Ventas'!$D$7:$D$1006,"pagada",'Ventas'!$F$7:$F$1006,D180,'Ventas'!$H$7:$H$1006,F180))</x:f>
      </x:c>
      <x:c r="H180" s="27" t="str">
        <x:f>IF(OR(D180="",F180=""),"",SUMIFS('Ventas'!$J$7:$J$1006,'Ventas'!$A$7:$A$1006,"&gt;="&amp;DATE('Resumen'!$B$4,1,1),'Ventas'!$A$7:$A$1006,"&lt;"&amp;DATE('Resumen'!$B$4+1,1,1),'Ventas'!$D$7:$D$1006,"pagada",'Ventas'!$F$7:$F$1006,D180,'Ventas'!$H$7:$H$1006,F180))</x:f>
      </x:c>
    </x:row>
    <x:row r="181">
      <x:c r="D181" s="25"/>
      <x:c r="E181" s="25"/>
      <x:c r="F181" s="25"/>
      <x:c r="G181" s="29" t="str">
        <x:f>IF(OR(D181="",F181=""),"",SUMIFS('Ventas'!$I$7:$I$1006,'Ventas'!$A$7:$A$1006,"&gt;="&amp;DATE('Resumen'!$B$4,1,1),'Ventas'!$A$7:$A$1006,"&lt;"&amp;DATE('Resumen'!$B$4+1,1,1),'Ventas'!$D$7:$D$1006,"pagada",'Ventas'!$F$7:$F$1006,D181,'Ventas'!$H$7:$H$1006,F181))</x:f>
      </x:c>
      <x:c r="H181" s="27" t="str">
        <x:f>IF(OR(D181="",F181=""),"",SUMIFS('Ventas'!$J$7:$J$1006,'Ventas'!$A$7:$A$1006,"&gt;="&amp;DATE('Resumen'!$B$4,1,1),'Ventas'!$A$7:$A$1006,"&lt;"&amp;DATE('Resumen'!$B$4+1,1,1),'Ventas'!$D$7:$D$1006,"pagada",'Ventas'!$F$7:$F$1006,D181,'Ventas'!$H$7:$H$1006,F181))</x:f>
      </x:c>
    </x:row>
    <x:row r="182">
      <x:c r="D182" s="25"/>
      <x:c r="E182" s="25"/>
      <x:c r="F182" s="25"/>
      <x:c r="G182" s="29" t="str">
        <x:f>IF(OR(D182="",F182=""),"",SUMIFS('Ventas'!$I$7:$I$1006,'Ventas'!$A$7:$A$1006,"&gt;="&amp;DATE('Resumen'!$B$4,1,1),'Ventas'!$A$7:$A$1006,"&lt;"&amp;DATE('Resumen'!$B$4+1,1,1),'Ventas'!$D$7:$D$1006,"pagada",'Ventas'!$F$7:$F$1006,D182,'Ventas'!$H$7:$H$1006,F182))</x:f>
      </x:c>
      <x:c r="H182" s="27" t="str">
        <x:f>IF(OR(D182="",F182=""),"",SUMIFS('Ventas'!$J$7:$J$1006,'Ventas'!$A$7:$A$1006,"&gt;="&amp;DATE('Resumen'!$B$4,1,1),'Ventas'!$A$7:$A$1006,"&lt;"&amp;DATE('Resumen'!$B$4+1,1,1),'Ventas'!$D$7:$D$1006,"pagada",'Ventas'!$F$7:$F$1006,D182,'Ventas'!$H$7:$H$1006,F182))</x:f>
      </x:c>
    </x:row>
    <x:row r="183">
      <x:c r="D183" s="25"/>
      <x:c r="E183" s="25"/>
      <x:c r="F183" s="25"/>
      <x:c r="G183" s="29" t="str">
        <x:f>IF(OR(D183="",F183=""),"",SUMIFS('Ventas'!$I$7:$I$1006,'Ventas'!$A$7:$A$1006,"&gt;="&amp;DATE('Resumen'!$B$4,1,1),'Ventas'!$A$7:$A$1006,"&lt;"&amp;DATE('Resumen'!$B$4+1,1,1),'Ventas'!$D$7:$D$1006,"pagada",'Ventas'!$F$7:$F$1006,D183,'Ventas'!$H$7:$H$1006,F183))</x:f>
      </x:c>
      <x:c r="H183" s="27" t="str">
        <x:f>IF(OR(D183="",F183=""),"",SUMIFS('Ventas'!$J$7:$J$1006,'Ventas'!$A$7:$A$1006,"&gt;="&amp;DATE('Resumen'!$B$4,1,1),'Ventas'!$A$7:$A$1006,"&lt;"&amp;DATE('Resumen'!$B$4+1,1,1),'Ventas'!$D$7:$D$1006,"pagada",'Ventas'!$F$7:$F$1006,D183,'Ventas'!$H$7:$H$1006,F183))</x:f>
      </x:c>
    </x:row>
    <x:row r="184">
      <x:c r="D184" s="25"/>
      <x:c r="E184" s="25"/>
      <x:c r="F184" s="25"/>
      <x:c r="G184" s="29" t="str">
        <x:f>IF(OR(D184="",F184=""),"",SUMIFS('Ventas'!$I$7:$I$1006,'Ventas'!$A$7:$A$1006,"&gt;="&amp;DATE('Resumen'!$B$4,1,1),'Ventas'!$A$7:$A$1006,"&lt;"&amp;DATE('Resumen'!$B$4+1,1,1),'Ventas'!$D$7:$D$1006,"pagada",'Ventas'!$F$7:$F$1006,D184,'Ventas'!$H$7:$H$1006,F184))</x:f>
      </x:c>
      <x:c r="H184" s="27" t="str">
        <x:f>IF(OR(D184="",F184=""),"",SUMIFS('Ventas'!$J$7:$J$1006,'Ventas'!$A$7:$A$1006,"&gt;="&amp;DATE('Resumen'!$B$4,1,1),'Ventas'!$A$7:$A$1006,"&lt;"&amp;DATE('Resumen'!$B$4+1,1,1),'Ventas'!$D$7:$D$1006,"pagada",'Ventas'!$F$7:$F$1006,D184,'Ventas'!$H$7:$H$1006,F184))</x:f>
      </x:c>
    </x:row>
    <x:row r="185">
      <x:c r="D185" s="25"/>
      <x:c r="E185" s="25"/>
      <x:c r="F185" s="25"/>
      <x:c r="G185" s="29" t="str">
        <x:f>IF(OR(D185="",F185=""),"",SUMIFS('Ventas'!$I$7:$I$1006,'Ventas'!$A$7:$A$1006,"&gt;="&amp;DATE('Resumen'!$B$4,1,1),'Ventas'!$A$7:$A$1006,"&lt;"&amp;DATE('Resumen'!$B$4+1,1,1),'Ventas'!$D$7:$D$1006,"pagada",'Ventas'!$F$7:$F$1006,D185,'Ventas'!$H$7:$H$1006,F185))</x:f>
      </x:c>
      <x:c r="H185" s="27" t="str">
        <x:f>IF(OR(D185="",F185=""),"",SUMIFS('Ventas'!$J$7:$J$1006,'Ventas'!$A$7:$A$1006,"&gt;="&amp;DATE('Resumen'!$B$4,1,1),'Ventas'!$A$7:$A$1006,"&lt;"&amp;DATE('Resumen'!$B$4+1,1,1),'Ventas'!$D$7:$D$1006,"pagada",'Ventas'!$F$7:$F$1006,D185,'Ventas'!$H$7:$H$1006,F185))</x:f>
      </x:c>
    </x:row>
    <x:row r="186">
      <x:c r="D186" s="25"/>
      <x:c r="E186" s="25"/>
      <x:c r="F186" s="25"/>
      <x:c r="G186" s="29" t="str">
        <x:f>IF(OR(D186="",F186=""),"",SUMIFS('Ventas'!$I$7:$I$1006,'Ventas'!$A$7:$A$1006,"&gt;="&amp;DATE('Resumen'!$B$4,1,1),'Ventas'!$A$7:$A$1006,"&lt;"&amp;DATE('Resumen'!$B$4+1,1,1),'Ventas'!$D$7:$D$1006,"pagada",'Ventas'!$F$7:$F$1006,D186,'Ventas'!$H$7:$H$1006,F186))</x:f>
      </x:c>
      <x:c r="H186" s="27" t="str">
        <x:f>IF(OR(D186="",F186=""),"",SUMIFS('Ventas'!$J$7:$J$1006,'Ventas'!$A$7:$A$1006,"&gt;="&amp;DATE('Resumen'!$B$4,1,1),'Ventas'!$A$7:$A$1006,"&lt;"&amp;DATE('Resumen'!$B$4+1,1,1),'Ventas'!$D$7:$D$1006,"pagada",'Ventas'!$F$7:$F$1006,D186,'Ventas'!$H$7:$H$1006,F186))</x:f>
      </x:c>
    </x:row>
    <x:row r="187">
      <x:c r="D187" s="25"/>
      <x:c r="E187" s="25"/>
      <x:c r="F187" s="25"/>
      <x:c r="G187" s="29" t="str">
        <x:f>IF(OR(D187="",F187=""),"",SUMIFS('Ventas'!$I$7:$I$1006,'Ventas'!$A$7:$A$1006,"&gt;="&amp;DATE('Resumen'!$B$4,1,1),'Ventas'!$A$7:$A$1006,"&lt;"&amp;DATE('Resumen'!$B$4+1,1,1),'Ventas'!$D$7:$D$1006,"pagada",'Ventas'!$F$7:$F$1006,D187,'Ventas'!$H$7:$H$1006,F187))</x:f>
      </x:c>
      <x:c r="H187" s="27" t="str">
        <x:f>IF(OR(D187="",F187=""),"",SUMIFS('Ventas'!$J$7:$J$1006,'Ventas'!$A$7:$A$1006,"&gt;="&amp;DATE('Resumen'!$B$4,1,1),'Ventas'!$A$7:$A$1006,"&lt;"&amp;DATE('Resumen'!$B$4+1,1,1),'Ventas'!$D$7:$D$1006,"pagada",'Ventas'!$F$7:$F$1006,D187,'Ventas'!$H$7:$H$1006,F187))</x:f>
      </x:c>
    </x:row>
    <x:row r="188">
      <x:c r="D188" s="25"/>
      <x:c r="E188" s="25"/>
      <x:c r="F188" s="25"/>
      <x:c r="G188" s="29" t="str">
        <x:f>IF(OR(D188="",F188=""),"",SUMIFS('Ventas'!$I$7:$I$1006,'Ventas'!$A$7:$A$1006,"&gt;="&amp;DATE('Resumen'!$B$4,1,1),'Ventas'!$A$7:$A$1006,"&lt;"&amp;DATE('Resumen'!$B$4+1,1,1),'Ventas'!$D$7:$D$1006,"pagada",'Ventas'!$F$7:$F$1006,D188,'Ventas'!$H$7:$H$1006,F188))</x:f>
      </x:c>
      <x:c r="H188" s="27" t="str">
        <x:f>IF(OR(D188="",F188=""),"",SUMIFS('Ventas'!$J$7:$J$1006,'Ventas'!$A$7:$A$1006,"&gt;="&amp;DATE('Resumen'!$B$4,1,1),'Ventas'!$A$7:$A$1006,"&lt;"&amp;DATE('Resumen'!$B$4+1,1,1),'Ventas'!$D$7:$D$1006,"pagada",'Ventas'!$F$7:$F$1006,D188,'Ventas'!$H$7:$H$1006,F188))</x:f>
      </x:c>
    </x:row>
    <x:row r="189">
      <x:c r="D189" s="25"/>
      <x:c r="E189" s="25"/>
      <x:c r="F189" s="25"/>
      <x:c r="G189" s="29" t="str">
        <x:f>IF(OR(D189="",F189=""),"",SUMIFS('Ventas'!$I$7:$I$1006,'Ventas'!$A$7:$A$1006,"&gt;="&amp;DATE('Resumen'!$B$4,1,1),'Ventas'!$A$7:$A$1006,"&lt;"&amp;DATE('Resumen'!$B$4+1,1,1),'Ventas'!$D$7:$D$1006,"pagada",'Ventas'!$F$7:$F$1006,D189,'Ventas'!$H$7:$H$1006,F189))</x:f>
      </x:c>
      <x:c r="H189" s="27" t="str">
        <x:f>IF(OR(D189="",F189=""),"",SUMIFS('Ventas'!$J$7:$J$1006,'Ventas'!$A$7:$A$1006,"&gt;="&amp;DATE('Resumen'!$B$4,1,1),'Ventas'!$A$7:$A$1006,"&lt;"&amp;DATE('Resumen'!$B$4+1,1,1),'Ventas'!$D$7:$D$1006,"pagada",'Ventas'!$F$7:$F$1006,D189,'Ventas'!$H$7:$H$1006,F189))</x:f>
      </x:c>
    </x:row>
    <x:row r="190">
      <x:c r="D190" s="25"/>
      <x:c r="E190" s="25"/>
      <x:c r="F190" s="25"/>
      <x:c r="G190" s="29" t="str">
        <x:f>IF(OR(D190="",F190=""),"",SUMIFS('Ventas'!$I$7:$I$1006,'Ventas'!$A$7:$A$1006,"&gt;="&amp;DATE('Resumen'!$B$4,1,1),'Ventas'!$A$7:$A$1006,"&lt;"&amp;DATE('Resumen'!$B$4+1,1,1),'Ventas'!$D$7:$D$1006,"pagada",'Ventas'!$F$7:$F$1006,D190,'Ventas'!$H$7:$H$1006,F190))</x:f>
      </x:c>
      <x:c r="H190" s="27" t="str">
        <x:f>IF(OR(D190="",F190=""),"",SUMIFS('Ventas'!$J$7:$J$1006,'Ventas'!$A$7:$A$1006,"&gt;="&amp;DATE('Resumen'!$B$4,1,1),'Ventas'!$A$7:$A$1006,"&lt;"&amp;DATE('Resumen'!$B$4+1,1,1),'Ventas'!$D$7:$D$1006,"pagada",'Ventas'!$F$7:$F$1006,D190,'Ventas'!$H$7:$H$1006,F190))</x:f>
      </x:c>
    </x:row>
    <x:row r="191">
      <x:c r="D191" s="25"/>
      <x:c r="E191" s="25"/>
      <x:c r="F191" s="25"/>
      <x:c r="G191" s="29" t="str">
        <x:f>IF(OR(D191="",F191=""),"",SUMIFS('Ventas'!$I$7:$I$1006,'Ventas'!$A$7:$A$1006,"&gt;="&amp;DATE('Resumen'!$B$4,1,1),'Ventas'!$A$7:$A$1006,"&lt;"&amp;DATE('Resumen'!$B$4+1,1,1),'Ventas'!$D$7:$D$1006,"pagada",'Ventas'!$F$7:$F$1006,D191,'Ventas'!$H$7:$H$1006,F191))</x:f>
      </x:c>
      <x:c r="H191" s="27" t="str">
        <x:f>IF(OR(D191="",F191=""),"",SUMIFS('Ventas'!$J$7:$J$1006,'Ventas'!$A$7:$A$1006,"&gt;="&amp;DATE('Resumen'!$B$4,1,1),'Ventas'!$A$7:$A$1006,"&lt;"&amp;DATE('Resumen'!$B$4+1,1,1),'Ventas'!$D$7:$D$1006,"pagada",'Ventas'!$F$7:$F$1006,D191,'Ventas'!$H$7:$H$1006,F191))</x:f>
      </x:c>
    </x:row>
    <x:row r="192">
      <x:c r="D192" s="25"/>
      <x:c r="E192" s="25"/>
      <x:c r="F192" s="25"/>
      <x:c r="G192" s="29" t="str">
        <x:f>IF(OR(D192="",F192=""),"",SUMIFS('Ventas'!$I$7:$I$1006,'Ventas'!$A$7:$A$1006,"&gt;="&amp;DATE('Resumen'!$B$4,1,1),'Ventas'!$A$7:$A$1006,"&lt;"&amp;DATE('Resumen'!$B$4+1,1,1),'Ventas'!$D$7:$D$1006,"pagada",'Ventas'!$F$7:$F$1006,D192,'Ventas'!$H$7:$H$1006,F192))</x:f>
      </x:c>
      <x:c r="H192" s="27" t="str">
        <x:f>IF(OR(D192="",F192=""),"",SUMIFS('Ventas'!$J$7:$J$1006,'Ventas'!$A$7:$A$1006,"&gt;="&amp;DATE('Resumen'!$B$4,1,1),'Ventas'!$A$7:$A$1006,"&lt;"&amp;DATE('Resumen'!$B$4+1,1,1),'Ventas'!$D$7:$D$1006,"pagada",'Ventas'!$F$7:$F$1006,D192,'Ventas'!$H$7:$H$1006,F192))</x:f>
      </x:c>
    </x:row>
    <x:row r="193">
      <x:c r="D193" s="25"/>
      <x:c r="E193" s="25"/>
      <x:c r="F193" s="25"/>
      <x:c r="G193" s="29" t="str">
        <x:f>IF(OR(D193="",F193=""),"",SUMIFS('Ventas'!$I$7:$I$1006,'Ventas'!$A$7:$A$1006,"&gt;="&amp;DATE('Resumen'!$B$4,1,1),'Ventas'!$A$7:$A$1006,"&lt;"&amp;DATE('Resumen'!$B$4+1,1,1),'Ventas'!$D$7:$D$1006,"pagada",'Ventas'!$F$7:$F$1006,D193,'Ventas'!$H$7:$H$1006,F193))</x:f>
      </x:c>
      <x:c r="H193" s="27" t="str">
        <x:f>IF(OR(D193="",F193=""),"",SUMIFS('Ventas'!$J$7:$J$1006,'Ventas'!$A$7:$A$1006,"&gt;="&amp;DATE('Resumen'!$B$4,1,1),'Ventas'!$A$7:$A$1006,"&lt;"&amp;DATE('Resumen'!$B$4+1,1,1),'Ventas'!$D$7:$D$1006,"pagada",'Ventas'!$F$7:$F$1006,D193,'Ventas'!$H$7:$H$1006,F193))</x:f>
      </x:c>
    </x:row>
    <x:row r="194">
      <x:c r="D194" s="25"/>
      <x:c r="E194" s="25"/>
      <x:c r="F194" s="25"/>
      <x:c r="G194" s="29" t="str">
        <x:f>IF(OR(D194="",F194=""),"",SUMIFS('Ventas'!$I$7:$I$1006,'Ventas'!$A$7:$A$1006,"&gt;="&amp;DATE('Resumen'!$B$4,1,1),'Ventas'!$A$7:$A$1006,"&lt;"&amp;DATE('Resumen'!$B$4+1,1,1),'Ventas'!$D$7:$D$1006,"pagada",'Ventas'!$F$7:$F$1006,D194,'Ventas'!$H$7:$H$1006,F194))</x:f>
      </x:c>
      <x:c r="H194" s="27" t="str">
        <x:f>IF(OR(D194="",F194=""),"",SUMIFS('Ventas'!$J$7:$J$1006,'Ventas'!$A$7:$A$1006,"&gt;="&amp;DATE('Resumen'!$B$4,1,1),'Ventas'!$A$7:$A$1006,"&lt;"&amp;DATE('Resumen'!$B$4+1,1,1),'Ventas'!$D$7:$D$1006,"pagada",'Ventas'!$F$7:$F$1006,D194,'Ventas'!$H$7:$H$1006,F194))</x:f>
      </x:c>
    </x:row>
    <x:row r="195">
      <x:c r="D195" s="25"/>
      <x:c r="E195" s="25"/>
      <x:c r="F195" s="25"/>
      <x:c r="G195" s="29" t="str">
        <x:f>IF(OR(D195="",F195=""),"",SUMIFS('Ventas'!$I$7:$I$1006,'Ventas'!$A$7:$A$1006,"&gt;="&amp;DATE('Resumen'!$B$4,1,1),'Ventas'!$A$7:$A$1006,"&lt;"&amp;DATE('Resumen'!$B$4+1,1,1),'Ventas'!$D$7:$D$1006,"pagada",'Ventas'!$F$7:$F$1006,D195,'Ventas'!$H$7:$H$1006,F195))</x:f>
      </x:c>
      <x:c r="H195" s="27" t="str">
        <x:f>IF(OR(D195="",F195=""),"",SUMIFS('Ventas'!$J$7:$J$1006,'Ventas'!$A$7:$A$1006,"&gt;="&amp;DATE('Resumen'!$B$4,1,1),'Ventas'!$A$7:$A$1006,"&lt;"&amp;DATE('Resumen'!$B$4+1,1,1),'Ventas'!$D$7:$D$1006,"pagada",'Ventas'!$F$7:$F$1006,D195,'Ventas'!$H$7:$H$1006,F195))</x:f>
      </x:c>
    </x:row>
    <x:row r="196">
      <x:c r="D196" s="25"/>
      <x:c r="E196" s="25"/>
      <x:c r="F196" s="25"/>
      <x:c r="G196" s="29" t="str">
        <x:f>IF(OR(D196="",F196=""),"",SUMIFS('Ventas'!$I$7:$I$1006,'Ventas'!$A$7:$A$1006,"&gt;="&amp;DATE('Resumen'!$B$4,1,1),'Ventas'!$A$7:$A$1006,"&lt;"&amp;DATE('Resumen'!$B$4+1,1,1),'Ventas'!$D$7:$D$1006,"pagada",'Ventas'!$F$7:$F$1006,D196,'Ventas'!$H$7:$H$1006,F196))</x:f>
      </x:c>
      <x:c r="H196" s="27" t="str">
        <x:f>IF(OR(D196="",F196=""),"",SUMIFS('Ventas'!$J$7:$J$1006,'Ventas'!$A$7:$A$1006,"&gt;="&amp;DATE('Resumen'!$B$4,1,1),'Ventas'!$A$7:$A$1006,"&lt;"&amp;DATE('Resumen'!$B$4+1,1,1),'Ventas'!$D$7:$D$1006,"pagada",'Ventas'!$F$7:$F$1006,D196,'Ventas'!$H$7:$H$1006,F196))</x:f>
      </x:c>
    </x:row>
    <x:row r="197">
      <x:c r="D197" s="25"/>
      <x:c r="E197" s="25"/>
      <x:c r="F197" s="25"/>
      <x:c r="G197" s="29" t="str">
        <x:f>IF(OR(D197="",F197=""),"",SUMIFS('Ventas'!$I$7:$I$1006,'Ventas'!$A$7:$A$1006,"&gt;="&amp;DATE('Resumen'!$B$4,1,1),'Ventas'!$A$7:$A$1006,"&lt;"&amp;DATE('Resumen'!$B$4+1,1,1),'Ventas'!$D$7:$D$1006,"pagada",'Ventas'!$F$7:$F$1006,D197,'Ventas'!$H$7:$H$1006,F197))</x:f>
      </x:c>
      <x:c r="H197" s="27" t="str">
        <x:f>IF(OR(D197="",F197=""),"",SUMIFS('Ventas'!$J$7:$J$1006,'Ventas'!$A$7:$A$1006,"&gt;="&amp;DATE('Resumen'!$B$4,1,1),'Ventas'!$A$7:$A$1006,"&lt;"&amp;DATE('Resumen'!$B$4+1,1,1),'Ventas'!$D$7:$D$1006,"pagada",'Ventas'!$F$7:$F$1006,D197,'Ventas'!$H$7:$H$1006,F197))</x:f>
      </x:c>
    </x:row>
    <x:row r="198">
      <x:c r="D198" s="25"/>
      <x:c r="E198" s="25"/>
      <x:c r="F198" s="25"/>
      <x:c r="G198" s="29" t="str">
        <x:f>IF(OR(D198="",F198=""),"",SUMIFS('Ventas'!$I$7:$I$1006,'Ventas'!$A$7:$A$1006,"&gt;="&amp;DATE('Resumen'!$B$4,1,1),'Ventas'!$A$7:$A$1006,"&lt;"&amp;DATE('Resumen'!$B$4+1,1,1),'Ventas'!$D$7:$D$1006,"pagada",'Ventas'!$F$7:$F$1006,D198,'Ventas'!$H$7:$H$1006,F198))</x:f>
      </x:c>
      <x:c r="H198" s="27" t="str">
        <x:f>IF(OR(D198="",F198=""),"",SUMIFS('Ventas'!$J$7:$J$1006,'Ventas'!$A$7:$A$1006,"&gt;="&amp;DATE('Resumen'!$B$4,1,1),'Ventas'!$A$7:$A$1006,"&lt;"&amp;DATE('Resumen'!$B$4+1,1,1),'Ventas'!$D$7:$D$1006,"pagada",'Ventas'!$F$7:$F$1006,D198,'Ventas'!$H$7:$H$1006,F198))</x:f>
      </x:c>
    </x:row>
    <x:row r="199">
      <x:c r="D199" s="25"/>
      <x:c r="E199" s="25"/>
      <x:c r="F199" s="25"/>
      <x:c r="G199" s="29" t="str">
        <x:f>IF(OR(D199="",F199=""),"",SUMIFS('Ventas'!$I$7:$I$1006,'Ventas'!$A$7:$A$1006,"&gt;="&amp;DATE('Resumen'!$B$4,1,1),'Ventas'!$A$7:$A$1006,"&lt;"&amp;DATE('Resumen'!$B$4+1,1,1),'Ventas'!$D$7:$D$1006,"pagada",'Ventas'!$F$7:$F$1006,D199,'Ventas'!$H$7:$H$1006,F199))</x:f>
      </x:c>
      <x:c r="H199" s="27" t="str">
        <x:f>IF(OR(D199="",F199=""),"",SUMIFS('Ventas'!$J$7:$J$1006,'Ventas'!$A$7:$A$1006,"&gt;="&amp;DATE('Resumen'!$B$4,1,1),'Ventas'!$A$7:$A$1006,"&lt;"&amp;DATE('Resumen'!$B$4+1,1,1),'Ventas'!$D$7:$D$1006,"pagada",'Ventas'!$F$7:$F$1006,D199,'Ventas'!$H$7:$H$1006,F199))</x:f>
      </x:c>
    </x:row>
    <x:row r="200">
      <x:c r="D200" s="25"/>
      <x:c r="E200" s="25"/>
      <x:c r="F200" s="25"/>
      <x:c r="G200" s="29" t="str">
        <x:f>IF(OR(D200="",F200=""),"",SUMIFS('Ventas'!$I$7:$I$1006,'Ventas'!$A$7:$A$1006,"&gt;="&amp;DATE('Resumen'!$B$4,1,1),'Ventas'!$A$7:$A$1006,"&lt;"&amp;DATE('Resumen'!$B$4+1,1,1),'Ventas'!$D$7:$D$1006,"pagada",'Ventas'!$F$7:$F$1006,D200,'Ventas'!$H$7:$H$1006,F200))</x:f>
      </x:c>
      <x:c r="H200" s="27" t="str">
        <x:f>IF(OR(D200="",F200=""),"",SUMIFS('Ventas'!$J$7:$J$1006,'Ventas'!$A$7:$A$1006,"&gt;="&amp;DATE('Resumen'!$B$4,1,1),'Ventas'!$A$7:$A$1006,"&lt;"&amp;DATE('Resumen'!$B$4+1,1,1),'Ventas'!$D$7:$D$1006,"pagada",'Ventas'!$F$7:$F$1006,D200,'Ventas'!$H$7:$H$1006,F200))</x:f>
      </x:c>
    </x:row>
    <x:row r="201">
      <x:c r="D201" s="25"/>
      <x:c r="E201" s="25"/>
      <x:c r="F201" s="25"/>
      <x:c r="G201" s="29" t="str">
        <x:f>IF(OR(D201="",F201=""),"",SUMIFS('Ventas'!$I$7:$I$1006,'Ventas'!$A$7:$A$1006,"&gt;="&amp;DATE('Resumen'!$B$4,1,1),'Ventas'!$A$7:$A$1006,"&lt;"&amp;DATE('Resumen'!$B$4+1,1,1),'Ventas'!$D$7:$D$1006,"pagada",'Ventas'!$F$7:$F$1006,D201,'Ventas'!$H$7:$H$1006,F201))</x:f>
      </x:c>
      <x:c r="H201" s="27" t="str">
        <x:f>IF(OR(D201="",F201=""),"",SUMIFS('Ventas'!$J$7:$J$1006,'Ventas'!$A$7:$A$1006,"&gt;="&amp;DATE('Resumen'!$B$4,1,1),'Ventas'!$A$7:$A$1006,"&lt;"&amp;DATE('Resumen'!$B$4+1,1,1),'Ventas'!$D$7:$D$1006,"pagada",'Ventas'!$F$7:$F$1006,D201,'Ventas'!$H$7:$H$1006,F201))</x:f>
      </x:c>
    </x:row>
    <x:row r="202">
      <x:c r="D202" s="25"/>
      <x:c r="E202" s="25"/>
      <x:c r="F202" s="25"/>
      <x:c r="G202" s="29" t="str">
        <x:f>IF(OR(D202="",F202=""),"",SUMIFS('Ventas'!$I$7:$I$1006,'Ventas'!$A$7:$A$1006,"&gt;="&amp;DATE('Resumen'!$B$4,1,1),'Ventas'!$A$7:$A$1006,"&lt;"&amp;DATE('Resumen'!$B$4+1,1,1),'Ventas'!$D$7:$D$1006,"pagada",'Ventas'!$F$7:$F$1006,D202,'Ventas'!$H$7:$H$1006,F202))</x:f>
      </x:c>
      <x:c r="H202" s="27" t="str">
        <x:f>IF(OR(D202="",F202=""),"",SUMIFS('Ventas'!$J$7:$J$1006,'Ventas'!$A$7:$A$1006,"&gt;="&amp;DATE('Resumen'!$B$4,1,1),'Ventas'!$A$7:$A$1006,"&lt;"&amp;DATE('Resumen'!$B$4+1,1,1),'Ventas'!$D$7:$D$1006,"pagada",'Ventas'!$F$7:$F$1006,D202,'Ventas'!$H$7:$H$1006,F202))</x:f>
      </x:c>
    </x:row>
    <x:row r="203">
      <x:c r="D203" s="25"/>
      <x:c r="E203" s="25"/>
      <x:c r="F203" s="25"/>
      <x:c r="G203" s="29" t="str">
        <x:f>IF(OR(D203="",F203=""),"",SUMIFS('Ventas'!$I$7:$I$1006,'Ventas'!$A$7:$A$1006,"&gt;="&amp;DATE('Resumen'!$B$4,1,1),'Ventas'!$A$7:$A$1006,"&lt;"&amp;DATE('Resumen'!$B$4+1,1,1),'Ventas'!$D$7:$D$1006,"pagada",'Ventas'!$F$7:$F$1006,D203,'Ventas'!$H$7:$H$1006,F203))</x:f>
      </x:c>
      <x:c r="H203" s="27" t="str">
        <x:f>IF(OR(D203="",F203=""),"",SUMIFS('Ventas'!$J$7:$J$1006,'Ventas'!$A$7:$A$1006,"&gt;="&amp;DATE('Resumen'!$B$4,1,1),'Ventas'!$A$7:$A$1006,"&lt;"&amp;DATE('Resumen'!$B$4+1,1,1),'Ventas'!$D$7:$D$1006,"pagada",'Ventas'!$F$7:$F$1006,D203,'Ventas'!$H$7:$H$1006,F203))</x:f>
      </x:c>
    </x:row>
    <x:row r="204">
      <x:c r="D204" s="25"/>
      <x:c r="E204" s="25"/>
      <x:c r="F204" s="25"/>
      <x:c r="G204" s="29" t="str">
        <x:f>IF(OR(D204="",F204=""),"",SUMIFS('Ventas'!$I$7:$I$1006,'Ventas'!$A$7:$A$1006,"&gt;="&amp;DATE('Resumen'!$B$4,1,1),'Ventas'!$A$7:$A$1006,"&lt;"&amp;DATE('Resumen'!$B$4+1,1,1),'Ventas'!$D$7:$D$1006,"pagada",'Ventas'!$F$7:$F$1006,D204,'Ventas'!$H$7:$H$1006,F204))</x:f>
      </x:c>
      <x:c r="H204" s="27" t="str">
        <x:f>IF(OR(D204="",F204=""),"",SUMIFS('Ventas'!$J$7:$J$1006,'Ventas'!$A$7:$A$1006,"&gt;="&amp;DATE('Resumen'!$B$4,1,1),'Ventas'!$A$7:$A$1006,"&lt;"&amp;DATE('Resumen'!$B$4+1,1,1),'Ventas'!$D$7:$D$1006,"pagada",'Ventas'!$F$7:$F$1006,D204,'Ventas'!$H$7:$H$1006,F204))</x:f>
      </x:c>
    </x:row>
    <x:row r="205">
      <x:c r="D205" s="25"/>
      <x:c r="E205" s="25"/>
      <x:c r="F205" s="25"/>
      <x:c r="G205" s="29" t="str">
        <x:f>IF(OR(D205="",F205=""),"",SUMIFS('Ventas'!$I$7:$I$1006,'Ventas'!$A$7:$A$1006,"&gt;="&amp;DATE('Resumen'!$B$4,1,1),'Ventas'!$A$7:$A$1006,"&lt;"&amp;DATE('Resumen'!$B$4+1,1,1),'Ventas'!$D$7:$D$1006,"pagada",'Ventas'!$F$7:$F$1006,D205,'Ventas'!$H$7:$H$1006,F205))</x:f>
      </x:c>
      <x:c r="H205" s="27" t="str">
        <x:f>IF(OR(D205="",F205=""),"",SUMIFS('Ventas'!$J$7:$J$1006,'Ventas'!$A$7:$A$1006,"&gt;="&amp;DATE('Resumen'!$B$4,1,1),'Ventas'!$A$7:$A$1006,"&lt;"&amp;DATE('Resumen'!$B$4+1,1,1),'Ventas'!$D$7:$D$1006,"pagada",'Ventas'!$F$7:$F$1006,D205,'Ventas'!$H$7:$H$1006,F205))</x:f>
      </x:c>
    </x:row>
    <x:row r="206">
      <x:c r="D206" s="25"/>
      <x:c r="E206" s="25"/>
      <x:c r="F206" s="25"/>
      <x:c r="G206" s="29" t="str">
        <x:f>IF(OR(D206="",F206=""),"",SUMIFS('Ventas'!$I$7:$I$1006,'Ventas'!$A$7:$A$1006,"&gt;="&amp;DATE('Resumen'!$B$4,1,1),'Ventas'!$A$7:$A$1006,"&lt;"&amp;DATE('Resumen'!$B$4+1,1,1),'Ventas'!$D$7:$D$1006,"pagada",'Ventas'!$F$7:$F$1006,D206,'Ventas'!$H$7:$H$1006,F206))</x:f>
      </x:c>
      <x:c r="H206" s="27" t="str">
        <x:f>IF(OR(D206="",F206=""),"",SUMIFS('Ventas'!$J$7:$J$1006,'Ventas'!$A$7:$A$1006,"&gt;="&amp;DATE('Resumen'!$B$4,1,1),'Ventas'!$A$7:$A$1006,"&lt;"&amp;DATE('Resumen'!$B$4+1,1,1),'Ventas'!$D$7:$D$1006,"pagada",'Ventas'!$F$7:$F$1006,D206,'Ventas'!$H$7:$H$1006,F206))</x:f>
      </x:c>
    </x:row>
  </x:sheetData>
  <x:mergeCells>
    <x:mergeCell ref="A4:H4"/>
  </x:mergeCells>
  <x:pageMargins left="0.7" right="0.7" top="0.75" bottom="0.75" header="0.3" footer="0.3"/>
  <x:tableParts count="1">
    <x:tablePart xmlns:r="http://schemas.openxmlformats.org/officeDocument/2006/relationships" r:id="Rfa7a606107e54d7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9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30" hidden="0" customWidth="1"/>
    <x:col min="8" max="8" width="30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9" hidden="0" customWidth="1"/>
    <x:col min="14" max="14" width="19" hidden="0" customWidth="1"/>
    <x:col min="15" max="15" width="19" hidden="0" customWidth="1"/>
    <x:col min="16" max="16" width="34" hidden="0" customWidth="1"/>
    <x:col min="17" max="17" width="34" hidden="0" customWidth="1"/>
    <x:col min="18" max="18" width="19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>
      <x:c r="A2" s="3" t="str">
        <x:v>Ventas de contado por línea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</x:row>
    <x:row r="4">
      <x:c r="A4" s="2" t="str">
        <x:v>Una fila por línea original. No mezclar tenants ni repetir IDs. Solo ventas pagadas completas; conservar anuladas con su estado.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</x:row>
    <x:row r="6" ht="34" customHeight="1">
      <x:c r="A6" s="7" t="str">
        <x:v>Fecha Bogotá</x:v>
      </x:c>
      <x:c r="B6" s="7" t="str">
        <x:v>Venta ID</x:v>
      </x:c>
      <x:c r="C6" s="7" t="str">
        <x:v>Línea ID</x:v>
      </x:c>
      <x:c r="D6" s="7" t="str">
        <x:v>Estado</x:v>
      </x:c>
      <x:c r="E6" s="7" t="str">
        <x:v>Vendedor</x:v>
      </x:c>
      <x:c r="F6" s="7" t="str">
        <x:v>Producto ID</x:v>
      </x:c>
      <x:c r="G6" s="7" t="str">
        <x:v>Producto</x:v>
      </x:c>
      <x:c r="H6" s="7" t="str">
        <x:v>Presentación</x:v>
      </x:c>
      <x:c r="I6" s="7" t="str">
        <x:v>Cantidad presentaciones</x:v>
      </x:c>
      <x:c r="J6" s="7" t="str">
        <x:v>Ingreso sin impuestos COP</x:v>
      </x:c>
      <x:c r="K6" s="7" t="str">
        <x:v>Impuestos recaudados COP</x:v>
      </x:c>
      <x:c r="L6" s="7" t="str">
        <x:v>Total línea COP</x:v>
      </x:c>
      <x:c r="M6" s="7" t="str">
        <x:v>Costo histórico línea COP</x:v>
      </x:c>
      <x:c r="N6" s="7" t="str">
        <x:v>Utilidad bruta COP</x:v>
      </x:c>
      <x:c r="O6" s="7" t="str">
        <x:v>Medio de pago</x:v>
      </x:c>
      <x:c r="P6" s="7" t="str">
        <x:v>Soporte</x:v>
      </x:c>
      <x:c r="Q6" s="7" t="str">
        <x:v>Revisión</x:v>
      </x:c>
      <x:c r="R6" s="7" t="str">
        <x:v>Costo ausente (1)</x:v>
      </x:c>
    </x:row>
    <x:row r="7" ht="22" customHeight="1">
      <x:c r="A7" s="10"/>
      <x:c r="B7" s="8"/>
      <x:c r="C7" s="8"/>
      <x:c r="D7" s="8"/>
      <x:c r="E7" s="8"/>
      <x:c r="F7" s="8"/>
      <x:c r="G7" s="8"/>
      <x:c r="H7" s="8"/>
      <x:c r="I7" s="12"/>
      <x:c r="J7" s="14"/>
      <x:c r="K7" s="14"/>
      <x:c r="L7" s="16" t="str">
        <x:f>IF(B7="","",IF(NOT(AND(ISNUMBER(J7),ISNUMBER(K7))),"",SUM(J7:K7)))</x:f>
      </x:c>
      <x:c r="M7" s="14"/>
      <x:c r="N7" s="16" t="str">
        <x:f>IF(OR(B7="",D7&lt;&gt;"pagada",NOT(ISNUMBER(J7)),NOT(ISNUMBER(M7))),"",J7-M7)</x:f>
      </x:c>
      <x:c r="O7" s="8"/>
      <x:c r="P7" s="8"/>
      <x:c r="Q7" s="2" t="str">
        <x:f>IF(B7="","",IF(COUNTIFS($B$7:$B$1006,B7,$C$7:$C$1006,C7)&gt;1,"ID duplicado",IF(OR(A7="",C7="",D7="",E7="",F7="",I7="",J7="",K7="",O7=""),"Completar datos",IF(NOT(ISNUMBER(M7)),"Falta costo histórico","Revisar soporte"))))</x:f>
      </x:c>
      <x:c r="R7" s="8" t="n">
        <x:f>IF(B7="",0,IF(AND(D7="pagada",NOT(ISNUMBER(M7))),1,0))</x:f>
        <x:v>0</x:v>
      </x:c>
    </x:row>
    <x:row r="8" ht="22" customHeight="1">
      <x:c r="A8" s="10"/>
      <x:c r="B8" s="8"/>
      <x:c r="C8" s="8"/>
      <x:c r="D8" s="8"/>
      <x:c r="E8" s="8"/>
      <x:c r="F8" s="8"/>
      <x:c r="G8" s="8"/>
      <x:c r="H8" s="8"/>
      <x:c r="I8" s="12"/>
      <x:c r="J8" s="14"/>
      <x:c r="K8" s="14"/>
      <x:c r="L8" s="16" t="str">
        <x:f>IF(B8="","",IF(NOT(AND(ISNUMBER(J8),ISNUMBER(K8))),"",SUM(J8:K8)))</x:f>
      </x:c>
      <x:c r="M8" s="14"/>
      <x:c r="N8" s="16" t="str">
        <x:f>IF(OR(B8="",D8&lt;&gt;"pagada",NOT(ISNUMBER(J8)),NOT(ISNUMBER(M8))),"",J8-M8)</x:f>
      </x:c>
      <x:c r="O8" s="8"/>
      <x:c r="P8" s="8"/>
      <x:c r="Q8" s="2" t="str">
        <x:f>IF(B8="","",IF(COUNTIFS($B$7:$B$1006,B8,$C$7:$C$1006,C8)&gt;1,"ID duplicado",IF(OR(A8="",C8="",D8="",E8="",F8="",I8="",J8="",K8="",O8=""),"Completar datos",IF(NOT(ISNUMBER(M8)),"Falta costo histórico","Revisar soporte"))))</x:f>
      </x:c>
      <x:c r="R8" s="8" t="n">
        <x:f>IF(B8="",0,IF(AND(D8="pagada",NOT(ISNUMBER(M8))),1,0))</x:f>
        <x:v>0</x:v>
      </x:c>
    </x:row>
    <x:row r="9" ht="22" customHeight="1">
      <x:c r="A9" s="10"/>
      <x:c r="B9" s="8"/>
      <x:c r="C9" s="8"/>
      <x:c r="D9" s="8"/>
      <x:c r="E9" s="8"/>
      <x:c r="F9" s="8"/>
      <x:c r="G9" s="8"/>
      <x:c r="H9" s="8"/>
      <x:c r="I9" s="12"/>
      <x:c r="J9" s="14"/>
      <x:c r="K9" s="14"/>
      <x:c r="L9" s="16" t="str">
        <x:f>IF(B9="","",IF(NOT(AND(ISNUMBER(J9),ISNUMBER(K9))),"",SUM(J9:K9)))</x:f>
      </x:c>
      <x:c r="M9" s="14"/>
      <x:c r="N9" s="16" t="str">
        <x:f>IF(OR(B9="",D9&lt;&gt;"pagada",NOT(ISNUMBER(J9)),NOT(ISNUMBER(M9))),"",J9-M9)</x:f>
      </x:c>
      <x:c r="O9" s="8"/>
      <x:c r="P9" s="8"/>
      <x:c r="Q9" s="2" t="str">
        <x:f>IF(B9="","",IF(COUNTIFS($B$7:$B$1006,B9,$C$7:$C$1006,C9)&gt;1,"ID duplicado",IF(OR(A9="",C9="",D9="",E9="",F9="",I9="",J9="",K9="",O9=""),"Completar datos",IF(NOT(ISNUMBER(M9)),"Falta costo histórico","Revisar soporte"))))</x:f>
      </x:c>
      <x:c r="R9" s="8" t="n">
        <x:f>IF(B9="",0,IF(AND(D9="pagada",NOT(ISNUMBER(M9))),1,0))</x:f>
        <x:v>0</x:v>
      </x:c>
    </x:row>
    <x:row r="10" ht="22" customHeight="1">
      <x:c r="A10" s="10"/>
      <x:c r="B10" s="8"/>
      <x:c r="C10" s="8"/>
      <x:c r="D10" s="8"/>
      <x:c r="E10" s="8"/>
      <x:c r="F10" s="8"/>
      <x:c r="G10" s="8"/>
      <x:c r="H10" s="8"/>
      <x:c r="I10" s="12"/>
      <x:c r="J10" s="14"/>
      <x:c r="K10" s="14"/>
      <x:c r="L10" s="16" t="str">
        <x:f>IF(B10="","",IF(NOT(AND(ISNUMBER(J10),ISNUMBER(K10))),"",SUM(J10:K10)))</x:f>
      </x:c>
      <x:c r="M10" s="14"/>
      <x:c r="N10" s="16" t="str">
        <x:f>IF(OR(B10="",D10&lt;&gt;"pagada",NOT(ISNUMBER(J10)),NOT(ISNUMBER(M10))),"",J10-M10)</x:f>
      </x:c>
      <x:c r="O10" s="8"/>
      <x:c r="P10" s="8"/>
      <x:c r="Q10" s="2" t="str">
        <x:f>IF(B10="","",IF(COUNTIFS($B$7:$B$1006,B10,$C$7:$C$1006,C10)&gt;1,"ID duplicado",IF(OR(A10="",C10="",D10="",E10="",F10="",I10="",J10="",K10="",O10=""),"Completar datos",IF(NOT(ISNUMBER(M10)),"Falta costo histórico","Revisar soporte"))))</x:f>
      </x:c>
      <x:c r="R10" s="8" t="n">
        <x:f>IF(B10="",0,IF(AND(D10="pagada",NOT(ISNUMBER(M10))),1,0))</x:f>
        <x:v>0</x:v>
      </x:c>
    </x:row>
    <x:row r="11" ht="22" customHeight="1">
      <x:c r="A11" s="10"/>
      <x:c r="B11" s="8"/>
      <x:c r="C11" s="8"/>
      <x:c r="D11" s="8"/>
      <x:c r="E11" s="8"/>
      <x:c r="F11" s="8"/>
      <x:c r="G11" s="8"/>
      <x:c r="H11" s="8"/>
      <x:c r="I11" s="12"/>
      <x:c r="J11" s="14"/>
      <x:c r="K11" s="14"/>
      <x:c r="L11" s="16" t="str">
        <x:f>IF(B11="","",IF(NOT(AND(ISNUMBER(J11),ISNUMBER(K11))),"",SUM(J11:K11)))</x:f>
      </x:c>
      <x:c r="M11" s="14"/>
      <x:c r="N11" s="16" t="str">
        <x:f>IF(OR(B11="",D11&lt;&gt;"pagada",NOT(ISNUMBER(J11)),NOT(ISNUMBER(M11))),"",J11-M11)</x:f>
      </x:c>
      <x:c r="O11" s="8"/>
      <x:c r="P11" s="8"/>
      <x:c r="Q11" s="2" t="str">
        <x:f>IF(B11="","",IF(COUNTIFS($B$7:$B$1006,B11,$C$7:$C$1006,C11)&gt;1,"ID duplicado",IF(OR(A11="",C11="",D11="",E11="",F11="",I11="",J11="",K11="",O11=""),"Completar datos",IF(NOT(ISNUMBER(M11)),"Falta costo histórico","Revisar soporte"))))</x:f>
      </x:c>
      <x:c r="R11" s="8" t="n">
        <x:f>IF(B11="",0,IF(AND(D11="pagada",NOT(ISNUMBER(M11))),1,0))</x:f>
        <x:v>0</x:v>
      </x:c>
    </x:row>
    <x:row r="12" ht="22" customHeight="1">
      <x:c r="A12" s="10"/>
      <x:c r="B12" s="8"/>
      <x:c r="C12" s="8"/>
      <x:c r="D12" s="8"/>
      <x:c r="E12" s="8"/>
      <x:c r="F12" s="8"/>
      <x:c r="G12" s="8"/>
      <x:c r="H12" s="8"/>
      <x:c r="I12" s="12"/>
      <x:c r="J12" s="14"/>
      <x:c r="K12" s="14"/>
      <x:c r="L12" s="16" t="str">
        <x:f>IF(B12="","",IF(NOT(AND(ISNUMBER(J12),ISNUMBER(K12))),"",SUM(J12:K12)))</x:f>
      </x:c>
      <x:c r="M12" s="14"/>
      <x:c r="N12" s="16" t="str">
        <x:f>IF(OR(B12="",D12&lt;&gt;"pagada",NOT(ISNUMBER(J12)),NOT(ISNUMBER(M12))),"",J12-M12)</x:f>
      </x:c>
      <x:c r="O12" s="8"/>
      <x:c r="P12" s="8"/>
      <x:c r="Q12" s="2" t="str">
        <x:f>IF(B12="","",IF(COUNTIFS($B$7:$B$1006,B12,$C$7:$C$1006,C12)&gt;1,"ID duplicado",IF(OR(A12="",C12="",D12="",E12="",F12="",I12="",J12="",K12="",O12=""),"Completar datos",IF(NOT(ISNUMBER(M12)),"Falta costo histórico","Revisar soporte"))))</x:f>
      </x:c>
      <x:c r="R12" s="8" t="n">
        <x:f>IF(B12="",0,IF(AND(D12="pagada",NOT(ISNUMBER(M12))),1,0))</x:f>
        <x:v>0</x:v>
      </x:c>
    </x:row>
    <x:row r="13" ht="22" customHeight="1">
      <x:c r="A13" s="10"/>
      <x:c r="B13" s="8"/>
      <x:c r="C13" s="8"/>
      <x:c r="D13" s="8"/>
      <x:c r="E13" s="8"/>
      <x:c r="F13" s="8"/>
      <x:c r="G13" s="8"/>
      <x:c r="H13" s="8"/>
      <x:c r="I13" s="12"/>
      <x:c r="J13" s="14"/>
      <x:c r="K13" s="14"/>
      <x:c r="L13" s="16" t="str">
        <x:f>IF(B13="","",IF(NOT(AND(ISNUMBER(J13),ISNUMBER(K13))),"",SUM(J13:K13)))</x:f>
      </x:c>
      <x:c r="M13" s="14"/>
      <x:c r="N13" s="16" t="str">
        <x:f>IF(OR(B13="",D13&lt;&gt;"pagada",NOT(ISNUMBER(J13)),NOT(ISNUMBER(M13))),"",J13-M13)</x:f>
      </x:c>
      <x:c r="O13" s="8"/>
      <x:c r="P13" s="8"/>
      <x:c r="Q13" s="2" t="str">
        <x:f>IF(B13="","",IF(COUNTIFS($B$7:$B$1006,B13,$C$7:$C$1006,C13)&gt;1,"ID duplicado",IF(OR(A13="",C13="",D13="",E13="",F13="",I13="",J13="",K13="",O13=""),"Completar datos",IF(NOT(ISNUMBER(M13)),"Falta costo histórico","Revisar soporte"))))</x:f>
      </x:c>
      <x:c r="R13" s="8" t="n">
        <x:f>IF(B13="",0,IF(AND(D13="pagada",NOT(ISNUMBER(M13))),1,0))</x:f>
        <x:v>0</x:v>
      </x:c>
    </x:row>
    <x:row r="14" ht="22" customHeight="1">
      <x:c r="A14" s="10"/>
      <x:c r="B14" s="8"/>
      <x:c r="C14" s="8"/>
      <x:c r="D14" s="8"/>
      <x:c r="E14" s="8"/>
      <x:c r="F14" s="8"/>
      <x:c r="G14" s="8"/>
      <x:c r="H14" s="8"/>
      <x:c r="I14" s="12"/>
      <x:c r="J14" s="14"/>
      <x:c r="K14" s="14"/>
      <x:c r="L14" s="16" t="str">
        <x:f>IF(B14="","",IF(NOT(AND(ISNUMBER(J14),ISNUMBER(K14))),"",SUM(J14:K14)))</x:f>
      </x:c>
      <x:c r="M14" s="14"/>
      <x:c r="N14" s="16" t="str">
        <x:f>IF(OR(B14="",D14&lt;&gt;"pagada",NOT(ISNUMBER(J14)),NOT(ISNUMBER(M14))),"",J14-M14)</x:f>
      </x:c>
      <x:c r="O14" s="8"/>
      <x:c r="P14" s="8"/>
      <x:c r="Q14" s="2" t="str">
        <x:f>IF(B14="","",IF(COUNTIFS($B$7:$B$1006,B14,$C$7:$C$1006,C14)&gt;1,"ID duplicado",IF(OR(A14="",C14="",D14="",E14="",F14="",I14="",J14="",K14="",O14=""),"Completar datos",IF(NOT(ISNUMBER(M14)),"Falta costo histórico","Revisar soporte"))))</x:f>
      </x:c>
      <x:c r="R14" s="8" t="n">
        <x:f>IF(B14="",0,IF(AND(D14="pagada",NOT(ISNUMBER(M14))),1,0))</x:f>
        <x:v>0</x:v>
      </x:c>
    </x:row>
    <x:row r="15" ht="22" customHeight="1">
      <x:c r="A15" s="10"/>
      <x:c r="B15" s="8"/>
      <x:c r="C15" s="8"/>
      <x:c r="D15" s="8"/>
      <x:c r="E15" s="8"/>
      <x:c r="F15" s="8"/>
      <x:c r="G15" s="8"/>
      <x:c r="H15" s="8"/>
      <x:c r="I15" s="12"/>
      <x:c r="J15" s="14"/>
      <x:c r="K15" s="14"/>
      <x:c r="L15" s="16" t="str">
        <x:f>IF(B15="","",IF(NOT(AND(ISNUMBER(J15),ISNUMBER(K15))),"",SUM(J15:K15)))</x:f>
      </x:c>
      <x:c r="M15" s="14"/>
      <x:c r="N15" s="16" t="str">
        <x:f>IF(OR(B15="",D15&lt;&gt;"pagada",NOT(ISNUMBER(J15)),NOT(ISNUMBER(M15))),"",J15-M15)</x:f>
      </x:c>
      <x:c r="O15" s="8"/>
      <x:c r="P15" s="8"/>
      <x:c r="Q15" s="2" t="str">
        <x:f>IF(B15="","",IF(COUNTIFS($B$7:$B$1006,B15,$C$7:$C$1006,C15)&gt;1,"ID duplicado",IF(OR(A15="",C15="",D15="",E15="",F15="",I15="",J15="",K15="",O15=""),"Completar datos",IF(NOT(ISNUMBER(M15)),"Falta costo histórico","Revisar soporte"))))</x:f>
      </x:c>
      <x:c r="R15" s="8" t="n">
        <x:f>IF(B15="",0,IF(AND(D15="pagada",NOT(ISNUMBER(M15))),1,0))</x:f>
        <x:v>0</x:v>
      </x:c>
    </x:row>
    <x:row r="16" ht="22" customHeight="1">
      <x:c r="A16" s="10"/>
      <x:c r="B16" s="8"/>
      <x:c r="C16" s="8"/>
      <x:c r="D16" s="8"/>
      <x:c r="E16" s="8"/>
      <x:c r="F16" s="8"/>
      <x:c r="G16" s="8"/>
      <x:c r="H16" s="8"/>
      <x:c r="I16" s="12"/>
      <x:c r="J16" s="14"/>
      <x:c r="K16" s="14"/>
      <x:c r="L16" s="16" t="str">
        <x:f>IF(B16="","",IF(NOT(AND(ISNUMBER(J16),ISNUMBER(K16))),"",SUM(J16:K16)))</x:f>
      </x:c>
      <x:c r="M16" s="14"/>
      <x:c r="N16" s="16" t="str">
        <x:f>IF(OR(B16="",D16&lt;&gt;"pagada",NOT(ISNUMBER(J16)),NOT(ISNUMBER(M16))),"",J16-M16)</x:f>
      </x:c>
      <x:c r="O16" s="8"/>
      <x:c r="P16" s="8"/>
      <x:c r="Q16" s="2" t="str">
        <x:f>IF(B16="","",IF(COUNTIFS($B$7:$B$1006,B16,$C$7:$C$1006,C16)&gt;1,"ID duplicado",IF(OR(A16="",C16="",D16="",E16="",F16="",I16="",J16="",K16="",O16=""),"Completar datos",IF(NOT(ISNUMBER(M16)),"Falta costo histórico","Revisar soporte"))))</x:f>
      </x:c>
      <x:c r="R16" s="8" t="n">
        <x:f>IF(B16="",0,IF(AND(D16="pagada",NOT(ISNUMBER(M16))),1,0))</x:f>
        <x:v>0</x:v>
      </x:c>
    </x:row>
    <x:row r="17" ht="22" customHeight="1">
      <x:c r="A17" s="10"/>
      <x:c r="B17" s="8"/>
      <x:c r="C17" s="8"/>
      <x:c r="D17" s="8"/>
      <x:c r="E17" s="8"/>
      <x:c r="F17" s="8"/>
      <x:c r="G17" s="8"/>
      <x:c r="H17" s="8"/>
      <x:c r="I17" s="12"/>
      <x:c r="J17" s="14"/>
      <x:c r="K17" s="14"/>
      <x:c r="L17" s="16" t="str">
        <x:f>IF(B17="","",IF(NOT(AND(ISNUMBER(J17),ISNUMBER(K17))),"",SUM(J17:K17)))</x:f>
      </x:c>
      <x:c r="M17" s="14"/>
      <x:c r="N17" s="16" t="str">
        <x:f>IF(OR(B17="",D17&lt;&gt;"pagada",NOT(ISNUMBER(J17)),NOT(ISNUMBER(M17))),"",J17-M17)</x:f>
      </x:c>
      <x:c r="O17" s="8"/>
      <x:c r="P17" s="8"/>
      <x:c r="Q17" s="2" t="str">
        <x:f>IF(B17="","",IF(COUNTIFS($B$7:$B$1006,B17,$C$7:$C$1006,C17)&gt;1,"ID duplicado",IF(OR(A17="",C17="",D17="",E17="",F17="",I17="",J17="",K17="",O17=""),"Completar datos",IF(NOT(ISNUMBER(M17)),"Falta costo histórico","Revisar soporte"))))</x:f>
      </x:c>
      <x:c r="R17" s="8" t="n">
        <x:f>IF(B17="",0,IF(AND(D17="pagada",NOT(ISNUMBER(M17))),1,0))</x:f>
        <x:v>0</x:v>
      </x:c>
    </x:row>
    <x:row r="18" ht="22" customHeight="1">
      <x:c r="A18" s="10"/>
      <x:c r="B18" s="8"/>
      <x:c r="C18" s="8"/>
      <x:c r="D18" s="8"/>
      <x:c r="E18" s="8"/>
      <x:c r="F18" s="8"/>
      <x:c r="G18" s="8"/>
      <x:c r="H18" s="8"/>
      <x:c r="I18" s="12"/>
      <x:c r="J18" s="14"/>
      <x:c r="K18" s="14"/>
      <x:c r="L18" s="16" t="str">
        <x:f>IF(B18="","",IF(NOT(AND(ISNUMBER(J18),ISNUMBER(K18))),"",SUM(J18:K18)))</x:f>
      </x:c>
      <x:c r="M18" s="14"/>
      <x:c r="N18" s="16" t="str">
        <x:f>IF(OR(B18="",D18&lt;&gt;"pagada",NOT(ISNUMBER(J18)),NOT(ISNUMBER(M18))),"",J18-M18)</x:f>
      </x:c>
      <x:c r="O18" s="8"/>
      <x:c r="P18" s="8"/>
      <x:c r="Q18" s="2" t="str">
        <x:f>IF(B18="","",IF(COUNTIFS($B$7:$B$1006,B18,$C$7:$C$1006,C18)&gt;1,"ID duplicado",IF(OR(A18="",C18="",D18="",E18="",F18="",I18="",J18="",K18="",O18=""),"Completar datos",IF(NOT(ISNUMBER(M18)),"Falta costo histórico","Revisar soporte"))))</x:f>
      </x:c>
      <x:c r="R18" s="8" t="n">
        <x:f>IF(B18="",0,IF(AND(D18="pagada",NOT(ISNUMBER(M18))),1,0))</x:f>
        <x:v>0</x:v>
      </x:c>
    </x:row>
    <x:row r="19" ht="22" customHeight="1">
      <x:c r="A19" s="10"/>
      <x:c r="B19" s="8"/>
      <x:c r="C19" s="8"/>
      <x:c r="D19" s="8"/>
      <x:c r="E19" s="8"/>
      <x:c r="F19" s="8"/>
      <x:c r="G19" s="8"/>
      <x:c r="H19" s="8"/>
      <x:c r="I19" s="12"/>
      <x:c r="J19" s="14"/>
      <x:c r="K19" s="14"/>
      <x:c r="L19" s="16" t="str">
        <x:f>IF(B19="","",IF(NOT(AND(ISNUMBER(J19),ISNUMBER(K19))),"",SUM(J19:K19)))</x:f>
      </x:c>
      <x:c r="M19" s="14"/>
      <x:c r="N19" s="16" t="str">
        <x:f>IF(OR(B19="",D19&lt;&gt;"pagada",NOT(ISNUMBER(J19)),NOT(ISNUMBER(M19))),"",J19-M19)</x:f>
      </x:c>
      <x:c r="O19" s="8"/>
      <x:c r="P19" s="8"/>
      <x:c r="Q19" s="2" t="str">
        <x:f>IF(B19="","",IF(COUNTIFS($B$7:$B$1006,B19,$C$7:$C$1006,C19)&gt;1,"ID duplicado",IF(OR(A19="",C19="",D19="",E19="",F19="",I19="",J19="",K19="",O19=""),"Completar datos",IF(NOT(ISNUMBER(M19)),"Falta costo histórico","Revisar soporte"))))</x:f>
      </x:c>
      <x:c r="R19" s="8" t="n">
        <x:f>IF(B19="",0,IF(AND(D19="pagada",NOT(ISNUMBER(M19))),1,0))</x:f>
        <x:v>0</x:v>
      </x:c>
    </x:row>
    <x:row r="20" ht="22" customHeight="1">
      <x:c r="A20" s="10"/>
      <x:c r="B20" s="8"/>
      <x:c r="C20" s="8"/>
      <x:c r="D20" s="8"/>
      <x:c r="E20" s="8"/>
      <x:c r="F20" s="8"/>
      <x:c r="G20" s="8"/>
      <x:c r="H20" s="8"/>
      <x:c r="I20" s="12"/>
      <x:c r="J20" s="14"/>
      <x:c r="K20" s="14"/>
      <x:c r="L20" s="16" t="str">
        <x:f>IF(B20="","",IF(NOT(AND(ISNUMBER(J20),ISNUMBER(K20))),"",SUM(J20:K20)))</x:f>
      </x:c>
      <x:c r="M20" s="14"/>
      <x:c r="N20" s="16" t="str">
        <x:f>IF(OR(B20="",D20&lt;&gt;"pagada",NOT(ISNUMBER(J20)),NOT(ISNUMBER(M20))),"",J20-M20)</x:f>
      </x:c>
      <x:c r="O20" s="8"/>
      <x:c r="P20" s="8"/>
      <x:c r="Q20" s="2" t="str">
        <x:f>IF(B20="","",IF(COUNTIFS($B$7:$B$1006,B20,$C$7:$C$1006,C20)&gt;1,"ID duplicado",IF(OR(A20="",C20="",D20="",E20="",F20="",I20="",J20="",K20="",O20=""),"Completar datos",IF(NOT(ISNUMBER(M20)),"Falta costo histórico","Revisar soporte"))))</x:f>
      </x:c>
      <x:c r="R20" s="8" t="n">
        <x:f>IF(B20="",0,IF(AND(D20="pagada",NOT(ISNUMBER(M20))),1,0))</x:f>
        <x:v>0</x:v>
      </x:c>
    </x:row>
    <x:row r="21" ht="22" customHeight="1">
      <x:c r="A21" s="10"/>
      <x:c r="B21" s="8"/>
      <x:c r="C21" s="8"/>
      <x:c r="D21" s="8"/>
      <x:c r="E21" s="8"/>
      <x:c r="F21" s="8"/>
      <x:c r="G21" s="8"/>
      <x:c r="H21" s="8"/>
      <x:c r="I21" s="12"/>
      <x:c r="J21" s="14"/>
      <x:c r="K21" s="14"/>
      <x:c r="L21" s="16" t="str">
        <x:f>IF(B21="","",IF(NOT(AND(ISNUMBER(J21),ISNUMBER(K21))),"",SUM(J21:K21)))</x:f>
      </x:c>
      <x:c r="M21" s="14"/>
      <x:c r="N21" s="16" t="str">
        <x:f>IF(OR(B21="",D21&lt;&gt;"pagada",NOT(ISNUMBER(J21)),NOT(ISNUMBER(M21))),"",J21-M21)</x:f>
      </x:c>
      <x:c r="O21" s="8"/>
      <x:c r="P21" s="8"/>
      <x:c r="Q21" s="2" t="str">
        <x:f>IF(B21="","",IF(COUNTIFS($B$7:$B$1006,B21,$C$7:$C$1006,C21)&gt;1,"ID duplicado",IF(OR(A21="",C21="",D21="",E21="",F21="",I21="",J21="",K21="",O21=""),"Completar datos",IF(NOT(ISNUMBER(M21)),"Falta costo histórico","Revisar soporte"))))</x:f>
      </x:c>
      <x:c r="R21" s="8" t="n">
        <x:f>IF(B21="",0,IF(AND(D21="pagada",NOT(ISNUMBER(M21))),1,0))</x:f>
        <x:v>0</x:v>
      </x:c>
    </x:row>
    <x:row r="22" ht="22" customHeight="1">
      <x:c r="A22" s="10"/>
      <x:c r="B22" s="8"/>
      <x:c r="C22" s="8"/>
      <x:c r="D22" s="8"/>
      <x:c r="E22" s="8"/>
      <x:c r="F22" s="8"/>
      <x:c r="G22" s="8"/>
      <x:c r="H22" s="8"/>
      <x:c r="I22" s="12"/>
      <x:c r="J22" s="14"/>
      <x:c r="K22" s="14"/>
      <x:c r="L22" s="16" t="str">
        <x:f>IF(B22="","",IF(NOT(AND(ISNUMBER(J22),ISNUMBER(K22))),"",SUM(J22:K22)))</x:f>
      </x:c>
      <x:c r="M22" s="14"/>
      <x:c r="N22" s="16" t="str">
        <x:f>IF(OR(B22="",D22&lt;&gt;"pagada",NOT(ISNUMBER(J22)),NOT(ISNUMBER(M22))),"",J22-M22)</x:f>
      </x:c>
      <x:c r="O22" s="8"/>
      <x:c r="P22" s="8"/>
      <x:c r="Q22" s="2" t="str">
        <x:f>IF(B22="","",IF(COUNTIFS($B$7:$B$1006,B22,$C$7:$C$1006,C22)&gt;1,"ID duplicado",IF(OR(A22="",C22="",D22="",E22="",F22="",I22="",J22="",K22="",O22=""),"Completar datos",IF(NOT(ISNUMBER(M22)),"Falta costo histórico","Revisar soporte"))))</x:f>
      </x:c>
      <x:c r="R22" s="8" t="n">
        <x:f>IF(B22="",0,IF(AND(D22="pagada",NOT(ISNUMBER(M22))),1,0))</x:f>
        <x:v>0</x:v>
      </x:c>
    </x:row>
    <x:row r="23" ht="22" customHeight="1">
      <x:c r="A23" s="10"/>
      <x:c r="B23" s="8"/>
      <x:c r="C23" s="8"/>
      <x:c r="D23" s="8"/>
      <x:c r="E23" s="8"/>
      <x:c r="F23" s="8"/>
      <x:c r="G23" s="8"/>
      <x:c r="H23" s="8"/>
      <x:c r="I23" s="12"/>
      <x:c r="J23" s="14"/>
      <x:c r="K23" s="14"/>
      <x:c r="L23" s="16" t="str">
        <x:f>IF(B23="","",IF(NOT(AND(ISNUMBER(J23),ISNUMBER(K23))),"",SUM(J23:K23)))</x:f>
      </x:c>
      <x:c r="M23" s="14"/>
      <x:c r="N23" s="16" t="str">
        <x:f>IF(OR(B23="",D23&lt;&gt;"pagada",NOT(ISNUMBER(J23)),NOT(ISNUMBER(M23))),"",J23-M23)</x:f>
      </x:c>
      <x:c r="O23" s="8"/>
      <x:c r="P23" s="8"/>
      <x:c r="Q23" s="2" t="str">
        <x:f>IF(B23="","",IF(COUNTIFS($B$7:$B$1006,B23,$C$7:$C$1006,C23)&gt;1,"ID duplicado",IF(OR(A23="",C23="",D23="",E23="",F23="",I23="",J23="",K23="",O23=""),"Completar datos",IF(NOT(ISNUMBER(M23)),"Falta costo histórico","Revisar soporte"))))</x:f>
      </x:c>
      <x:c r="R23" s="8" t="n">
        <x:f>IF(B23="",0,IF(AND(D23="pagada",NOT(ISNUMBER(M23))),1,0))</x:f>
        <x:v>0</x:v>
      </x:c>
    </x:row>
    <x:row r="24" ht="22" customHeight="1">
      <x:c r="A24" s="10"/>
      <x:c r="B24" s="8"/>
      <x:c r="C24" s="8"/>
      <x:c r="D24" s="8"/>
      <x:c r="E24" s="8"/>
      <x:c r="F24" s="8"/>
      <x:c r="G24" s="8"/>
      <x:c r="H24" s="8"/>
      <x:c r="I24" s="12"/>
      <x:c r="J24" s="14"/>
      <x:c r="K24" s="14"/>
      <x:c r="L24" s="16" t="str">
        <x:f>IF(B24="","",IF(NOT(AND(ISNUMBER(J24),ISNUMBER(K24))),"",SUM(J24:K24)))</x:f>
      </x:c>
      <x:c r="M24" s="14"/>
      <x:c r="N24" s="16" t="str">
        <x:f>IF(OR(B24="",D24&lt;&gt;"pagada",NOT(ISNUMBER(J24)),NOT(ISNUMBER(M24))),"",J24-M24)</x:f>
      </x:c>
      <x:c r="O24" s="8"/>
      <x:c r="P24" s="8"/>
      <x:c r="Q24" s="2" t="str">
        <x:f>IF(B24="","",IF(COUNTIFS($B$7:$B$1006,B24,$C$7:$C$1006,C24)&gt;1,"ID duplicado",IF(OR(A24="",C24="",D24="",E24="",F24="",I24="",J24="",K24="",O24=""),"Completar datos",IF(NOT(ISNUMBER(M24)),"Falta costo histórico","Revisar soporte"))))</x:f>
      </x:c>
      <x:c r="R24" s="8" t="n">
        <x:f>IF(B24="",0,IF(AND(D24="pagada",NOT(ISNUMBER(M24))),1,0))</x:f>
        <x:v>0</x:v>
      </x:c>
    </x:row>
    <x:row r="25" ht="22" customHeight="1">
      <x:c r="A25" s="10"/>
      <x:c r="B25" s="8"/>
      <x:c r="C25" s="8"/>
      <x:c r="D25" s="8"/>
      <x:c r="E25" s="8"/>
      <x:c r="F25" s="8"/>
      <x:c r="G25" s="8"/>
      <x:c r="H25" s="8"/>
      <x:c r="I25" s="12"/>
      <x:c r="J25" s="14"/>
      <x:c r="K25" s="14"/>
      <x:c r="L25" s="16" t="str">
        <x:f>IF(B25="","",IF(NOT(AND(ISNUMBER(J25),ISNUMBER(K25))),"",SUM(J25:K25)))</x:f>
      </x:c>
      <x:c r="M25" s="14"/>
      <x:c r="N25" s="16" t="str">
        <x:f>IF(OR(B25="",D25&lt;&gt;"pagada",NOT(ISNUMBER(J25)),NOT(ISNUMBER(M25))),"",J25-M25)</x:f>
      </x:c>
      <x:c r="O25" s="8"/>
      <x:c r="P25" s="8"/>
      <x:c r="Q25" s="2" t="str">
        <x:f>IF(B25="","",IF(COUNTIFS($B$7:$B$1006,B25,$C$7:$C$1006,C25)&gt;1,"ID duplicado",IF(OR(A25="",C25="",D25="",E25="",F25="",I25="",J25="",K25="",O25=""),"Completar datos",IF(NOT(ISNUMBER(M25)),"Falta costo histórico","Revisar soporte"))))</x:f>
      </x:c>
      <x:c r="R25" s="8" t="n">
        <x:f>IF(B25="",0,IF(AND(D25="pagada",NOT(ISNUMBER(M25))),1,0))</x:f>
        <x:v>0</x:v>
      </x:c>
    </x:row>
    <x:row r="26" ht="22" customHeight="1">
      <x:c r="A26" s="10"/>
      <x:c r="B26" s="8"/>
      <x:c r="C26" s="8"/>
      <x:c r="D26" s="8"/>
      <x:c r="E26" s="8"/>
      <x:c r="F26" s="8"/>
      <x:c r="G26" s="8"/>
      <x:c r="H26" s="8"/>
      <x:c r="I26" s="12"/>
      <x:c r="J26" s="14"/>
      <x:c r="K26" s="14"/>
      <x:c r="L26" s="16" t="str">
        <x:f>IF(B26="","",IF(NOT(AND(ISNUMBER(J26),ISNUMBER(K26))),"",SUM(J26:K26)))</x:f>
      </x:c>
      <x:c r="M26" s="14"/>
      <x:c r="N26" s="16" t="str">
        <x:f>IF(OR(B26="",D26&lt;&gt;"pagada",NOT(ISNUMBER(J26)),NOT(ISNUMBER(M26))),"",J26-M26)</x:f>
      </x:c>
      <x:c r="O26" s="8"/>
      <x:c r="P26" s="8"/>
      <x:c r="Q26" s="2" t="str">
        <x:f>IF(B26="","",IF(COUNTIFS($B$7:$B$1006,B26,$C$7:$C$1006,C26)&gt;1,"ID duplicado",IF(OR(A26="",C26="",D26="",E26="",F26="",I26="",J26="",K26="",O26=""),"Completar datos",IF(NOT(ISNUMBER(M26)),"Falta costo histórico","Revisar soporte"))))</x:f>
      </x:c>
      <x:c r="R26" s="8" t="n">
        <x:f>IF(B26="",0,IF(AND(D26="pagada",NOT(ISNUMBER(M26))),1,0))</x:f>
        <x:v>0</x:v>
      </x:c>
    </x:row>
    <x:row r="27" ht="22" customHeight="1">
      <x:c r="A27" s="10"/>
      <x:c r="B27" s="8"/>
      <x:c r="C27" s="8"/>
      <x:c r="D27" s="8"/>
      <x:c r="E27" s="8"/>
      <x:c r="F27" s="8"/>
      <x:c r="G27" s="8"/>
      <x:c r="H27" s="8"/>
      <x:c r="I27" s="12"/>
      <x:c r="J27" s="14"/>
      <x:c r="K27" s="14"/>
      <x:c r="L27" s="16" t="str">
        <x:f>IF(B27="","",IF(NOT(AND(ISNUMBER(J27),ISNUMBER(K27))),"",SUM(J27:K27)))</x:f>
      </x:c>
      <x:c r="M27" s="14"/>
      <x:c r="N27" s="16" t="str">
        <x:f>IF(OR(B27="",D27&lt;&gt;"pagada",NOT(ISNUMBER(J27)),NOT(ISNUMBER(M27))),"",J27-M27)</x:f>
      </x:c>
      <x:c r="O27" s="8"/>
      <x:c r="P27" s="8"/>
      <x:c r="Q27" s="2" t="str">
        <x:f>IF(B27="","",IF(COUNTIFS($B$7:$B$1006,B27,$C$7:$C$1006,C27)&gt;1,"ID duplicado",IF(OR(A27="",C27="",D27="",E27="",F27="",I27="",J27="",K27="",O27=""),"Completar datos",IF(NOT(ISNUMBER(M27)),"Falta costo histórico","Revisar soporte"))))</x:f>
      </x:c>
      <x:c r="R27" s="8" t="n">
        <x:f>IF(B27="",0,IF(AND(D27="pagada",NOT(ISNUMBER(M27))),1,0))</x:f>
        <x:v>0</x:v>
      </x:c>
    </x:row>
    <x:row r="28" ht="22" customHeight="1">
      <x:c r="A28" s="10"/>
      <x:c r="B28" s="8"/>
      <x:c r="C28" s="8"/>
      <x:c r="D28" s="8"/>
      <x:c r="E28" s="8"/>
      <x:c r="F28" s="8"/>
      <x:c r="G28" s="8"/>
      <x:c r="H28" s="8"/>
      <x:c r="I28" s="12"/>
      <x:c r="J28" s="14"/>
      <x:c r="K28" s="14"/>
      <x:c r="L28" s="16" t="str">
        <x:f>IF(B28="","",IF(NOT(AND(ISNUMBER(J28),ISNUMBER(K28))),"",SUM(J28:K28)))</x:f>
      </x:c>
      <x:c r="M28" s="14"/>
      <x:c r="N28" s="16" t="str">
        <x:f>IF(OR(B28="",D28&lt;&gt;"pagada",NOT(ISNUMBER(J28)),NOT(ISNUMBER(M28))),"",J28-M28)</x:f>
      </x:c>
      <x:c r="O28" s="8"/>
      <x:c r="P28" s="8"/>
      <x:c r="Q28" s="2" t="str">
        <x:f>IF(B28="","",IF(COUNTIFS($B$7:$B$1006,B28,$C$7:$C$1006,C28)&gt;1,"ID duplicado",IF(OR(A28="",C28="",D28="",E28="",F28="",I28="",J28="",K28="",O28=""),"Completar datos",IF(NOT(ISNUMBER(M28)),"Falta costo histórico","Revisar soporte"))))</x:f>
      </x:c>
      <x:c r="R28" s="8" t="n">
        <x:f>IF(B28="",0,IF(AND(D28="pagada",NOT(ISNUMBER(M28))),1,0))</x:f>
        <x:v>0</x:v>
      </x:c>
    </x:row>
    <x:row r="29" ht="22" customHeight="1">
      <x:c r="A29" s="10"/>
      <x:c r="B29" s="8"/>
      <x:c r="C29" s="8"/>
      <x:c r="D29" s="8"/>
      <x:c r="E29" s="8"/>
      <x:c r="F29" s="8"/>
      <x:c r="G29" s="8"/>
      <x:c r="H29" s="8"/>
      <x:c r="I29" s="12"/>
      <x:c r="J29" s="14"/>
      <x:c r="K29" s="14"/>
      <x:c r="L29" s="16" t="str">
        <x:f>IF(B29="","",IF(NOT(AND(ISNUMBER(J29),ISNUMBER(K29))),"",SUM(J29:K29)))</x:f>
      </x:c>
      <x:c r="M29" s="14"/>
      <x:c r="N29" s="16" t="str">
        <x:f>IF(OR(B29="",D29&lt;&gt;"pagada",NOT(ISNUMBER(J29)),NOT(ISNUMBER(M29))),"",J29-M29)</x:f>
      </x:c>
      <x:c r="O29" s="8"/>
      <x:c r="P29" s="8"/>
      <x:c r="Q29" s="2" t="str">
        <x:f>IF(B29="","",IF(COUNTIFS($B$7:$B$1006,B29,$C$7:$C$1006,C29)&gt;1,"ID duplicado",IF(OR(A29="",C29="",D29="",E29="",F29="",I29="",J29="",K29="",O29=""),"Completar datos",IF(NOT(ISNUMBER(M29)),"Falta costo histórico","Revisar soporte"))))</x:f>
      </x:c>
      <x:c r="R29" s="8" t="n">
        <x:f>IF(B29="",0,IF(AND(D29="pagada",NOT(ISNUMBER(M29))),1,0))</x:f>
        <x:v>0</x:v>
      </x:c>
    </x:row>
    <x:row r="30" ht="22" customHeight="1">
      <x:c r="A30" s="10"/>
      <x:c r="B30" s="8"/>
      <x:c r="C30" s="8"/>
      <x:c r="D30" s="8"/>
      <x:c r="E30" s="8"/>
      <x:c r="F30" s="8"/>
      <x:c r="G30" s="8"/>
      <x:c r="H30" s="8"/>
      <x:c r="I30" s="12"/>
      <x:c r="J30" s="14"/>
      <x:c r="K30" s="14"/>
      <x:c r="L30" s="16" t="str">
        <x:f>IF(B30="","",IF(NOT(AND(ISNUMBER(J30),ISNUMBER(K30))),"",SUM(J30:K30)))</x:f>
      </x:c>
      <x:c r="M30" s="14"/>
      <x:c r="N30" s="16" t="str">
        <x:f>IF(OR(B30="",D30&lt;&gt;"pagada",NOT(ISNUMBER(J30)),NOT(ISNUMBER(M30))),"",J30-M30)</x:f>
      </x:c>
      <x:c r="O30" s="8"/>
      <x:c r="P30" s="8"/>
      <x:c r="Q30" s="2" t="str">
        <x:f>IF(B30="","",IF(COUNTIFS($B$7:$B$1006,B30,$C$7:$C$1006,C30)&gt;1,"ID duplicado",IF(OR(A30="",C30="",D30="",E30="",F30="",I30="",J30="",K30="",O30=""),"Completar datos",IF(NOT(ISNUMBER(M30)),"Falta costo histórico","Revisar soporte"))))</x:f>
      </x:c>
      <x:c r="R30" s="8" t="n">
        <x:f>IF(B30="",0,IF(AND(D30="pagada",NOT(ISNUMBER(M30))),1,0))</x:f>
        <x:v>0</x:v>
      </x:c>
    </x:row>
    <x:row r="31" ht="22" customHeight="1">
      <x:c r="A31" s="10"/>
      <x:c r="B31" s="8"/>
      <x:c r="C31" s="8"/>
      <x:c r="D31" s="8"/>
      <x:c r="E31" s="8"/>
      <x:c r="F31" s="8"/>
      <x:c r="G31" s="8"/>
      <x:c r="H31" s="8"/>
      <x:c r="I31" s="12"/>
      <x:c r="J31" s="14"/>
      <x:c r="K31" s="14"/>
      <x:c r="L31" s="16" t="str">
        <x:f>IF(B31="","",IF(NOT(AND(ISNUMBER(J31),ISNUMBER(K31))),"",SUM(J31:K31)))</x:f>
      </x:c>
      <x:c r="M31" s="14"/>
      <x:c r="N31" s="16" t="str">
        <x:f>IF(OR(B31="",D31&lt;&gt;"pagada",NOT(ISNUMBER(J31)),NOT(ISNUMBER(M31))),"",J31-M31)</x:f>
      </x:c>
      <x:c r="O31" s="8"/>
      <x:c r="P31" s="8"/>
      <x:c r="Q31" s="2" t="str">
        <x:f>IF(B31="","",IF(COUNTIFS($B$7:$B$1006,B31,$C$7:$C$1006,C31)&gt;1,"ID duplicado",IF(OR(A31="",C31="",D31="",E31="",F31="",I31="",J31="",K31="",O31=""),"Completar datos",IF(NOT(ISNUMBER(M31)),"Falta costo histórico","Revisar soporte"))))</x:f>
      </x:c>
      <x:c r="R31" s="8" t="n">
        <x:f>IF(B31="",0,IF(AND(D31="pagada",NOT(ISNUMBER(M31))),1,0))</x:f>
        <x:v>0</x:v>
      </x:c>
    </x:row>
    <x:row r="32" ht="22" customHeight="1">
      <x:c r="A32" s="10"/>
      <x:c r="B32" s="8"/>
      <x:c r="C32" s="8"/>
      <x:c r="D32" s="8"/>
      <x:c r="E32" s="8"/>
      <x:c r="F32" s="8"/>
      <x:c r="G32" s="8"/>
      <x:c r="H32" s="8"/>
      <x:c r="I32" s="12"/>
      <x:c r="J32" s="14"/>
      <x:c r="K32" s="14"/>
      <x:c r="L32" s="16" t="str">
        <x:f>IF(B32="","",IF(NOT(AND(ISNUMBER(J32),ISNUMBER(K32))),"",SUM(J32:K32)))</x:f>
      </x:c>
      <x:c r="M32" s="14"/>
      <x:c r="N32" s="16" t="str">
        <x:f>IF(OR(B32="",D32&lt;&gt;"pagada",NOT(ISNUMBER(J32)),NOT(ISNUMBER(M32))),"",J32-M32)</x:f>
      </x:c>
      <x:c r="O32" s="8"/>
      <x:c r="P32" s="8"/>
      <x:c r="Q32" s="2" t="str">
        <x:f>IF(B32="","",IF(COUNTIFS($B$7:$B$1006,B32,$C$7:$C$1006,C32)&gt;1,"ID duplicado",IF(OR(A32="",C32="",D32="",E32="",F32="",I32="",J32="",K32="",O32=""),"Completar datos",IF(NOT(ISNUMBER(M32)),"Falta costo histórico","Revisar soporte"))))</x:f>
      </x:c>
      <x:c r="R32" s="8" t="n">
        <x:f>IF(B32="",0,IF(AND(D32="pagada",NOT(ISNUMBER(M32))),1,0))</x:f>
        <x:v>0</x:v>
      </x:c>
    </x:row>
    <x:row r="33" ht="22" customHeight="1">
      <x:c r="A33" s="10"/>
      <x:c r="B33" s="8"/>
      <x:c r="C33" s="8"/>
      <x:c r="D33" s="8"/>
      <x:c r="E33" s="8"/>
      <x:c r="F33" s="8"/>
      <x:c r="G33" s="8"/>
      <x:c r="H33" s="8"/>
      <x:c r="I33" s="12"/>
      <x:c r="J33" s="14"/>
      <x:c r="K33" s="14"/>
      <x:c r="L33" s="16" t="str">
        <x:f>IF(B33="","",IF(NOT(AND(ISNUMBER(J33),ISNUMBER(K33))),"",SUM(J33:K33)))</x:f>
      </x:c>
      <x:c r="M33" s="14"/>
      <x:c r="N33" s="16" t="str">
        <x:f>IF(OR(B33="",D33&lt;&gt;"pagada",NOT(ISNUMBER(J33)),NOT(ISNUMBER(M33))),"",J33-M33)</x:f>
      </x:c>
      <x:c r="O33" s="8"/>
      <x:c r="P33" s="8"/>
      <x:c r="Q33" s="2" t="str">
        <x:f>IF(B33="","",IF(COUNTIFS($B$7:$B$1006,B33,$C$7:$C$1006,C33)&gt;1,"ID duplicado",IF(OR(A33="",C33="",D33="",E33="",F33="",I33="",J33="",K33="",O33=""),"Completar datos",IF(NOT(ISNUMBER(M33)),"Falta costo histórico","Revisar soporte"))))</x:f>
      </x:c>
      <x:c r="R33" s="8" t="n">
        <x:f>IF(B33="",0,IF(AND(D33="pagada",NOT(ISNUMBER(M33))),1,0))</x:f>
        <x:v>0</x:v>
      </x:c>
    </x:row>
    <x:row r="34" ht="22" customHeight="1">
      <x:c r="A34" s="10"/>
      <x:c r="B34" s="8"/>
      <x:c r="C34" s="8"/>
      <x:c r="D34" s="8"/>
      <x:c r="E34" s="8"/>
      <x:c r="F34" s="8"/>
      <x:c r="G34" s="8"/>
      <x:c r="H34" s="8"/>
      <x:c r="I34" s="12"/>
      <x:c r="J34" s="14"/>
      <x:c r="K34" s="14"/>
      <x:c r="L34" s="16" t="str">
        <x:f>IF(B34="","",IF(NOT(AND(ISNUMBER(J34),ISNUMBER(K34))),"",SUM(J34:K34)))</x:f>
      </x:c>
      <x:c r="M34" s="14"/>
      <x:c r="N34" s="16" t="str">
        <x:f>IF(OR(B34="",D34&lt;&gt;"pagada",NOT(ISNUMBER(J34)),NOT(ISNUMBER(M34))),"",J34-M34)</x:f>
      </x:c>
      <x:c r="O34" s="8"/>
      <x:c r="P34" s="8"/>
      <x:c r="Q34" s="2" t="str">
        <x:f>IF(B34="","",IF(COUNTIFS($B$7:$B$1006,B34,$C$7:$C$1006,C34)&gt;1,"ID duplicado",IF(OR(A34="",C34="",D34="",E34="",F34="",I34="",J34="",K34="",O34=""),"Completar datos",IF(NOT(ISNUMBER(M34)),"Falta costo histórico","Revisar soporte"))))</x:f>
      </x:c>
      <x:c r="R34" s="8" t="n">
        <x:f>IF(B34="",0,IF(AND(D34="pagada",NOT(ISNUMBER(M34))),1,0))</x:f>
        <x:v>0</x:v>
      </x:c>
    </x:row>
    <x:row r="35" ht="22" customHeight="1">
      <x:c r="A35" s="10"/>
      <x:c r="B35" s="8"/>
      <x:c r="C35" s="8"/>
      <x:c r="D35" s="8"/>
      <x:c r="E35" s="8"/>
      <x:c r="F35" s="8"/>
      <x:c r="G35" s="8"/>
      <x:c r="H35" s="8"/>
      <x:c r="I35" s="12"/>
      <x:c r="J35" s="14"/>
      <x:c r="K35" s="14"/>
      <x:c r="L35" s="16" t="str">
        <x:f>IF(B35="","",IF(NOT(AND(ISNUMBER(J35),ISNUMBER(K35))),"",SUM(J35:K35)))</x:f>
      </x:c>
      <x:c r="M35" s="14"/>
      <x:c r="N35" s="16" t="str">
        <x:f>IF(OR(B35="",D35&lt;&gt;"pagada",NOT(ISNUMBER(J35)),NOT(ISNUMBER(M35))),"",J35-M35)</x:f>
      </x:c>
      <x:c r="O35" s="8"/>
      <x:c r="P35" s="8"/>
      <x:c r="Q35" s="2" t="str">
        <x:f>IF(B35="","",IF(COUNTIFS($B$7:$B$1006,B35,$C$7:$C$1006,C35)&gt;1,"ID duplicado",IF(OR(A35="",C35="",D35="",E35="",F35="",I35="",J35="",K35="",O35=""),"Completar datos",IF(NOT(ISNUMBER(M35)),"Falta costo histórico","Revisar soporte"))))</x:f>
      </x:c>
      <x:c r="R35" s="8" t="n">
        <x:f>IF(B35="",0,IF(AND(D35="pagada",NOT(ISNUMBER(M35))),1,0))</x:f>
        <x:v>0</x:v>
      </x:c>
    </x:row>
    <x:row r="36" ht="22" customHeight="1">
      <x:c r="A36" s="10"/>
      <x:c r="B36" s="8"/>
      <x:c r="C36" s="8"/>
      <x:c r="D36" s="8"/>
      <x:c r="E36" s="8"/>
      <x:c r="F36" s="8"/>
      <x:c r="G36" s="8"/>
      <x:c r="H36" s="8"/>
      <x:c r="I36" s="12"/>
      <x:c r="J36" s="14"/>
      <x:c r="K36" s="14"/>
      <x:c r="L36" s="16" t="str">
        <x:f>IF(B36="","",IF(NOT(AND(ISNUMBER(J36),ISNUMBER(K36))),"",SUM(J36:K36)))</x:f>
      </x:c>
      <x:c r="M36" s="14"/>
      <x:c r="N36" s="16" t="str">
        <x:f>IF(OR(B36="",D36&lt;&gt;"pagada",NOT(ISNUMBER(J36)),NOT(ISNUMBER(M36))),"",J36-M36)</x:f>
      </x:c>
      <x:c r="O36" s="8"/>
      <x:c r="P36" s="8"/>
      <x:c r="Q36" s="2" t="str">
        <x:f>IF(B36="","",IF(COUNTIFS($B$7:$B$1006,B36,$C$7:$C$1006,C36)&gt;1,"ID duplicado",IF(OR(A36="",C36="",D36="",E36="",F36="",I36="",J36="",K36="",O36=""),"Completar datos",IF(NOT(ISNUMBER(M36)),"Falta costo histórico","Revisar soporte"))))</x:f>
      </x:c>
      <x:c r="R36" s="8" t="n">
        <x:f>IF(B36="",0,IF(AND(D36="pagada",NOT(ISNUMBER(M36))),1,0))</x:f>
        <x:v>0</x:v>
      </x:c>
    </x:row>
    <x:row r="37" ht="22" customHeight="1">
      <x:c r="A37" s="10"/>
      <x:c r="B37" s="8"/>
      <x:c r="C37" s="8"/>
      <x:c r="D37" s="8"/>
      <x:c r="E37" s="8"/>
      <x:c r="F37" s="8"/>
      <x:c r="G37" s="8"/>
      <x:c r="H37" s="8"/>
      <x:c r="I37" s="12"/>
      <x:c r="J37" s="14"/>
      <x:c r="K37" s="14"/>
      <x:c r="L37" s="16" t="str">
        <x:f>IF(B37="","",IF(NOT(AND(ISNUMBER(J37),ISNUMBER(K37))),"",SUM(J37:K37)))</x:f>
      </x:c>
      <x:c r="M37" s="14"/>
      <x:c r="N37" s="16" t="str">
        <x:f>IF(OR(B37="",D37&lt;&gt;"pagada",NOT(ISNUMBER(J37)),NOT(ISNUMBER(M37))),"",J37-M37)</x:f>
      </x:c>
      <x:c r="O37" s="8"/>
      <x:c r="P37" s="8"/>
      <x:c r="Q37" s="2" t="str">
        <x:f>IF(B37="","",IF(COUNTIFS($B$7:$B$1006,B37,$C$7:$C$1006,C37)&gt;1,"ID duplicado",IF(OR(A37="",C37="",D37="",E37="",F37="",I37="",J37="",K37="",O37=""),"Completar datos",IF(NOT(ISNUMBER(M37)),"Falta costo histórico","Revisar soporte"))))</x:f>
      </x:c>
      <x:c r="R37" s="8" t="n">
        <x:f>IF(B37="",0,IF(AND(D37="pagada",NOT(ISNUMBER(M37))),1,0))</x:f>
        <x:v>0</x:v>
      </x:c>
    </x:row>
    <x:row r="38" ht="22" customHeight="1">
      <x:c r="A38" s="10"/>
      <x:c r="B38" s="8"/>
      <x:c r="C38" s="8"/>
      <x:c r="D38" s="8"/>
      <x:c r="E38" s="8"/>
      <x:c r="F38" s="8"/>
      <x:c r="G38" s="8"/>
      <x:c r="H38" s="8"/>
      <x:c r="I38" s="12"/>
      <x:c r="J38" s="14"/>
      <x:c r="K38" s="14"/>
      <x:c r="L38" s="16" t="str">
        <x:f>IF(B38="","",IF(NOT(AND(ISNUMBER(J38),ISNUMBER(K38))),"",SUM(J38:K38)))</x:f>
      </x:c>
      <x:c r="M38" s="14"/>
      <x:c r="N38" s="16" t="str">
        <x:f>IF(OR(B38="",D38&lt;&gt;"pagada",NOT(ISNUMBER(J38)),NOT(ISNUMBER(M38))),"",J38-M38)</x:f>
      </x:c>
      <x:c r="O38" s="8"/>
      <x:c r="P38" s="8"/>
      <x:c r="Q38" s="2" t="str">
        <x:f>IF(B38="","",IF(COUNTIFS($B$7:$B$1006,B38,$C$7:$C$1006,C38)&gt;1,"ID duplicado",IF(OR(A38="",C38="",D38="",E38="",F38="",I38="",J38="",K38="",O38=""),"Completar datos",IF(NOT(ISNUMBER(M38)),"Falta costo histórico","Revisar soporte"))))</x:f>
      </x:c>
      <x:c r="R38" s="8" t="n">
        <x:f>IF(B38="",0,IF(AND(D38="pagada",NOT(ISNUMBER(M38))),1,0))</x:f>
        <x:v>0</x:v>
      </x:c>
    </x:row>
    <x:row r="39" ht="22" customHeight="1">
      <x:c r="A39" s="10"/>
      <x:c r="B39" s="8"/>
      <x:c r="C39" s="8"/>
      <x:c r="D39" s="8"/>
      <x:c r="E39" s="8"/>
      <x:c r="F39" s="8"/>
      <x:c r="G39" s="8"/>
      <x:c r="H39" s="8"/>
      <x:c r="I39" s="12"/>
      <x:c r="J39" s="14"/>
      <x:c r="K39" s="14"/>
      <x:c r="L39" s="16" t="str">
        <x:f>IF(B39="","",IF(NOT(AND(ISNUMBER(J39),ISNUMBER(K39))),"",SUM(J39:K39)))</x:f>
      </x:c>
      <x:c r="M39" s="14"/>
      <x:c r="N39" s="16" t="str">
        <x:f>IF(OR(B39="",D39&lt;&gt;"pagada",NOT(ISNUMBER(J39)),NOT(ISNUMBER(M39))),"",J39-M39)</x:f>
      </x:c>
      <x:c r="O39" s="8"/>
      <x:c r="P39" s="8"/>
      <x:c r="Q39" s="2" t="str">
        <x:f>IF(B39="","",IF(COUNTIFS($B$7:$B$1006,B39,$C$7:$C$1006,C39)&gt;1,"ID duplicado",IF(OR(A39="",C39="",D39="",E39="",F39="",I39="",J39="",K39="",O39=""),"Completar datos",IF(NOT(ISNUMBER(M39)),"Falta costo histórico","Revisar soporte"))))</x:f>
      </x:c>
      <x:c r="R39" s="8" t="n">
        <x:f>IF(B39="",0,IF(AND(D39="pagada",NOT(ISNUMBER(M39))),1,0))</x:f>
        <x:v>0</x:v>
      </x:c>
    </x:row>
    <x:row r="40" ht="22" customHeight="1">
      <x:c r="A40" s="10"/>
      <x:c r="B40" s="8"/>
      <x:c r="C40" s="8"/>
      <x:c r="D40" s="8"/>
      <x:c r="E40" s="8"/>
      <x:c r="F40" s="8"/>
      <x:c r="G40" s="8"/>
      <x:c r="H40" s="8"/>
      <x:c r="I40" s="12"/>
      <x:c r="J40" s="14"/>
      <x:c r="K40" s="14"/>
      <x:c r="L40" s="16" t="str">
        <x:f>IF(B40="","",IF(NOT(AND(ISNUMBER(J40),ISNUMBER(K40))),"",SUM(J40:K40)))</x:f>
      </x:c>
      <x:c r="M40" s="14"/>
      <x:c r="N40" s="16" t="str">
        <x:f>IF(OR(B40="",D40&lt;&gt;"pagada",NOT(ISNUMBER(J40)),NOT(ISNUMBER(M40))),"",J40-M40)</x:f>
      </x:c>
      <x:c r="O40" s="8"/>
      <x:c r="P40" s="8"/>
      <x:c r="Q40" s="2" t="str">
        <x:f>IF(B40="","",IF(COUNTIFS($B$7:$B$1006,B40,$C$7:$C$1006,C40)&gt;1,"ID duplicado",IF(OR(A40="",C40="",D40="",E40="",F40="",I40="",J40="",K40="",O40=""),"Completar datos",IF(NOT(ISNUMBER(M40)),"Falta costo histórico","Revisar soporte"))))</x:f>
      </x:c>
      <x:c r="R40" s="8" t="n">
        <x:f>IF(B40="",0,IF(AND(D40="pagada",NOT(ISNUMBER(M40))),1,0))</x:f>
        <x:v>0</x:v>
      </x:c>
    </x:row>
    <x:row r="41" ht="22" customHeight="1">
      <x:c r="A41" s="11"/>
      <x:c r="B41" s="9"/>
      <x:c r="C41" s="9"/>
      <x:c r="D41" s="9"/>
      <x:c r="E41" s="9"/>
      <x:c r="F41" s="9"/>
      <x:c r="G41" s="9"/>
      <x:c r="H41" s="9"/>
      <x:c r="I41" s="13"/>
      <x:c r="J41" s="15"/>
      <x:c r="K41" s="15"/>
      <x:c r="L41" s="17" t="str">
        <x:f>IF(B41="","",IF(NOT(AND(ISNUMBER(J41),ISNUMBER(K41))),"",SUM(J41:K41)))</x:f>
      </x:c>
      <x:c r="M41" s="15"/>
      <x:c r="N41" s="17" t="str">
        <x:f>IF(OR(B41="",D41&lt;&gt;"pagada",NOT(ISNUMBER(J41)),NOT(ISNUMBER(M41))),"",J41-M41)</x:f>
      </x:c>
      <x:c r="O41" s="9"/>
      <x:c r="P41" s="9"/>
      <x:c r="Q41" s="1" t="str">
        <x:f>IF(B41="","",IF(COUNTIFS($B$7:$B$1006,B41,$C$7:$C$1006,C41)&gt;1,"ID duplicado",IF(OR(A41="",C41="",D41="",E41="",F41="",I41="",J41="",K41="",O41=""),"Completar datos",IF(NOT(ISNUMBER(M41)),"Falta costo histórico","Revisar soporte"))))</x:f>
      </x:c>
      <x:c r="R41" s="9" t="n">
        <x:f>IF(B41="",0,IF(AND(D41="pagada",NOT(ISNUMBER(M41))),1,0))</x:f>
        <x:v>0</x:v>
      </x:c>
    </x:row>
    <x:row r="42" ht="22" customHeight="1">
      <x:c r="A42" s="11"/>
      <x:c r="B42" s="9"/>
      <x:c r="C42" s="9"/>
      <x:c r="D42" s="9"/>
      <x:c r="E42" s="9"/>
      <x:c r="F42" s="9"/>
      <x:c r="G42" s="9"/>
      <x:c r="H42" s="9"/>
      <x:c r="I42" s="13"/>
      <x:c r="J42" s="15"/>
      <x:c r="K42" s="15"/>
      <x:c r="L42" s="17" t="str">
        <x:f>IF(B42="","",IF(NOT(AND(ISNUMBER(J42),ISNUMBER(K42))),"",SUM(J42:K42)))</x:f>
      </x:c>
      <x:c r="M42" s="15"/>
      <x:c r="N42" s="17" t="str">
        <x:f>IF(OR(B42="",D42&lt;&gt;"pagada",NOT(ISNUMBER(J42)),NOT(ISNUMBER(M42))),"",J42-M42)</x:f>
      </x:c>
      <x:c r="O42" s="9"/>
      <x:c r="P42" s="9"/>
      <x:c r="Q42" s="1" t="str">
        <x:f>IF(B42="","",IF(COUNTIFS($B$7:$B$1006,B42,$C$7:$C$1006,C42)&gt;1,"ID duplicado",IF(OR(A42="",C42="",D42="",E42="",F42="",I42="",J42="",K42="",O42=""),"Completar datos",IF(NOT(ISNUMBER(M42)),"Falta costo histórico","Revisar soporte"))))</x:f>
      </x:c>
      <x:c r="R42" s="9" t="n">
        <x:f>IF(B42="",0,IF(AND(D42="pagada",NOT(ISNUMBER(M42))),1,0))</x:f>
        <x:v>0</x:v>
      </x:c>
    </x:row>
    <x:row r="43" ht="22" customHeight="1">
      <x:c r="A43" s="11"/>
      <x:c r="B43" s="9"/>
      <x:c r="C43" s="9"/>
      <x:c r="D43" s="9"/>
      <x:c r="E43" s="9"/>
      <x:c r="F43" s="9"/>
      <x:c r="G43" s="9"/>
      <x:c r="H43" s="9"/>
      <x:c r="I43" s="13"/>
      <x:c r="J43" s="15"/>
      <x:c r="K43" s="15"/>
      <x:c r="L43" s="17" t="str">
        <x:f>IF(B43="","",IF(NOT(AND(ISNUMBER(J43),ISNUMBER(K43))),"",SUM(J43:K43)))</x:f>
      </x:c>
      <x:c r="M43" s="15"/>
      <x:c r="N43" s="17" t="str">
        <x:f>IF(OR(B43="",D43&lt;&gt;"pagada",NOT(ISNUMBER(J43)),NOT(ISNUMBER(M43))),"",J43-M43)</x:f>
      </x:c>
      <x:c r="O43" s="9"/>
      <x:c r="P43" s="9"/>
      <x:c r="Q43" s="1" t="str">
        <x:f>IF(B43="","",IF(COUNTIFS($B$7:$B$1006,B43,$C$7:$C$1006,C43)&gt;1,"ID duplicado",IF(OR(A43="",C43="",D43="",E43="",F43="",I43="",J43="",K43="",O43=""),"Completar datos",IF(NOT(ISNUMBER(M43)),"Falta costo histórico","Revisar soporte"))))</x:f>
      </x:c>
      <x:c r="R43" s="9" t="n">
        <x:f>IF(B43="",0,IF(AND(D43="pagada",NOT(ISNUMBER(M43))),1,0))</x:f>
        <x:v>0</x:v>
      </x:c>
    </x:row>
    <x:row r="44" ht="22" customHeight="1">
      <x:c r="A44" s="11"/>
      <x:c r="B44" s="9"/>
      <x:c r="C44" s="9"/>
      <x:c r="D44" s="9"/>
      <x:c r="E44" s="9"/>
      <x:c r="F44" s="9"/>
      <x:c r="G44" s="9"/>
      <x:c r="H44" s="9"/>
      <x:c r="I44" s="13"/>
      <x:c r="J44" s="15"/>
      <x:c r="K44" s="15"/>
      <x:c r="L44" s="17" t="str">
        <x:f>IF(B44="","",IF(NOT(AND(ISNUMBER(J44),ISNUMBER(K44))),"",SUM(J44:K44)))</x:f>
      </x:c>
      <x:c r="M44" s="15"/>
      <x:c r="N44" s="17" t="str">
        <x:f>IF(OR(B44="",D44&lt;&gt;"pagada",NOT(ISNUMBER(J44)),NOT(ISNUMBER(M44))),"",J44-M44)</x:f>
      </x:c>
      <x:c r="O44" s="9"/>
      <x:c r="P44" s="9"/>
      <x:c r="Q44" s="1" t="str">
        <x:f>IF(B44="","",IF(COUNTIFS($B$7:$B$1006,B44,$C$7:$C$1006,C44)&gt;1,"ID duplicado",IF(OR(A44="",C44="",D44="",E44="",F44="",I44="",J44="",K44="",O44=""),"Completar datos",IF(NOT(ISNUMBER(M44)),"Falta costo histórico","Revisar soporte"))))</x:f>
      </x:c>
      <x:c r="R44" s="9" t="n">
        <x:f>IF(B44="",0,IF(AND(D44="pagada",NOT(ISNUMBER(M44))),1,0))</x:f>
        <x:v>0</x:v>
      </x:c>
    </x:row>
    <x:row r="45" ht="22" customHeight="1">
      <x:c r="A45" s="11"/>
      <x:c r="B45" s="9"/>
      <x:c r="C45" s="9"/>
      <x:c r="D45" s="9"/>
      <x:c r="E45" s="9"/>
      <x:c r="F45" s="9"/>
      <x:c r="G45" s="9"/>
      <x:c r="H45" s="9"/>
      <x:c r="I45" s="13"/>
      <x:c r="J45" s="15"/>
      <x:c r="K45" s="15"/>
      <x:c r="L45" s="17" t="str">
        <x:f>IF(B45="","",IF(NOT(AND(ISNUMBER(J45),ISNUMBER(K45))),"",SUM(J45:K45)))</x:f>
      </x:c>
      <x:c r="M45" s="15"/>
      <x:c r="N45" s="17" t="str">
        <x:f>IF(OR(B45="",D45&lt;&gt;"pagada",NOT(ISNUMBER(J45)),NOT(ISNUMBER(M45))),"",J45-M45)</x:f>
      </x:c>
      <x:c r="O45" s="9"/>
      <x:c r="P45" s="9"/>
      <x:c r="Q45" s="1" t="str">
        <x:f>IF(B45="","",IF(COUNTIFS($B$7:$B$1006,B45,$C$7:$C$1006,C45)&gt;1,"ID duplicado",IF(OR(A45="",C45="",D45="",E45="",F45="",I45="",J45="",K45="",O45=""),"Completar datos",IF(NOT(ISNUMBER(M45)),"Falta costo histórico","Revisar soporte"))))</x:f>
      </x:c>
      <x:c r="R45" s="9" t="n">
        <x:f>IF(B45="",0,IF(AND(D45="pagada",NOT(ISNUMBER(M45))),1,0))</x:f>
        <x:v>0</x:v>
      </x:c>
    </x:row>
    <x:row r="46" ht="22" customHeight="1">
      <x:c r="A46" s="11"/>
      <x:c r="B46" s="9"/>
      <x:c r="C46" s="9"/>
      <x:c r="D46" s="9"/>
      <x:c r="E46" s="9"/>
      <x:c r="F46" s="9"/>
      <x:c r="G46" s="9"/>
      <x:c r="H46" s="9"/>
      <x:c r="I46" s="13"/>
      <x:c r="J46" s="15"/>
      <x:c r="K46" s="15"/>
      <x:c r="L46" s="17" t="str">
        <x:f>IF(B46="","",IF(NOT(AND(ISNUMBER(J46),ISNUMBER(K46))),"",SUM(J46:K46)))</x:f>
      </x:c>
      <x:c r="M46" s="15"/>
      <x:c r="N46" s="17" t="str">
        <x:f>IF(OR(B46="",D46&lt;&gt;"pagada",NOT(ISNUMBER(J46)),NOT(ISNUMBER(M46))),"",J46-M46)</x:f>
      </x:c>
      <x:c r="O46" s="9"/>
      <x:c r="P46" s="9"/>
      <x:c r="Q46" s="1" t="str">
        <x:f>IF(B46="","",IF(COUNTIFS($B$7:$B$1006,B46,$C$7:$C$1006,C46)&gt;1,"ID duplicado",IF(OR(A46="",C46="",D46="",E46="",F46="",I46="",J46="",K46="",O46=""),"Completar datos",IF(NOT(ISNUMBER(M46)),"Falta costo histórico","Revisar soporte"))))</x:f>
      </x:c>
      <x:c r="R46" s="9" t="n">
        <x:f>IF(B46="",0,IF(AND(D46="pagada",NOT(ISNUMBER(M46))),1,0))</x:f>
        <x:v>0</x:v>
      </x:c>
    </x:row>
    <x:row r="47" ht="22" customHeight="1">
      <x:c r="A47" s="11"/>
      <x:c r="B47" s="9"/>
      <x:c r="C47" s="9"/>
      <x:c r="D47" s="9"/>
      <x:c r="E47" s="9"/>
      <x:c r="F47" s="9"/>
      <x:c r="G47" s="9"/>
      <x:c r="H47" s="9"/>
      <x:c r="I47" s="13"/>
      <x:c r="J47" s="15"/>
      <x:c r="K47" s="15"/>
      <x:c r="L47" s="17" t="str">
        <x:f>IF(B47="","",IF(NOT(AND(ISNUMBER(J47),ISNUMBER(K47))),"",SUM(J47:K47)))</x:f>
      </x:c>
      <x:c r="M47" s="15"/>
      <x:c r="N47" s="17" t="str">
        <x:f>IF(OR(B47="",D47&lt;&gt;"pagada",NOT(ISNUMBER(J47)),NOT(ISNUMBER(M47))),"",J47-M47)</x:f>
      </x:c>
      <x:c r="O47" s="9"/>
      <x:c r="P47" s="9"/>
      <x:c r="Q47" s="1" t="str">
        <x:f>IF(B47="","",IF(COUNTIFS($B$7:$B$1006,B47,$C$7:$C$1006,C47)&gt;1,"ID duplicado",IF(OR(A47="",C47="",D47="",E47="",F47="",I47="",J47="",K47="",O47=""),"Completar datos",IF(NOT(ISNUMBER(M47)),"Falta costo histórico","Revisar soporte"))))</x:f>
      </x:c>
      <x:c r="R47" s="9" t="n">
        <x:f>IF(B47="",0,IF(AND(D47="pagada",NOT(ISNUMBER(M47))),1,0))</x:f>
        <x:v>0</x:v>
      </x:c>
    </x:row>
    <x:row r="48" ht="22" customHeight="1">
      <x:c r="A48" s="11"/>
      <x:c r="B48" s="9"/>
      <x:c r="C48" s="9"/>
      <x:c r="D48" s="9"/>
      <x:c r="E48" s="9"/>
      <x:c r="F48" s="9"/>
      <x:c r="G48" s="9"/>
      <x:c r="H48" s="9"/>
      <x:c r="I48" s="13"/>
      <x:c r="J48" s="15"/>
      <x:c r="K48" s="15"/>
      <x:c r="L48" s="17" t="str">
        <x:f>IF(B48="","",IF(NOT(AND(ISNUMBER(J48),ISNUMBER(K48))),"",SUM(J48:K48)))</x:f>
      </x:c>
      <x:c r="M48" s="15"/>
      <x:c r="N48" s="17" t="str">
        <x:f>IF(OR(B48="",D48&lt;&gt;"pagada",NOT(ISNUMBER(J48)),NOT(ISNUMBER(M48))),"",J48-M48)</x:f>
      </x:c>
      <x:c r="O48" s="9"/>
      <x:c r="P48" s="9"/>
      <x:c r="Q48" s="1" t="str">
        <x:f>IF(B48="","",IF(COUNTIFS($B$7:$B$1006,B48,$C$7:$C$1006,C48)&gt;1,"ID duplicado",IF(OR(A48="",C48="",D48="",E48="",F48="",I48="",J48="",K48="",O48=""),"Completar datos",IF(NOT(ISNUMBER(M48)),"Falta costo histórico","Revisar soporte"))))</x:f>
      </x:c>
      <x:c r="R48" s="9" t="n">
        <x:f>IF(B48="",0,IF(AND(D48="pagada",NOT(ISNUMBER(M48))),1,0))</x:f>
        <x:v>0</x:v>
      </x:c>
    </x:row>
    <x:row r="49" ht="22" customHeight="1">
      <x:c r="A49" s="11"/>
      <x:c r="B49" s="9"/>
      <x:c r="C49" s="9"/>
      <x:c r="D49" s="9"/>
      <x:c r="E49" s="9"/>
      <x:c r="F49" s="9"/>
      <x:c r="G49" s="9"/>
      <x:c r="H49" s="9"/>
      <x:c r="I49" s="13"/>
      <x:c r="J49" s="15"/>
      <x:c r="K49" s="15"/>
      <x:c r="L49" s="17" t="str">
        <x:f>IF(B49="","",IF(NOT(AND(ISNUMBER(J49),ISNUMBER(K49))),"",SUM(J49:K49)))</x:f>
      </x:c>
      <x:c r="M49" s="15"/>
      <x:c r="N49" s="17" t="str">
        <x:f>IF(OR(B49="",D49&lt;&gt;"pagada",NOT(ISNUMBER(J49)),NOT(ISNUMBER(M49))),"",J49-M49)</x:f>
      </x:c>
      <x:c r="O49" s="9"/>
      <x:c r="P49" s="9"/>
      <x:c r="Q49" s="1" t="str">
        <x:f>IF(B49="","",IF(COUNTIFS($B$7:$B$1006,B49,$C$7:$C$1006,C49)&gt;1,"ID duplicado",IF(OR(A49="",C49="",D49="",E49="",F49="",I49="",J49="",K49="",O49=""),"Completar datos",IF(NOT(ISNUMBER(M49)),"Falta costo histórico","Revisar soporte"))))</x:f>
      </x:c>
      <x:c r="R49" s="9" t="n">
        <x:f>IF(B49="",0,IF(AND(D49="pagada",NOT(ISNUMBER(M49))),1,0))</x:f>
        <x:v>0</x:v>
      </x:c>
    </x:row>
    <x:row r="50" ht="22" customHeight="1">
      <x:c r="A50" s="11"/>
      <x:c r="B50" s="9"/>
      <x:c r="C50" s="9"/>
      <x:c r="D50" s="9"/>
      <x:c r="E50" s="9"/>
      <x:c r="F50" s="9"/>
      <x:c r="G50" s="9"/>
      <x:c r="H50" s="9"/>
      <x:c r="I50" s="13"/>
      <x:c r="J50" s="15"/>
      <x:c r="K50" s="15"/>
      <x:c r="L50" s="17" t="str">
        <x:f>IF(B50="","",IF(NOT(AND(ISNUMBER(J50),ISNUMBER(K50))),"",SUM(J50:K50)))</x:f>
      </x:c>
      <x:c r="M50" s="15"/>
      <x:c r="N50" s="17" t="str">
        <x:f>IF(OR(B50="",D50&lt;&gt;"pagada",NOT(ISNUMBER(J50)),NOT(ISNUMBER(M50))),"",J50-M50)</x:f>
      </x:c>
      <x:c r="O50" s="9"/>
      <x:c r="P50" s="9"/>
      <x:c r="Q50" s="1" t="str">
        <x:f>IF(B50="","",IF(COUNTIFS($B$7:$B$1006,B50,$C$7:$C$1006,C50)&gt;1,"ID duplicado",IF(OR(A50="",C50="",D50="",E50="",F50="",I50="",J50="",K50="",O50=""),"Completar datos",IF(NOT(ISNUMBER(M50)),"Falta costo histórico","Revisar soporte"))))</x:f>
      </x:c>
      <x:c r="R50" s="9" t="n">
        <x:f>IF(B50="",0,IF(AND(D50="pagada",NOT(ISNUMBER(M50))),1,0))</x:f>
        <x:v>0</x:v>
      </x:c>
    </x:row>
    <x:row r="51" ht="22" customHeight="1">
      <x:c r="A51" s="11"/>
      <x:c r="B51" s="9"/>
      <x:c r="C51" s="9"/>
      <x:c r="D51" s="9"/>
      <x:c r="E51" s="9"/>
      <x:c r="F51" s="9"/>
      <x:c r="G51" s="9"/>
      <x:c r="H51" s="9"/>
      <x:c r="I51" s="13"/>
      <x:c r="J51" s="15"/>
      <x:c r="K51" s="15"/>
      <x:c r="L51" s="17" t="str">
        <x:f>IF(B51="","",IF(NOT(AND(ISNUMBER(J51),ISNUMBER(K51))),"",SUM(J51:K51)))</x:f>
      </x:c>
      <x:c r="M51" s="15"/>
      <x:c r="N51" s="17" t="str">
        <x:f>IF(OR(B51="",D51&lt;&gt;"pagada",NOT(ISNUMBER(J51)),NOT(ISNUMBER(M51))),"",J51-M51)</x:f>
      </x:c>
      <x:c r="O51" s="9"/>
      <x:c r="P51" s="9"/>
      <x:c r="Q51" s="1" t="str">
        <x:f>IF(B51="","",IF(COUNTIFS($B$7:$B$1006,B51,$C$7:$C$1006,C51)&gt;1,"ID duplicado",IF(OR(A51="",C51="",D51="",E51="",F51="",I51="",J51="",K51="",O51=""),"Completar datos",IF(NOT(ISNUMBER(M51)),"Falta costo histórico","Revisar soporte"))))</x:f>
      </x:c>
      <x:c r="R51" s="9" t="n">
        <x:f>IF(B51="",0,IF(AND(D51="pagada",NOT(ISNUMBER(M51))),1,0))</x:f>
        <x:v>0</x:v>
      </x:c>
    </x:row>
    <x:row r="52" ht="22" customHeight="1">
      <x:c r="A52" s="11"/>
      <x:c r="B52" s="9"/>
      <x:c r="C52" s="9"/>
      <x:c r="D52" s="9"/>
      <x:c r="E52" s="9"/>
      <x:c r="F52" s="9"/>
      <x:c r="G52" s="9"/>
      <x:c r="H52" s="9"/>
      <x:c r="I52" s="13"/>
      <x:c r="J52" s="15"/>
      <x:c r="K52" s="15"/>
      <x:c r="L52" s="17" t="str">
        <x:f>IF(B52="","",IF(NOT(AND(ISNUMBER(J52),ISNUMBER(K52))),"",SUM(J52:K52)))</x:f>
      </x:c>
      <x:c r="M52" s="15"/>
      <x:c r="N52" s="17" t="str">
        <x:f>IF(OR(B52="",D52&lt;&gt;"pagada",NOT(ISNUMBER(J52)),NOT(ISNUMBER(M52))),"",J52-M52)</x:f>
      </x:c>
      <x:c r="O52" s="9"/>
      <x:c r="P52" s="9"/>
      <x:c r="Q52" s="1" t="str">
        <x:f>IF(B52="","",IF(COUNTIFS($B$7:$B$1006,B52,$C$7:$C$1006,C52)&gt;1,"ID duplicado",IF(OR(A52="",C52="",D52="",E52="",F52="",I52="",J52="",K52="",O52=""),"Completar datos",IF(NOT(ISNUMBER(M52)),"Falta costo histórico","Revisar soporte"))))</x:f>
      </x:c>
      <x:c r="R52" s="9" t="n">
        <x:f>IF(B52="",0,IF(AND(D52="pagada",NOT(ISNUMBER(M52))),1,0))</x:f>
        <x:v>0</x:v>
      </x:c>
    </x:row>
    <x:row r="53" ht="22" customHeight="1">
      <x:c r="A53" s="11"/>
      <x:c r="B53" s="9"/>
      <x:c r="C53" s="9"/>
      <x:c r="D53" s="9"/>
      <x:c r="E53" s="9"/>
      <x:c r="F53" s="9"/>
      <x:c r="G53" s="9"/>
      <x:c r="H53" s="9"/>
      <x:c r="I53" s="13"/>
      <x:c r="J53" s="15"/>
      <x:c r="K53" s="15"/>
      <x:c r="L53" s="17" t="str">
        <x:f>IF(B53="","",IF(NOT(AND(ISNUMBER(J53),ISNUMBER(K53))),"",SUM(J53:K53)))</x:f>
      </x:c>
      <x:c r="M53" s="15"/>
      <x:c r="N53" s="17" t="str">
        <x:f>IF(OR(B53="",D53&lt;&gt;"pagada",NOT(ISNUMBER(J53)),NOT(ISNUMBER(M53))),"",J53-M53)</x:f>
      </x:c>
      <x:c r="O53" s="9"/>
      <x:c r="P53" s="9"/>
      <x:c r="Q53" s="1" t="str">
        <x:f>IF(B53="","",IF(COUNTIFS($B$7:$B$1006,B53,$C$7:$C$1006,C53)&gt;1,"ID duplicado",IF(OR(A53="",C53="",D53="",E53="",F53="",I53="",J53="",K53="",O53=""),"Completar datos",IF(NOT(ISNUMBER(M53)),"Falta costo histórico","Revisar soporte"))))</x:f>
      </x:c>
      <x:c r="R53" s="9" t="n">
        <x:f>IF(B53="",0,IF(AND(D53="pagada",NOT(ISNUMBER(M53))),1,0))</x:f>
        <x:v>0</x:v>
      </x:c>
    </x:row>
    <x:row r="54" ht="22" customHeight="1">
      <x:c r="A54" s="11"/>
      <x:c r="B54" s="9"/>
      <x:c r="C54" s="9"/>
      <x:c r="D54" s="9"/>
      <x:c r="E54" s="9"/>
      <x:c r="F54" s="9"/>
      <x:c r="G54" s="9"/>
      <x:c r="H54" s="9"/>
      <x:c r="I54" s="13"/>
      <x:c r="J54" s="15"/>
      <x:c r="K54" s="15"/>
      <x:c r="L54" s="17" t="str">
        <x:f>IF(B54="","",IF(NOT(AND(ISNUMBER(J54),ISNUMBER(K54))),"",SUM(J54:K54)))</x:f>
      </x:c>
      <x:c r="M54" s="15"/>
      <x:c r="N54" s="17" t="str">
        <x:f>IF(OR(B54="",D54&lt;&gt;"pagada",NOT(ISNUMBER(J54)),NOT(ISNUMBER(M54))),"",J54-M54)</x:f>
      </x:c>
      <x:c r="O54" s="9"/>
      <x:c r="P54" s="9"/>
      <x:c r="Q54" s="1" t="str">
        <x:f>IF(B54="","",IF(COUNTIFS($B$7:$B$1006,B54,$C$7:$C$1006,C54)&gt;1,"ID duplicado",IF(OR(A54="",C54="",D54="",E54="",F54="",I54="",J54="",K54="",O54=""),"Completar datos",IF(NOT(ISNUMBER(M54)),"Falta costo histórico","Revisar soporte"))))</x:f>
      </x:c>
      <x:c r="R54" s="9" t="n">
        <x:f>IF(B54="",0,IF(AND(D54="pagada",NOT(ISNUMBER(M54))),1,0))</x:f>
        <x:v>0</x:v>
      </x:c>
    </x:row>
    <x:row r="55" ht="22" customHeight="1">
      <x:c r="A55" s="11"/>
      <x:c r="B55" s="9"/>
      <x:c r="C55" s="9"/>
      <x:c r="D55" s="9"/>
      <x:c r="E55" s="9"/>
      <x:c r="F55" s="9"/>
      <x:c r="G55" s="9"/>
      <x:c r="H55" s="9"/>
      <x:c r="I55" s="13"/>
      <x:c r="J55" s="15"/>
      <x:c r="K55" s="15"/>
      <x:c r="L55" s="17" t="str">
        <x:f>IF(B55="","",IF(NOT(AND(ISNUMBER(J55),ISNUMBER(K55))),"",SUM(J55:K55)))</x:f>
      </x:c>
      <x:c r="M55" s="15"/>
      <x:c r="N55" s="17" t="str">
        <x:f>IF(OR(B55="",D55&lt;&gt;"pagada",NOT(ISNUMBER(J55)),NOT(ISNUMBER(M55))),"",J55-M55)</x:f>
      </x:c>
      <x:c r="O55" s="9"/>
      <x:c r="P55" s="9"/>
      <x:c r="Q55" s="1" t="str">
        <x:f>IF(B55="","",IF(COUNTIFS($B$7:$B$1006,B55,$C$7:$C$1006,C55)&gt;1,"ID duplicado",IF(OR(A55="",C55="",D55="",E55="",F55="",I55="",J55="",K55="",O55=""),"Completar datos",IF(NOT(ISNUMBER(M55)),"Falta costo histórico","Revisar soporte"))))</x:f>
      </x:c>
      <x:c r="R55" s="9" t="n">
        <x:f>IF(B55="",0,IF(AND(D55="pagada",NOT(ISNUMBER(M55))),1,0))</x:f>
        <x:v>0</x:v>
      </x:c>
    </x:row>
    <x:row r="56" ht="22" customHeight="1">
      <x:c r="A56" s="11"/>
      <x:c r="B56" s="9"/>
      <x:c r="C56" s="9"/>
      <x:c r="D56" s="9"/>
      <x:c r="E56" s="9"/>
      <x:c r="F56" s="9"/>
      <x:c r="G56" s="9"/>
      <x:c r="H56" s="9"/>
      <x:c r="I56" s="13"/>
      <x:c r="J56" s="15"/>
      <x:c r="K56" s="15"/>
      <x:c r="L56" s="17" t="str">
        <x:f>IF(B56="","",IF(NOT(AND(ISNUMBER(J56),ISNUMBER(K56))),"",SUM(J56:K56)))</x:f>
      </x:c>
      <x:c r="M56" s="15"/>
      <x:c r="N56" s="17" t="str">
        <x:f>IF(OR(B56="",D56&lt;&gt;"pagada",NOT(ISNUMBER(J56)),NOT(ISNUMBER(M56))),"",J56-M56)</x:f>
      </x:c>
      <x:c r="O56" s="9"/>
      <x:c r="P56" s="9"/>
      <x:c r="Q56" s="1" t="str">
        <x:f>IF(B56="","",IF(COUNTIFS($B$7:$B$1006,B56,$C$7:$C$1006,C56)&gt;1,"ID duplicado",IF(OR(A56="",C56="",D56="",E56="",F56="",I56="",J56="",K56="",O56=""),"Completar datos",IF(NOT(ISNUMBER(M56)),"Falta costo histórico","Revisar soporte"))))</x:f>
      </x:c>
      <x:c r="R56" s="9" t="n">
        <x:f>IF(B56="",0,IF(AND(D56="pagada",NOT(ISNUMBER(M56))),1,0))</x:f>
        <x:v>0</x:v>
      </x:c>
    </x:row>
    <x:row r="57" ht="22" customHeight="1">
      <x:c r="A57" s="11"/>
      <x:c r="B57" s="9"/>
      <x:c r="C57" s="9"/>
      <x:c r="D57" s="9"/>
      <x:c r="E57" s="9"/>
      <x:c r="F57" s="9"/>
      <x:c r="G57" s="9"/>
      <x:c r="H57" s="9"/>
      <x:c r="I57" s="13"/>
      <x:c r="J57" s="15"/>
      <x:c r="K57" s="15"/>
      <x:c r="L57" s="17" t="str">
        <x:f>IF(B57="","",IF(NOT(AND(ISNUMBER(J57),ISNUMBER(K57))),"",SUM(J57:K57)))</x:f>
      </x:c>
      <x:c r="M57" s="15"/>
      <x:c r="N57" s="17" t="str">
        <x:f>IF(OR(B57="",D57&lt;&gt;"pagada",NOT(ISNUMBER(J57)),NOT(ISNUMBER(M57))),"",J57-M57)</x:f>
      </x:c>
      <x:c r="O57" s="9"/>
      <x:c r="P57" s="9"/>
      <x:c r="Q57" s="1" t="str">
        <x:f>IF(B57="","",IF(COUNTIFS($B$7:$B$1006,B57,$C$7:$C$1006,C57)&gt;1,"ID duplicado",IF(OR(A57="",C57="",D57="",E57="",F57="",I57="",J57="",K57="",O57=""),"Completar datos",IF(NOT(ISNUMBER(M57)),"Falta costo histórico","Revisar soporte"))))</x:f>
      </x:c>
      <x:c r="R57" s="9" t="n">
        <x:f>IF(B57="",0,IF(AND(D57="pagada",NOT(ISNUMBER(M57))),1,0))</x:f>
        <x:v>0</x:v>
      </x:c>
    </x:row>
    <x:row r="58" ht="22" customHeight="1">
      <x:c r="A58" s="11"/>
      <x:c r="B58" s="9"/>
      <x:c r="C58" s="9"/>
      <x:c r="D58" s="9"/>
      <x:c r="E58" s="9"/>
      <x:c r="F58" s="9"/>
      <x:c r="G58" s="9"/>
      <x:c r="H58" s="9"/>
      <x:c r="I58" s="13"/>
      <x:c r="J58" s="15"/>
      <x:c r="K58" s="15"/>
      <x:c r="L58" s="17" t="str">
        <x:f>IF(B58="","",IF(NOT(AND(ISNUMBER(J58),ISNUMBER(K58))),"",SUM(J58:K58)))</x:f>
      </x:c>
      <x:c r="M58" s="15"/>
      <x:c r="N58" s="17" t="str">
        <x:f>IF(OR(B58="",D58&lt;&gt;"pagada",NOT(ISNUMBER(J58)),NOT(ISNUMBER(M58))),"",J58-M58)</x:f>
      </x:c>
      <x:c r="O58" s="9"/>
      <x:c r="P58" s="9"/>
      <x:c r="Q58" s="1" t="str">
        <x:f>IF(B58="","",IF(COUNTIFS($B$7:$B$1006,B58,$C$7:$C$1006,C58)&gt;1,"ID duplicado",IF(OR(A58="",C58="",D58="",E58="",F58="",I58="",J58="",K58="",O58=""),"Completar datos",IF(NOT(ISNUMBER(M58)),"Falta costo histórico","Revisar soporte"))))</x:f>
      </x:c>
      <x:c r="R58" s="9" t="n">
        <x:f>IF(B58="",0,IF(AND(D58="pagada",NOT(ISNUMBER(M58))),1,0))</x:f>
        <x:v>0</x:v>
      </x:c>
    </x:row>
    <x:row r="59" ht="22" customHeight="1">
      <x:c r="A59" s="11"/>
      <x:c r="B59" s="9"/>
      <x:c r="C59" s="9"/>
      <x:c r="D59" s="9"/>
      <x:c r="E59" s="9"/>
      <x:c r="F59" s="9"/>
      <x:c r="G59" s="9"/>
      <x:c r="H59" s="9"/>
      <x:c r="I59" s="13"/>
      <x:c r="J59" s="15"/>
      <x:c r="K59" s="15"/>
      <x:c r="L59" s="17" t="str">
        <x:f>IF(B59="","",IF(NOT(AND(ISNUMBER(J59),ISNUMBER(K59))),"",SUM(J59:K59)))</x:f>
      </x:c>
      <x:c r="M59" s="15"/>
      <x:c r="N59" s="17" t="str">
        <x:f>IF(OR(B59="",D59&lt;&gt;"pagada",NOT(ISNUMBER(J59)),NOT(ISNUMBER(M59))),"",J59-M59)</x:f>
      </x:c>
      <x:c r="O59" s="9"/>
      <x:c r="P59" s="9"/>
      <x:c r="Q59" s="1" t="str">
        <x:f>IF(B59="","",IF(COUNTIFS($B$7:$B$1006,B59,$C$7:$C$1006,C59)&gt;1,"ID duplicado",IF(OR(A59="",C59="",D59="",E59="",F59="",I59="",J59="",K59="",O59=""),"Completar datos",IF(NOT(ISNUMBER(M59)),"Falta costo histórico","Revisar soporte"))))</x:f>
      </x:c>
      <x:c r="R59" s="9" t="n">
        <x:f>IF(B59="",0,IF(AND(D59="pagada",NOT(ISNUMBER(M59))),1,0))</x:f>
        <x:v>0</x:v>
      </x:c>
    </x:row>
    <x:row r="60" ht="22" customHeight="1">
      <x:c r="A60" s="11"/>
      <x:c r="B60" s="9"/>
      <x:c r="C60" s="9"/>
      <x:c r="D60" s="9"/>
      <x:c r="E60" s="9"/>
      <x:c r="F60" s="9"/>
      <x:c r="G60" s="9"/>
      <x:c r="H60" s="9"/>
      <x:c r="I60" s="13"/>
      <x:c r="J60" s="15"/>
      <x:c r="K60" s="15"/>
      <x:c r="L60" s="17" t="str">
        <x:f>IF(B60="","",IF(NOT(AND(ISNUMBER(J60),ISNUMBER(K60))),"",SUM(J60:K60)))</x:f>
      </x:c>
      <x:c r="M60" s="15"/>
      <x:c r="N60" s="17" t="str">
        <x:f>IF(OR(B60="",D60&lt;&gt;"pagada",NOT(ISNUMBER(J60)),NOT(ISNUMBER(M60))),"",J60-M60)</x:f>
      </x:c>
      <x:c r="O60" s="9"/>
      <x:c r="P60" s="9"/>
      <x:c r="Q60" s="1" t="str">
        <x:f>IF(B60="","",IF(COUNTIFS($B$7:$B$1006,B60,$C$7:$C$1006,C60)&gt;1,"ID duplicado",IF(OR(A60="",C60="",D60="",E60="",F60="",I60="",J60="",K60="",O60=""),"Completar datos",IF(NOT(ISNUMBER(M60)),"Falta costo histórico","Revisar soporte"))))</x:f>
      </x:c>
      <x:c r="R60" s="9" t="n">
        <x:f>IF(B60="",0,IF(AND(D60="pagada",NOT(ISNUMBER(M60))),1,0))</x:f>
        <x:v>0</x:v>
      </x:c>
    </x:row>
    <x:row r="61" ht="22" customHeight="1">
      <x:c r="A61" s="11"/>
      <x:c r="B61" s="9"/>
      <x:c r="C61" s="9"/>
      <x:c r="D61" s="9"/>
      <x:c r="E61" s="9"/>
      <x:c r="F61" s="9"/>
      <x:c r="G61" s="9"/>
      <x:c r="H61" s="9"/>
      <x:c r="I61" s="13"/>
      <x:c r="J61" s="15"/>
      <x:c r="K61" s="15"/>
      <x:c r="L61" s="17" t="str">
        <x:f>IF(B61="","",IF(NOT(AND(ISNUMBER(J61),ISNUMBER(K61))),"",SUM(J61:K61)))</x:f>
      </x:c>
      <x:c r="M61" s="15"/>
      <x:c r="N61" s="17" t="str">
        <x:f>IF(OR(B61="",D61&lt;&gt;"pagada",NOT(ISNUMBER(J61)),NOT(ISNUMBER(M61))),"",J61-M61)</x:f>
      </x:c>
      <x:c r="O61" s="9"/>
      <x:c r="P61" s="9"/>
      <x:c r="Q61" s="1" t="str">
        <x:f>IF(B61="","",IF(COUNTIFS($B$7:$B$1006,B61,$C$7:$C$1006,C61)&gt;1,"ID duplicado",IF(OR(A61="",C61="",D61="",E61="",F61="",I61="",J61="",K61="",O61=""),"Completar datos",IF(NOT(ISNUMBER(M61)),"Falta costo histórico","Revisar soporte"))))</x:f>
      </x:c>
      <x:c r="R61" s="9" t="n">
        <x:f>IF(B61="",0,IF(AND(D61="pagada",NOT(ISNUMBER(M61))),1,0))</x:f>
        <x:v>0</x:v>
      </x:c>
    </x:row>
    <x:row r="62" ht="22" customHeight="1">
      <x:c r="A62" s="11"/>
      <x:c r="B62" s="9"/>
      <x:c r="C62" s="9"/>
      <x:c r="D62" s="9"/>
      <x:c r="E62" s="9"/>
      <x:c r="F62" s="9"/>
      <x:c r="G62" s="9"/>
      <x:c r="H62" s="9"/>
      <x:c r="I62" s="13"/>
      <x:c r="J62" s="15"/>
      <x:c r="K62" s="15"/>
      <x:c r="L62" s="17" t="str">
        <x:f>IF(B62="","",IF(NOT(AND(ISNUMBER(J62),ISNUMBER(K62))),"",SUM(J62:K62)))</x:f>
      </x:c>
      <x:c r="M62" s="15"/>
      <x:c r="N62" s="17" t="str">
        <x:f>IF(OR(B62="",D62&lt;&gt;"pagada",NOT(ISNUMBER(J62)),NOT(ISNUMBER(M62))),"",J62-M62)</x:f>
      </x:c>
      <x:c r="O62" s="9"/>
      <x:c r="P62" s="9"/>
      <x:c r="Q62" s="1" t="str">
        <x:f>IF(B62="","",IF(COUNTIFS($B$7:$B$1006,B62,$C$7:$C$1006,C62)&gt;1,"ID duplicado",IF(OR(A62="",C62="",D62="",E62="",F62="",I62="",J62="",K62="",O62=""),"Completar datos",IF(NOT(ISNUMBER(M62)),"Falta costo histórico","Revisar soporte"))))</x:f>
      </x:c>
      <x:c r="R62" s="9" t="n">
        <x:f>IF(B62="",0,IF(AND(D62="pagada",NOT(ISNUMBER(M62))),1,0))</x:f>
        <x:v>0</x:v>
      </x:c>
    </x:row>
    <x:row r="63" ht="22" customHeight="1">
      <x:c r="A63" s="11"/>
      <x:c r="B63" s="9"/>
      <x:c r="C63" s="9"/>
      <x:c r="D63" s="9"/>
      <x:c r="E63" s="9"/>
      <x:c r="F63" s="9"/>
      <x:c r="G63" s="9"/>
      <x:c r="H63" s="9"/>
      <x:c r="I63" s="13"/>
      <x:c r="J63" s="15"/>
      <x:c r="K63" s="15"/>
      <x:c r="L63" s="17" t="str">
        <x:f>IF(B63="","",IF(NOT(AND(ISNUMBER(J63),ISNUMBER(K63))),"",SUM(J63:K63)))</x:f>
      </x:c>
      <x:c r="M63" s="15"/>
      <x:c r="N63" s="17" t="str">
        <x:f>IF(OR(B63="",D63&lt;&gt;"pagada",NOT(ISNUMBER(J63)),NOT(ISNUMBER(M63))),"",J63-M63)</x:f>
      </x:c>
      <x:c r="O63" s="9"/>
      <x:c r="P63" s="9"/>
      <x:c r="Q63" s="1" t="str">
        <x:f>IF(B63="","",IF(COUNTIFS($B$7:$B$1006,B63,$C$7:$C$1006,C63)&gt;1,"ID duplicado",IF(OR(A63="",C63="",D63="",E63="",F63="",I63="",J63="",K63="",O63=""),"Completar datos",IF(NOT(ISNUMBER(M63)),"Falta costo histórico","Revisar soporte"))))</x:f>
      </x:c>
      <x:c r="R63" s="9" t="n">
        <x:f>IF(B63="",0,IF(AND(D63="pagada",NOT(ISNUMBER(M63))),1,0))</x:f>
        <x:v>0</x:v>
      </x:c>
    </x:row>
    <x:row r="64" ht="22" customHeight="1">
      <x:c r="A64" s="11"/>
      <x:c r="B64" s="9"/>
      <x:c r="C64" s="9"/>
      <x:c r="D64" s="9"/>
      <x:c r="E64" s="9"/>
      <x:c r="F64" s="9"/>
      <x:c r="G64" s="9"/>
      <x:c r="H64" s="9"/>
      <x:c r="I64" s="13"/>
      <x:c r="J64" s="15"/>
      <x:c r="K64" s="15"/>
      <x:c r="L64" s="17" t="str">
        <x:f>IF(B64="","",IF(NOT(AND(ISNUMBER(J64),ISNUMBER(K64))),"",SUM(J64:K64)))</x:f>
      </x:c>
      <x:c r="M64" s="15"/>
      <x:c r="N64" s="17" t="str">
        <x:f>IF(OR(B64="",D64&lt;&gt;"pagada",NOT(ISNUMBER(J64)),NOT(ISNUMBER(M64))),"",J64-M64)</x:f>
      </x:c>
      <x:c r="O64" s="9"/>
      <x:c r="P64" s="9"/>
      <x:c r="Q64" s="1" t="str">
        <x:f>IF(B64="","",IF(COUNTIFS($B$7:$B$1006,B64,$C$7:$C$1006,C64)&gt;1,"ID duplicado",IF(OR(A64="",C64="",D64="",E64="",F64="",I64="",J64="",K64="",O64=""),"Completar datos",IF(NOT(ISNUMBER(M64)),"Falta costo histórico","Revisar soporte"))))</x:f>
      </x:c>
      <x:c r="R64" s="9" t="n">
        <x:f>IF(B64="",0,IF(AND(D64="pagada",NOT(ISNUMBER(M64))),1,0))</x:f>
        <x:v>0</x:v>
      </x:c>
    </x:row>
    <x:row r="65" ht="22" customHeight="1">
      <x:c r="A65" s="11"/>
      <x:c r="B65" s="9"/>
      <x:c r="C65" s="9"/>
      <x:c r="D65" s="9"/>
      <x:c r="E65" s="9"/>
      <x:c r="F65" s="9"/>
      <x:c r="G65" s="9"/>
      <x:c r="H65" s="9"/>
      <x:c r="I65" s="13"/>
      <x:c r="J65" s="15"/>
      <x:c r="K65" s="15"/>
      <x:c r="L65" s="17" t="str">
        <x:f>IF(B65="","",IF(NOT(AND(ISNUMBER(J65),ISNUMBER(K65))),"",SUM(J65:K65)))</x:f>
      </x:c>
      <x:c r="M65" s="15"/>
      <x:c r="N65" s="17" t="str">
        <x:f>IF(OR(B65="",D65&lt;&gt;"pagada",NOT(ISNUMBER(J65)),NOT(ISNUMBER(M65))),"",J65-M65)</x:f>
      </x:c>
      <x:c r="O65" s="9"/>
      <x:c r="P65" s="9"/>
      <x:c r="Q65" s="1" t="str">
        <x:f>IF(B65="","",IF(COUNTIFS($B$7:$B$1006,B65,$C$7:$C$1006,C65)&gt;1,"ID duplicado",IF(OR(A65="",C65="",D65="",E65="",F65="",I65="",J65="",K65="",O65=""),"Completar datos",IF(NOT(ISNUMBER(M65)),"Falta costo histórico","Revisar soporte"))))</x:f>
      </x:c>
      <x:c r="R65" s="9" t="n">
        <x:f>IF(B65="",0,IF(AND(D65="pagada",NOT(ISNUMBER(M65))),1,0))</x:f>
        <x:v>0</x:v>
      </x:c>
    </x:row>
    <x:row r="66" ht="22" customHeight="1">
      <x:c r="A66" s="11"/>
      <x:c r="B66" s="9"/>
      <x:c r="C66" s="9"/>
      <x:c r="D66" s="9"/>
      <x:c r="E66" s="9"/>
      <x:c r="F66" s="9"/>
      <x:c r="G66" s="9"/>
      <x:c r="H66" s="9"/>
      <x:c r="I66" s="13"/>
      <x:c r="J66" s="15"/>
      <x:c r="K66" s="15"/>
      <x:c r="L66" s="17" t="str">
        <x:f>IF(B66="","",IF(NOT(AND(ISNUMBER(J66),ISNUMBER(K66))),"",SUM(J66:K66)))</x:f>
      </x:c>
      <x:c r="M66" s="15"/>
      <x:c r="N66" s="17" t="str">
        <x:f>IF(OR(B66="",D66&lt;&gt;"pagada",NOT(ISNUMBER(J66)),NOT(ISNUMBER(M66))),"",J66-M66)</x:f>
      </x:c>
      <x:c r="O66" s="9"/>
      <x:c r="P66" s="9"/>
      <x:c r="Q66" s="1" t="str">
        <x:f>IF(B66="","",IF(COUNTIFS($B$7:$B$1006,B66,$C$7:$C$1006,C66)&gt;1,"ID duplicado",IF(OR(A66="",C66="",D66="",E66="",F66="",I66="",J66="",K66="",O66=""),"Completar datos",IF(NOT(ISNUMBER(M66)),"Falta costo histórico","Revisar soporte"))))</x:f>
      </x:c>
      <x:c r="R66" s="9" t="n">
        <x:f>IF(B66="",0,IF(AND(D66="pagada",NOT(ISNUMBER(M66))),1,0))</x:f>
        <x:v>0</x:v>
      </x:c>
    </x:row>
    <x:row r="67" ht="22" customHeight="1">
      <x:c r="A67" s="11"/>
      <x:c r="B67" s="9"/>
      <x:c r="C67" s="9"/>
      <x:c r="D67" s="9"/>
      <x:c r="E67" s="9"/>
      <x:c r="F67" s="9"/>
      <x:c r="G67" s="9"/>
      <x:c r="H67" s="9"/>
      <x:c r="I67" s="13"/>
      <x:c r="J67" s="15"/>
      <x:c r="K67" s="15"/>
      <x:c r="L67" s="17" t="str">
        <x:f>IF(B67="","",IF(NOT(AND(ISNUMBER(J67),ISNUMBER(K67))),"",SUM(J67:K67)))</x:f>
      </x:c>
      <x:c r="M67" s="15"/>
      <x:c r="N67" s="17" t="str">
        <x:f>IF(OR(B67="",D67&lt;&gt;"pagada",NOT(ISNUMBER(J67)),NOT(ISNUMBER(M67))),"",J67-M67)</x:f>
      </x:c>
      <x:c r="O67" s="9"/>
      <x:c r="P67" s="9"/>
      <x:c r="Q67" s="1" t="str">
        <x:f>IF(B67="","",IF(COUNTIFS($B$7:$B$1006,B67,$C$7:$C$1006,C67)&gt;1,"ID duplicado",IF(OR(A67="",C67="",D67="",E67="",F67="",I67="",J67="",K67="",O67=""),"Completar datos",IF(NOT(ISNUMBER(M67)),"Falta costo histórico","Revisar soporte"))))</x:f>
      </x:c>
      <x:c r="R67" s="9" t="n">
        <x:f>IF(B67="",0,IF(AND(D67="pagada",NOT(ISNUMBER(M67))),1,0))</x:f>
        <x:v>0</x:v>
      </x:c>
    </x:row>
    <x:row r="68" ht="22" customHeight="1">
      <x:c r="A68" s="11"/>
      <x:c r="B68" s="9"/>
      <x:c r="C68" s="9"/>
      <x:c r="D68" s="9"/>
      <x:c r="E68" s="9"/>
      <x:c r="F68" s="9"/>
      <x:c r="G68" s="9"/>
      <x:c r="H68" s="9"/>
      <x:c r="I68" s="13"/>
      <x:c r="J68" s="15"/>
      <x:c r="K68" s="15"/>
      <x:c r="L68" s="17" t="str">
        <x:f>IF(B68="","",IF(NOT(AND(ISNUMBER(J68),ISNUMBER(K68))),"",SUM(J68:K68)))</x:f>
      </x:c>
      <x:c r="M68" s="15"/>
      <x:c r="N68" s="17" t="str">
        <x:f>IF(OR(B68="",D68&lt;&gt;"pagada",NOT(ISNUMBER(J68)),NOT(ISNUMBER(M68))),"",J68-M68)</x:f>
      </x:c>
      <x:c r="O68" s="9"/>
      <x:c r="P68" s="9"/>
      <x:c r="Q68" s="1" t="str">
        <x:f>IF(B68="","",IF(COUNTIFS($B$7:$B$1006,B68,$C$7:$C$1006,C68)&gt;1,"ID duplicado",IF(OR(A68="",C68="",D68="",E68="",F68="",I68="",J68="",K68="",O68=""),"Completar datos",IF(NOT(ISNUMBER(M68)),"Falta costo histórico","Revisar soporte"))))</x:f>
      </x:c>
      <x:c r="R68" s="9" t="n">
        <x:f>IF(B68="",0,IF(AND(D68="pagada",NOT(ISNUMBER(M68))),1,0))</x:f>
        <x:v>0</x:v>
      </x:c>
    </x:row>
    <x:row r="69" ht="22" customHeight="1">
      <x:c r="A69" s="11"/>
      <x:c r="B69" s="9"/>
      <x:c r="C69" s="9"/>
      <x:c r="D69" s="9"/>
      <x:c r="E69" s="9"/>
      <x:c r="F69" s="9"/>
      <x:c r="G69" s="9"/>
      <x:c r="H69" s="9"/>
      <x:c r="I69" s="13"/>
      <x:c r="J69" s="15"/>
      <x:c r="K69" s="15"/>
      <x:c r="L69" s="17" t="str">
        <x:f>IF(B69="","",IF(NOT(AND(ISNUMBER(J69),ISNUMBER(K69))),"",SUM(J69:K69)))</x:f>
      </x:c>
      <x:c r="M69" s="15"/>
      <x:c r="N69" s="17" t="str">
        <x:f>IF(OR(B69="",D69&lt;&gt;"pagada",NOT(ISNUMBER(J69)),NOT(ISNUMBER(M69))),"",J69-M69)</x:f>
      </x:c>
      <x:c r="O69" s="9"/>
      <x:c r="P69" s="9"/>
      <x:c r="Q69" s="1" t="str">
        <x:f>IF(B69="","",IF(COUNTIFS($B$7:$B$1006,B69,$C$7:$C$1006,C69)&gt;1,"ID duplicado",IF(OR(A69="",C69="",D69="",E69="",F69="",I69="",J69="",K69="",O69=""),"Completar datos",IF(NOT(ISNUMBER(M69)),"Falta costo histórico","Revisar soporte"))))</x:f>
      </x:c>
      <x:c r="R69" s="9" t="n">
        <x:f>IF(B69="",0,IF(AND(D69="pagada",NOT(ISNUMBER(M69))),1,0))</x:f>
        <x:v>0</x:v>
      </x:c>
    </x:row>
    <x:row r="70" ht="22" customHeight="1">
      <x:c r="A70" s="11"/>
      <x:c r="B70" s="9"/>
      <x:c r="C70" s="9"/>
      <x:c r="D70" s="9"/>
      <x:c r="E70" s="9"/>
      <x:c r="F70" s="9"/>
      <x:c r="G70" s="9"/>
      <x:c r="H70" s="9"/>
      <x:c r="I70" s="13"/>
      <x:c r="J70" s="15"/>
      <x:c r="K70" s="15"/>
      <x:c r="L70" s="17" t="str">
        <x:f>IF(B70="","",IF(NOT(AND(ISNUMBER(J70),ISNUMBER(K70))),"",SUM(J70:K70)))</x:f>
      </x:c>
      <x:c r="M70" s="15"/>
      <x:c r="N70" s="17" t="str">
        <x:f>IF(OR(B70="",D70&lt;&gt;"pagada",NOT(ISNUMBER(J70)),NOT(ISNUMBER(M70))),"",J70-M70)</x:f>
      </x:c>
      <x:c r="O70" s="9"/>
      <x:c r="P70" s="9"/>
      <x:c r="Q70" s="1" t="str">
        <x:f>IF(B70="","",IF(COUNTIFS($B$7:$B$1006,B70,$C$7:$C$1006,C70)&gt;1,"ID duplicado",IF(OR(A70="",C70="",D70="",E70="",F70="",I70="",J70="",K70="",O70=""),"Completar datos",IF(NOT(ISNUMBER(M70)),"Falta costo histórico","Revisar soporte"))))</x:f>
      </x:c>
      <x:c r="R70" s="9" t="n">
        <x:f>IF(B70="",0,IF(AND(D70="pagada",NOT(ISNUMBER(M70))),1,0))</x:f>
        <x:v>0</x:v>
      </x:c>
    </x:row>
    <x:row r="71" ht="22" customHeight="1">
      <x:c r="A71" s="11"/>
      <x:c r="B71" s="9"/>
      <x:c r="C71" s="9"/>
      <x:c r="D71" s="9"/>
      <x:c r="E71" s="9"/>
      <x:c r="F71" s="9"/>
      <x:c r="G71" s="9"/>
      <x:c r="H71" s="9"/>
      <x:c r="I71" s="13"/>
      <x:c r="J71" s="15"/>
      <x:c r="K71" s="15"/>
      <x:c r="L71" s="17" t="str">
        <x:f>IF(B71="","",IF(NOT(AND(ISNUMBER(J71),ISNUMBER(K71))),"",SUM(J71:K71)))</x:f>
      </x:c>
      <x:c r="M71" s="15"/>
      <x:c r="N71" s="17" t="str">
        <x:f>IF(OR(B71="",D71&lt;&gt;"pagada",NOT(ISNUMBER(J71)),NOT(ISNUMBER(M71))),"",J71-M71)</x:f>
      </x:c>
      <x:c r="O71" s="9"/>
      <x:c r="P71" s="9"/>
      <x:c r="Q71" s="1" t="str">
        <x:f>IF(B71="","",IF(COUNTIFS($B$7:$B$1006,B71,$C$7:$C$1006,C71)&gt;1,"ID duplicado",IF(OR(A71="",C71="",D71="",E71="",F71="",I71="",J71="",K71="",O71=""),"Completar datos",IF(NOT(ISNUMBER(M71)),"Falta costo histórico","Revisar soporte"))))</x:f>
      </x:c>
      <x:c r="R71" s="9" t="n">
        <x:f>IF(B71="",0,IF(AND(D71="pagada",NOT(ISNUMBER(M71))),1,0))</x:f>
        <x:v>0</x:v>
      </x:c>
    </x:row>
    <x:row r="72" ht="22" customHeight="1">
      <x:c r="A72" s="11"/>
      <x:c r="B72" s="9"/>
      <x:c r="C72" s="9"/>
      <x:c r="D72" s="9"/>
      <x:c r="E72" s="9"/>
      <x:c r="F72" s="9"/>
      <x:c r="G72" s="9"/>
      <x:c r="H72" s="9"/>
      <x:c r="I72" s="13"/>
      <x:c r="J72" s="15"/>
      <x:c r="K72" s="15"/>
      <x:c r="L72" s="17" t="str">
        <x:f>IF(B72="","",IF(NOT(AND(ISNUMBER(J72),ISNUMBER(K72))),"",SUM(J72:K72)))</x:f>
      </x:c>
      <x:c r="M72" s="15"/>
      <x:c r="N72" s="17" t="str">
        <x:f>IF(OR(B72="",D72&lt;&gt;"pagada",NOT(ISNUMBER(J72)),NOT(ISNUMBER(M72))),"",J72-M72)</x:f>
      </x:c>
      <x:c r="O72" s="9"/>
      <x:c r="P72" s="9"/>
      <x:c r="Q72" s="1" t="str">
        <x:f>IF(B72="","",IF(COUNTIFS($B$7:$B$1006,B72,$C$7:$C$1006,C72)&gt;1,"ID duplicado",IF(OR(A72="",C72="",D72="",E72="",F72="",I72="",J72="",K72="",O72=""),"Completar datos",IF(NOT(ISNUMBER(M72)),"Falta costo histórico","Revisar soporte"))))</x:f>
      </x:c>
      <x:c r="R72" s="9" t="n">
        <x:f>IF(B72="",0,IF(AND(D72="pagada",NOT(ISNUMBER(M72))),1,0))</x:f>
        <x:v>0</x:v>
      </x:c>
    </x:row>
    <x:row r="73" ht="22" customHeight="1">
      <x:c r="A73" s="11"/>
      <x:c r="B73" s="9"/>
      <x:c r="C73" s="9"/>
      <x:c r="D73" s="9"/>
      <x:c r="E73" s="9"/>
      <x:c r="F73" s="9"/>
      <x:c r="G73" s="9"/>
      <x:c r="H73" s="9"/>
      <x:c r="I73" s="13"/>
      <x:c r="J73" s="15"/>
      <x:c r="K73" s="15"/>
      <x:c r="L73" s="17" t="str">
        <x:f>IF(B73="","",IF(NOT(AND(ISNUMBER(J73),ISNUMBER(K73))),"",SUM(J73:K73)))</x:f>
      </x:c>
      <x:c r="M73" s="15"/>
      <x:c r="N73" s="17" t="str">
        <x:f>IF(OR(B73="",D73&lt;&gt;"pagada",NOT(ISNUMBER(J73)),NOT(ISNUMBER(M73))),"",J73-M73)</x:f>
      </x:c>
      <x:c r="O73" s="9"/>
      <x:c r="P73" s="9"/>
      <x:c r="Q73" s="1" t="str">
        <x:f>IF(B73="","",IF(COUNTIFS($B$7:$B$1006,B73,$C$7:$C$1006,C73)&gt;1,"ID duplicado",IF(OR(A73="",C73="",D73="",E73="",F73="",I73="",J73="",K73="",O73=""),"Completar datos",IF(NOT(ISNUMBER(M73)),"Falta costo histórico","Revisar soporte"))))</x:f>
      </x:c>
      <x:c r="R73" s="9" t="n">
        <x:f>IF(B73="",0,IF(AND(D73="pagada",NOT(ISNUMBER(M73))),1,0))</x:f>
        <x:v>0</x:v>
      </x:c>
    </x:row>
    <x:row r="74" ht="22" customHeight="1">
      <x:c r="A74" s="11"/>
      <x:c r="B74" s="9"/>
      <x:c r="C74" s="9"/>
      <x:c r="D74" s="9"/>
      <x:c r="E74" s="9"/>
      <x:c r="F74" s="9"/>
      <x:c r="G74" s="9"/>
      <x:c r="H74" s="9"/>
      <x:c r="I74" s="13"/>
      <x:c r="J74" s="15"/>
      <x:c r="K74" s="15"/>
      <x:c r="L74" s="17" t="str">
        <x:f>IF(B74="","",IF(NOT(AND(ISNUMBER(J74),ISNUMBER(K74))),"",SUM(J74:K74)))</x:f>
      </x:c>
      <x:c r="M74" s="15"/>
      <x:c r="N74" s="17" t="str">
        <x:f>IF(OR(B74="",D74&lt;&gt;"pagada",NOT(ISNUMBER(J74)),NOT(ISNUMBER(M74))),"",J74-M74)</x:f>
      </x:c>
      <x:c r="O74" s="9"/>
      <x:c r="P74" s="9"/>
      <x:c r="Q74" s="1" t="str">
        <x:f>IF(B74="","",IF(COUNTIFS($B$7:$B$1006,B74,$C$7:$C$1006,C74)&gt;1,"ID duplicado",IF(OR(A74="",C74="",D74="",E74="",F74="",I74="",J74="",K74="",O74=""),"Completar datos",IF(NOT(ISNUMBER(M74)),"Falta costo histórico","Revisar soporte"))))</x:f>
      </x:c>
      <x:c r="R74" s="9" t="n">
        <x:f>IF(B74="",0,IF(AND(D74="pagada",NOT(ISNUMBER(M74))),1,0))</x:f>
        <x:v>0</x:v>
      </x:c>
    </x:row>
    <x:row r="75" ht="22" customHeight="1">
      <x:c r="A75" s="11"/>
      <x:c r="B75" s="9"/>
      <x:c r="C75" s="9"/>
      <x:c r="D75" s="9"/>
      <x:c r="E75" s="9"/>
      <x:c r="F75" s="9"/>
      <x:c r="G75" s="9"/>
      <x:c r="H75" s="9"/>
      <x:c r="I75" s="13"/>
      <x:c r="J75" s="15"/>
      <x:c r="K75" s="15"/>
      <x:c r="L75" s="17" t="str">
        <x:f>IF(B75="","",IF(NOT(AND(ISNUMBER(J75),ISNUMBER(K75))),"",SUM(J75:K75)))</x:f>
      </x:c>
      <x:c r="M75" s="15"/>
      <x:c r="N75" s="17" t="str">
        <x:f>IF(OR(B75="",D75&lt;&gt;"pagada",NOT(ISNUMBER(J75)),NOT(ISNUMBER(M75))),"",J75-M75)</x:f>
      </x:c>
      <x:c r="O75" s="9"/>
      <x:c r="P75" s="9"/>
      <x:c r="Q75" s="1" t="str">
        <x:f>IF(B75="","",IF(COUNTIFS($B$7:$B$1006,B75,$C$7:$C$1006,C75)&gt;1,"ID duplicado",IF(OR(A75="",C75="",D75="",E75="",F75="",I75="",J75="",K75="",O75=""),"Completar datos",IF(NOT(ISNUMBER(M75)),"Falta costo histórico","Revisar soporte"))))</x:f>
      </x:c>
      <x:c r="R75" s="9" t="n">
        <x:f>IF(B75="",0,IF(AND(D75="pagada",NOT(ISNUMBER(M75))),1,0))</x:f>
        <x:v>0</x:v>
      </x:c>
    </x:row>
    <x:row r="76" ht="22" customHeight="1">
      <x:c r="A76" s="11"/>
      <x:c r="B76" s="9"/>
      <x:c r="C76" s="9"/>
      <x:c r="D76" s="9"/>
      <x:c r="E76" s="9"/>
      <x:c r="F76" s="9"/>
      <x:c r="G76" s="9"/>
      <x:c r="H76" s="9"/>
      <x:c r="I76" s="13"/>
      <x:c r="J76" s="15"/>
      <x:c r="K76" s="15"/>
      <x:c r="L76" s="17" t="str">
        <x:f>IF(B76="","",IF(NOT(AND(ISNUMBER(J76),ISNUMBER(K76))),"",SUM(J76:K76)))</x:f>
      </x:c>
      <x:c r="M76" s="15"/>
      <x:c r="N76" s="17" t="str">
        <x:f>IF(OR(B76="",D76&lt;&gt;"pagada",NOT(ISNUMBER(J76)),NOT(ISNUMBER(M76))),"",J76-M76)</x:f>
      </x:c>
      <x:c r="O76" s="9"/>
      <x:c r="P76" s="9"/>
      <x:c r="Q76" s="1" t="str">
        <x:f>IF(B76="","",IF(COUNTIFS($B$7:$B$1006,B76,$C$7:$C$1006,C76)&gt;1,"ID duplicado",IF(OR(A76="",C76="",D76="",E76="",F76="",I76="",J76="",K76="",O76=""),"Completar datos",IF(NOT(ISNUMBER(M76)),"Falta costo histórico","Revisar soporte"))))</x:f>
      </x:c>
      <x:c r="R76" s="9" t="n">
        <x:f>IF(B76="",0,IF(AND(D76="pagada",NOT(ISNUMBER(M76))),1,0))</x:f>
        <x:v>0</x:v>
      </x:c>
    </x:row>
    <x:row r="77" ht="22" customHeight="1">
      <x:c r="A77" s="11"/>
      <x:c r="B77" s="9"/>
      <x:c r="C77" s="9"/>
      <x:c r="D77" s="9"/>
      <x:c r="E77" s="9"/>
      <x:c r="F77" s="9"/>
      <x:c r="G77" s="9"/>
      <x:c r="H77" s="9"/>
      <x:c r="I77" s="13"/>
      <x:c r="J77" s="15"/>
      <x:c r="K77" s="15"/>
      <x:c r="L77" s="17" t="str">
        <x:f>IF(B77="","",IF(NOT(AND(ISNUMBER(J77),ISNUMBER(K77))),"",SUM(J77:K77)))</x:f>
      </x:c>
      <x:c r="M77" s="15"/>
      <x:c r="N77" s="17" t="str">
        <x:f>IF(OR(B77="",D77&lt;&gt;"pagada",NOT(ISNUMBER(J77)),NOT(ISNUMBER(M77))),"",J77-M77)</x:f>
      </x:c>
      <x:c r="O77" s="9"/>
      <x:c r="P77" s="9"/>
      <x:c r="Q77" s="1" t="str">
        <x:f>IF(B77="","",IF(COUNTIFS($B$7:$B$1006,B77,$C$7:$C$1006,C77)&gt;1,"ID duplicado",IF(OR(A77="",C77="",D77="",E77="",F77="",I77="",J77="",K77="",O77=""),"Completar datos",IF(NOT(ISNUMBER(M77)),"Falta costo histórico","Revisar soporte"))))</x:f>
      </x:c>
      <x:c r="R77" s="9" t="n">
        <x:f>IF(B77="",0,IF(AND(D77="pagada",NOT(ISNUMBER(M77))),1,0))</x:f>
        <x:v>0</x:v>
      </x:c>
    </x:row>
    <x:row r="78" ht="22" customHeight="1">
      <x:c r="A78" s="11"/>
      <x:c r="B78" s="9"/>
      <x:c r="C78" s="9"/>
      <x:c r="D78" s="9"/>
      <x:c r="E78" s="9"/>
      <x:c r="F78" s="9"/>
      <x:c r="G78" s="9"/>
      <x:c r="H78" s="9"/>
      <x:c r="I78" s="13"/>
      <x:c r="J78" s="15"/>
      <x:c r="K78" s="15"/>
      <x:c r="L78" s="17" t="str">
        <x:f>IF(B78="","",IF(NOT(AND(ISNUMBER(J78),ISNUMBER(K78))),"",SUM(J78:K78)))</x:f>
      </x:c>
      <x:c r="M78" s="15"/>
      <x:c r="N78" s="17" t="str">
        <x:f>IF(OR(B78="",D78&lt;&gt;"pagada",NOT(ISNUMBER(J78)),NOT(ISNUMBER(M78))),"",J78-M78)</x:f>
      </x:c>
      <x:c r="O78" s="9"/>
      <x:c r="P78" s="9"/>
      <x:c r="Q78" s="1" t="str">
        <x:f>IF(B78="","",IF(COUNTIFS($B$7:$B$1006,B78,$C$7:$C$1006,C78)&gt;1,"ID duplicado",IF(OR(A78="",C78="",D78="",E78="",F78="",I78="",J78="",K78="",O78=""),"Completar datos",IF(NOT(ISNUMBER(M78)),"Falta costo histórico","Revisar soporte"))))</x:f>
      </x:c>
      <x:c r="R78" s="9" t="n">
        <x:f>IF(B78="",0,IF(AND(D78="pagada",NOT(ISNUMBER(M78))),1,0))</x:f>
        <x:v>0</x:v>
      </x:c>
    </x:row>
    <x:row r="79" ht="22" customHeight="1">
      <x:c r="A79" s="11"/>
      <x:c r="B79" s="9"/>
      <x:c r="C79" s="9"/>
      <x:c r="D79" s="9"/>
      <x:c r="E79" s="9"/>
      <x:c r="F79" s="9"/>
      <x:c r="G79" s="9"/>
      <x:c r="H79" s="9"/>
      <x:c r="I79" s="13"/>
      <x:c r="J79" s="15"/>
      <x:c r="K79" s="15"/>
      <x:c r="L79" s="17" t="str">
        <x:f>IF(B79="","",IF(NOT(AND(ISNUMBER(J79),ISNUMBER(K79))),"",SUM(J79:K79)))</x:f>
      </x:c>
      <x:c r="M79" s="15"/>
      <x:c r="N79" s="17" t="str">
        <x:f>IF(OR(B79="",D79&lt;&gt;"pagada",NOT(ISNUMBER(J79)),NOT(ISNUMBER(M79))),"",J79-M79)</x:f>
      </x:c>
      <x:c r="O79" s="9"/>
      <x:c r="P79" s="9"/>
      <x:c r="Q79" s="1" t="str">
        <x:f>IF(B79="","",IF(COUNTIFS($B$7:$B$1006,B79,$C$7:$C$1006,C79)&gt;1,"ID duplicado",IF(OR(A79="",C79="",D79="",E79="",F79="",I79="",J79="",K79="",O79=""),"Completar datos",IF(NOT(ISNUMBER(M79)),"Falta costo histórico","Revisar soporte"))))</x:f>
      </x:c>
      <x:c r="R79" s="9" t="n">
        <x:f>IF(B79="",0,IF(AND(D79="pagada",NOT(ISNUMBER(M79))),1,0))</x:f>
        <x:v>0</x:v>
      </x:c>
    </x:row>
    <x:row r="80" ht="22" customHeight="1">
      <x:c r="A80" s="11"/>
      <x:c r="B80" s="9"/>
      <x:c r="C80" s="9"/>
      <x:c r="D80" s="9"/>
      <x:c r="E80" s="9"/>
      <x:c r="F80" s="9"/>
      <x:c r="G80" s="9"/>
      <x:c r="H80" s="9"/>
      <x:c r="I80" s="13"/>
      <x:c r="J80" s="15"/>
      <x:c r="K80" s="15"/>
      <x:c r="L80" s="17" t="str">
        <x:f>IF(B80="","",IF(NOT(AND(ISNUMBER(J80),ISNUMBER(K80))),"",SUM(J80:K80)))</x:f>
      </x:c>
      <x:c r="M80" s="15"/>
      <x:c r="N80" s="17" t="str">
        <x:f>IF(OR(B80="",D80&lt;&gt;"pagada",NOT(ISNUMBER(J80)),NOT(ISNUMBER(M80))),"",J80-M80)</x:f>
      </x:c>
      <x:c r="O80" s="9"/>
      <x:c r="P80" s="9"/>
      <x:c r="Q80" s="1" t="str">
        <x:f>IF(B80="","",IF(COUNTIFS($B$7:$B$1006,B80,$C$7:$C$1006,C80)&gt;1,"ID duplicado",IF(OR(A80="",C80="",D80="",E80="",F80="",I80="",J80="",K80="",O80=""),"Completar datos",IF(NOT(ISNUMBER(M80)),"Falta costo histórico","Revisar soporte"))))</x:f>
      </x:c>
      <x:c r="R80" s="9" t="n">
        <x:f>IF(B80="",0,IF(AND(D80="pagada",NOT(ISNUMBER(M80))),1,0))</x:f>
        <x:v>0</x:v>
      </x:c>
    </x:row>
    <x:row r="81" ht="22" customHeight="1">
      <x:c r="A81" s="11"/>
      <x:c r="B81" s="9"/>
      <x:c r="C81" s="9"/>
      <x:c r="D81" s="9"/>
      <x:c r="E81" s="9"/>
      <x:c r="F81" s="9"/>
      <x:c r="G81" s="9"/>
      <x:c r="H81" s="9"/>
      <x:c r="I81" s="13"/>
      <x:c r="J81" s="15"/>
      <x:c r="K81" s="15"/>
      <x:c r="L81" s="17" t="str">
        <x:f>IF(B81="","",IF(NOT(AND(ISNUMBER(J81),ISNUMBER(K81))),"",SUM(J81:K81)))</x:f>
      </x:c>
      <x:c r="M81" s="15"/>
      <x:c r="N81" s="17" t="str">
        <x:f>IF(OR(B81="",D81&lt;&gt;"pagada",NOT(ISNUMBER(J81)),NOT(ISNUMBER(M81))),"",J81-M81)</x:f>
      </x:c>
      <x:c r="O81" s="9"/>
      <x:c r="P81" s="9"/>
      <x:c r="Q81" s="1" t="str">
        <x:f>IF(B81="","",IF(COUNTIFS($B$7:$B$1006,B81,$C$7:$C$1006,C81)&gt;1,"ID duplicado",IF(OR(A81="",C81="",D81="",E81="",F81="",I81="",J81="",K81="",O81=""),"Completar datos",IF(NOT(ISNUMBER(M81)),"Falta costo histórico","Revisar soporte"))))</x:f>
      </x:c>
      <x:c r="R81" s="9" t="n">
        <x:f>IF(B81="",0,IF(AND(D81="pagada",NOT(ISNUMBER(M81))),1,0))</x:f>
        <x:v>0</x:v>
      </x:c>
    </x:row>
    <x:row r="82" ht="22" customHeight="1">
      <x:c r="A82" s="11"/>
      <x:c r="B82" s="9"/>
      <x:c r="C82" s="9"/>
      <x:c r="D82" s="9"/>
      <x:c r="E82" s="9"/>
      <x:c r="F82" s="9"/>
      <x:c r="G82" s="9"/>
      <x:c r="H82" s="9"/>
      <x:c r="I82" s="13"/>
      <x:c r="J82" s="15"/>
      <x:c r="K82" s="15"/>
      <x:c r="L82" s="17" t="str">
        <x:f>IF(B82="","",IF(NOT(AND(ISNUMBER(J82),ISNUMBER(K82))),"",SUM(J82:K82)))</x:f>
      </x:c>
      <x:c r="M82" s="15"/>
      <x:c r="N82" s="17" t="str">
        <x:f>IF(OR(B82="",D82&lt;&gt;"pagada",NOT(ISNUMBER(J82)),NOT(ISNUMBER(M82))),"",J82-M82)</x:f>
      </x:c>
      <x:c r="O82" s="9"/>
      <x:c r="P82" s="9"/>
      <x:c r="Q82" s="1" t="str">
        <x:f>IF(B82="","",IF(COUNTIFS($B$7:$B$1006,B82,$C$7:$C$1006,C82)&gt;1,"ID duplicado",IF(OR(A82="",C82="",D82="",E82="",F82="",I82="",J82="",K82="",O82=""),"Completar datos",IF(NOT(ISNUMBER(M82)),"Falta costo histórico","Revisar soporte"))))</x:f>
      </x:c>
      <x:c r="R82" s="9" t="n">
        <x:f>IF(B82="",0,IF(AND(D82="pagada",NOT(ISNUMBER(M82))),1,0))</x:f>
        <x:v>0</x:v>
      </x:c>
    </x:row>
    <x:row r="83" ht="22" customHeight="1">
      <x:c r="A83" s="11"/>
      <x:c r="B83" s="9"/>
      <x:c r="C83" s="9"/>
      <x:c r="D83" s="9"/>
      <x:c r="E83" s="9"/>
      <x:c r="F83" s="9"/>
      <x:c r="G83" s="9"/>
      <x:c r="H83" s="9"/>
      <x:c r="I83" s="13"/>
      <x:c r="J83" s="15"/>
      <x:c r="K83" s="15"/>
      <x:c r="L83" s="17" t="str">
        <x:f>IF(B83="","",IF(NOT(AND(ISNUMBER(J83),ISNUMBER(K83))),"",SUM(J83:K83)))</x:f>
      </x:c>
      <x:c r="M83" s="15"/>
      <x:c r="N83" s="17" t="str">
        <x:f>IF(OR(B83="",D83&lt;&gt;"pagada",NOT(ISNUMBER(J83)),NOT(ISNUMBER(M83))),"",J83-M83)</x:f>
      </x:c>
      <x:c r="O83" s="9"/>
      <x:c r="P83" s="9"/>
      <x:c r="Q83" s="1" t="str">
        <x:f>IF(B83="","",IF(COUNTIFS($B$7:$B$1006,B83,$C$7:$C$1006,C83)&gt;1,"ID duplicado",IF(OR(A83="",C83="",D83="",E83="",F83="",I83="",J83="",K83="",O83=""),"Completar datos",IF(NOT(ISNUMBER(M83)),"Falta costo histórico","Revisar soporte"))))</x:f>
      </x:c>
      <x:c r="R83" s="9" t="n">
        <x:f>IF(B83="",0,IF(AND(D83="pagada",NOT(ISNUMBER(M83))),1,0))</x:f>
        <x:v>0</x:v>
      </x:c>
    </x:row>
    <x:row r="84" ht="22" customHeight="1">
      <x:c r="A84" s="11"/>
      <x:c r="B84" s="9"/>
      <x:c r="C84" s="9"/>
      <x:c r="D84" s="9"/>
      <x:c r="E84" s="9"/>
      <x:c r="F84" s="9"/>
      <x:c r="G84" s="9"/>
      <x:c r="H84" s="9"/>
      <x:c r="I84" s="13"/>
      <x:c r="J84" s="15"/>
      <x:c r="K84" s="15"/>
      <x:c r="L84" s="17" t="str">
        <x:f>IF(B84="","",IF(NOT(AND(ISNUMBER(J84),ISNUMBER(K84))),"",SUM(J84:K84)))</x:f>
      </x:c>
      <x:c r="M84" s="15"/>
      <x:c r="N84" s="17" t="str">
        <x:f>IF(OR(B84="",D84&lt;&gt;"pagada",NOT(ISNUMBER(J84)),NOT(ISNUMBER(M84))),"",J84-M84)</x:f>
      </x:c>
      <x:c r="O84" s="9"/>
      <x:c r="P84" s="9"/>
      <x:c r="Q84" s="1" t="str">
        <x:f>IF(B84="","",IF(COUNTIFS($B$7:$B$1006,B84,$C$7:$C$1006,C84)&gt;1,"ID duplicado",IF(OR(A84="",C84="",D84="",E84="",F84="",I84="",J84="",K84="",O84=""),"Completar datos",IF(NOT(ISNUMBER(M84)),"Falta costo histórico","Revisar soporte"))))</x:f>
      </x:c>
      <x:c r="R84" s="9" t="n">
        <x:f>IF(B84="",0,IF(AND(D84="pagada",NOT(ISNUMBER(M84))),1,0))</x:f>
        <x:v>0</x:v>
      </x:c>
    </x:row>
    <x:row r="85" ht="22" customHeight="1">
      <x:c r="A85" s="11"/>
      <x:c r="B85" s="9"/>
      <x:c r="C85" s="9"/>
      <x:c r="D85" s="9"/>
      <x:c r="E85" s="9"/>
      <x:c r="F85" s="9"/>
      <x:c r="G85" s="9"/>
      <x:c r="H85" s="9"/>
      <x:c r="I85" s="13"/>
      <x:c r="J85" s="15"/>
      <x:c r="K85" s="15"/>
      <x:c r="L85" s="17" t="str">
        <x:f>IF(B85="","",IF(NOT(AND(ISNUMBER(J85),ISNUMBER(K85))),"",SUM(J85:K85)))</x:f>
      </x:c>
      <x:c r="M85" s="15"/>
      <x:c r="N85" s="17" t="str">
        <x:f>IF(OR(B85="",D85&lt;&gt;"pagada",NOT(ISNUMBER(J85)),NOT(ISNUMBER(M85))),"",J85-M85)</x:f>
      </x:c>
      <x:c r="O85" s="9"/>
      <x:c r="P85" s="9"/>
      <x:c r="Q85" s="1" t="str">
        <x:f>IF(B85="","",IF(COUNTIFS($B$7:$B$1006,B85,$C$7:$C$1006,C85)&gt;1,"ID duplicado",IF(OR(A85="",C85="",D85="",E85="",F85="",I85="",J85="",K85="",O85=""),"Completar datos",IF(NOT(ISNUMBER(M85)),"Falta costo histórico","Revisar soporte"))))</x:f>
      </x:c>
      <x:c r="R85" s="9" t="n">
        <x:f>IF(B85="",0,IF(AND(D85="pagada",NOT(ISNUMBER(M85))),1,0))</x:f>
        <x:v>0</x:v>
      </x:c>
    </x:row>
    <x:row r="86" ht="22" customHeight="1">
      <x:c r="A86" s="11"/>
      <x:c r="B86" s="9"/>
      <x:c r="C86" s="9"/>
      <x:c r="D86" s="9"/>
      <x:c r="E86" s="9"/>
      <x:c r="F86" s="9"/>
      <x:c r="G86" s="9"/>
      <x:c r="H86" s="9"/>
      <x:c r="I86" s="13"/>
      <x:c r="J86" s="15"/>
      <x:c r="K86" s="15"/>
      <x:c r="L86" s="17" t="str">
        <x:f>IF(B86="","",IF(NOT(AND(ISNUMBER(J86),ISNUMBER(K86))),"",SUM(J86:K86)))</x:f>
      </x:c>
      <x:c r="M86" s="15"/>
      <x:c r="N86" s="17" t="str">
        <x:f>IF(OR(B86="",D86&lt;&gt;"pagada",NOT(ISNUMBER(J86)),NOT(ISNUMBER(M86))),"",J86-M86)</x:f>
      </x:c>
      <x:c r="O86" s="9"/>
      <x:c r="P86" s="9"/>
      <x:c r="Q86" s="1" t="str">
        <x:f>IF(B86="","",IF(COUNTIFS($B$7:$B$1006,B86,$C$7:$C$1006,C86)&gt;1,"ID duplicado",IF(OR(A86="",C86="",D86="",E86="",F86="",I86="",J86="",K86="",O86=""),"Completar datos",IF(NOT(ISNUMBER(M86)),"Falta costo histórico","Revisar soporte"))))</x:f>
      </x:c>
      <x:c r="R86" s="9" t="n">
        <x:f>IF(B86="",0,IF(AND(D86="pagada",NOT(ISNUMBER(M86))),1,0))</x:f>
        <x:v>0</x:v>
      </x:c>
    </x:row>
    <x:row r="87" ht="22" customHeight="1">
      <x:c r="A87" s="11"/>
      <x:c r="B87" s="9"/>
      <x:c r="C87" s="9"/>
      <x:c r="D87" s="9"/>
      <x:c r="E87" s="9"/>
      <x:c r="F87" s="9"/>
      <x:c r="G87" s="9"/>
      <x:c r="H87" s="9"/>
      <x:c r="I87" s="13"/>
      <x:c r="J87" s="15"/>
      <x:c r="K87" s="15"/>
      <x:c r="L87" s="17" t="str">
        <x:f>IF(B87="","",IF(NOT(AND(ISNUMBER(J87),ISNUMBER(K87))),"",SUM(J87:K87)))</x:f>
      </x:c>
      <x:c r="M87" s="15"/>
      <x:c r="N87" s="17" t="str">
        <x:f>IF(OR(B87="",D87&lt;&gt;"pagada",NOT(ISNUMBER(J87)),NOT(ISNUMBER(M87))),"",J87-M87)</x:f>
      </x:c>
      <x:c r="O87" s="9"/>
      <x:c r="P87" s="9"/>
      <x:c r="Q87" s="1" t="str">
        <x:f>IF(B87="","",IF(COUNTIFS($B$7:$B$1006,B87,$C$7:$C$1006,C87)&gt;1,"ID duplicado",IF(OR(A87="",C87="",D87="",E87="",F87="",I87="",J87="",K87="",O87=""),"Completar datos",IF(NOT(ISNUMBER(M87)),"Falta costo histórico","Revisar soporte"))))</x:f>
      </x:c>
      <x:c r="R87" s="9" t="n">
        <x:f>IF(B87="",0,IF(AND(D87="pagada",NOT(ISNUMBER(M87))),1,0))</x:f>
        <x:v>0</x:v>
      </x:c>
    </x:row>
    <x:row r="88" ht="22" customHeight="1">
      <x:c r="A88" s="11"/>
      <x:c r="B88" s="9"/>
      <x:c r="C88" s="9"/>
      <x:c r="D88" s="9"/>
      <x:c r="E88" s="9"/>
      <x:c r="F88" s="9"/>
      <x:c r="G88" s="9"/>
      <x:c r="H88" s="9"/>
      <x:c r="I88" s="13"/>
      <x:c r="J88" s="15"/>
      <x:c r="K88" s="15"/>
      <x:c r="L88" s="17" t="str">
        <x:f>IF(B88="","",IF(NOT(AND(ISNUMBER(J88),ISNUMBER(K88))),"",SUM(J88:K88)))</x:f>
      </x:c>
      <x:c r="M88" s="15"/>
      <x:c r="N88" s="17" t="str">
        <x:f>IF(OR(B88="",D88&lt;&gt;"pagada",NOT(ISNUMBER(J88)),NOT(ISNUMBER(M88))),"",J88-M88)</x:f>
      </x:c>
      <x:c r="O88" s="9"/>
      <x:c r="P88" s="9"/>
      <x:c r="Q88" s="1" t="str">
        <x:f>IF(B88="","",IF(COUNTIFS($B$7:$B$1006,B88,$C$7:$C$1006,C88)&gt;1,"ID duplicado",IF(OR(A88="",C88="",D88="",E88="",F88="",I88="",J88="",K88="",O88=""),"Completar datos",IF(NOT(ISNUMBER(M88)),"Falta costo histórico","Revisar soporte"))))</x:f>
      </x:c>
      <x:c r="R88" s="9" t="n">
        <x:f>IF(B88="",0,IF(AND(D88="pagada",NOT(ISNUMBER(M88))),1,0))</x:f>
        <x:v>0</x:v>
      </x:c>
    </x:row>
    <x:row r="89" ht="22" customHeight="1">
      <x:c r="A89" s="11"/>
      <x:c r="B89" s="9"/>
      <x:c r="C89" s="9"/>
      <x:c r="D89" s="9"/>
      <x:c r="E89" s="9"/>
      <x:c r="F89" s="9"/>
      <x:c r="G89" s="9"/>
      <x:c r="H89" s="9"/>
      <x:c r="I89" s="13"/>
      <x:c r="J89" s="15"/>
      <x:c r="K89" s="15"/>
      <x:c r="L89" s="17" t="str">
        <x:f>IF(B89="","",IF(NOT(AND(ISNUMBER(J89),ISNUMBER(K89))),"",SUM(J89:K89)))</x:f>
      </x:c>
      <x:c r="M89" s="15"/>
      <x:c r="N89" s="17" t="str">
        <x:f>IF(OR(B89="",D89&lt;&gt;"pagada",NOT(ISNUMBER(J89)),NOT(ISNUMBER(M89))),"",J89-M89)</x:f>
      </x:c>
      <x:c r="O89" s="9"/>
      <x:c r="P89" s="9"/>
      <x:c r="Q89" s="1" t="str">
        <x:f>IF(B89="","",IF(COUNTIFS($B$7:$B$1006,B89,$C$7:$C$1006,C89)&gt;1,"ID duplicado",IF(OR(A89="",C89="",D89="",E89="",F89="",I89="",J89="",K89="",O89=""),"Completar datos",IF(NOT(ISNUMBER(M89)),"Falta costo histórico","Revisar soporte"))))</x:f>
      </x:c>
      <x:c r="R89" s="9" t="n">
        <x:f>IF(B89="",0,IF(AND(D89="pagada",NOT(ISNUMBER(M89))),1,0))</x:f>
        <x:v>0</x:v>
      </x:c>
    </x:row>
    <x:row r="90" ht="22" customHeight="1">
      <x:c r="A90" s="11"/>
      <x:c r="B90" s="9"/>
      <x:c r="C90" s="9"/>
      <x:c r="D90" s="9"/>
      <x:c r="E90" s="9"/>
      <x:c r="F90" s="9"/>
      <x:c r="G90" s="9"/>
      <x:c r="H90" s="9"/>
      <x:c r="I90" s="13"/>
      <x:c r="J90" s="15"/>
      <x:c r="K90" s="15"/>
      <x:c r="L90" s="17" t="str">
        <x:f>IF(B90="","",IF(NOT(AND(ISNUMBER(J90),ISNUMBER(K90))),"",SUM(J90:K90)))</x:f>
      </x:c>
      <x:c r="M90" s="15"/>
      <x:c r="N90" s="17" t="str">
        <x:f>IF(OR(B90="",D90&lt;&gt;"pagada",NOT(ISNUMBER(J90)),NOT(ISNUMBER(M90))),"",J90-M90)</x:f>
      </x:c>
      <x:c r="O90" s="9"/>
      <x:c r="P90" s="9"/>
      <x:c r="Q90" s="1" t="str">
        <x:f>IF(B90="","",IF(COUNTIFS($B$7:$B$1006,B90,$C$7:$C$1006,C90)&gt;1,"ID duplicado",IF(OR(A90="",C90="",D90="",E90="",F90="",I90="",J90="",K90="",O90=""),"Completar datos",IF(NOT(ISNUMBER(M90)),"Falta costo histórico","Revisar soporte"))))</x:f>
      </x:c>
      <x:c r="R90" s="9" t="n">
        <x:f>IF(B90="",0,IF(AND(D90="pagada",NOT(ISNUMBER(M90))),1,0))</x:f>
        <x:v>0</x:v>
      </x:c>
    </x:row>
    <x:row r="91" ht="22" customHeight="1">
      <x:c r="A91" s="11"/>
      <x:c r="B91" s="9"/>
      <x:c r="C91" s="9"/>
      <x:c r="D91" s="9"/>
      <x:c r="E91" s="9"/>
      <x:c r="F91" s="9"/>
      <x:c r="G91" s="9"/>
      <x:c r="H91" s="9"/>
      <x:c r="I91" s="13"/>
      <x:c r="J91" s="15"/>
      <x:c r="K91" s="15"/>
      <x:c r="L91" s="17" t="str">
        <x:f>IF(B91="","",IF(NOT(AND(ISNUMBER(J91),ISNUMBER(K91))),"",SUM(J91:K91)))</x:f>
      </x:c>
      <x:c r="M91" s="15"/>
      <x:c r="N91" s="17" t="str">
        <x:f>IF(OR(B91="",D91&lt;&gt;"pagada",NOT(ISNUMBER(J91)),NOT(ISNUMBER(M91))),"",J91-M91)</x:f>
      </x:c>
      <x:c r="O91" s="9"/>
      <x:c r="P91" s="9"/>
      <x:c r="Q91" s="1" t="str">
        <x:f>IF(B91="","",IF(COUNTIFS($B$7:$B$1006,B91,$C$7:$C$1006,C91)&gt;1,"ID duplicado",IF(OR(A91="",C91="",D91="",E91="",F91="",I91="",J91="",K91="",O91=""),"Completar datos",IF(NOT(ISNUMBER(M91)),"Falta costo histórico","Revisar soporte"))))</x:f>
      </x:c>
      <x:c r="R91" s="9" t="n">
        <x:f>IF(B91="",0,IF(AND(D91="pagada",NOT(ISNUMBER(M91))),1,0))</x:f>
        <x:v>0</x:v>
      </x:c>
    </x:row>
    <x:row r="92" ht="22" customHeight="1">
      <x:c r="A92" s="11"/>
      <x:c r="B92" s="9"/>
      <x:c r="C92" s="9"/>
      <x:c r="D92" s="9"/>
      <x:c r="E92" s="9"/>
      <x:c r="F92" s="9"/>
      <x:c r="G92" s="9"/>
      <x:c r="H92" s="9"/>
      <x:c r="I92" s="13"/>
      <x:c r="J92" s="15"/>
      <x:c r="K92" s="15"/>
      <x:c r="L92" s="17" t="str">
        <x:f>IF(B92="","",IF(NOT(AND(ISNUMBER(J92),ISNUMBER(K92))),"",SUM(J92:K92)))</x:f>
      </x:c>
      <x:c r="M92" s="15"/>
      <x:c r="N92" s="17" t="str">
        <x:f>IF(OR(B92="",D92&lt;&gt;"pagada",NOT(ISNUMBER(J92)),NOT(ISNUMBER(M92))),"",J92-M92)</x:f>
      </x:c>
      <x:c r="O92" s="9"/>
      <x:c r="P92" s="9"/>
      <x:c r="Q92" s="1" t="str">
        <x:f>IF(B92="","",IF(COUNTIFS($B$7:$B$1006,B92,$C$7:$C$1006,C92)&gt;1,"ID duplicado",IF(OR(A92="",C92="",D92="",E92="",F92="",I92="",J92="",K92="",O92=""),"Completar datos",IF(NOT(ISNUMBER(M92)),"Falta costo histórico","Revisar soporte"))))</x:f>
      </x:c>
      <x:c r="R92" s="9" t="n">
        <x:f>IF(B92="",0,IF(AND(D92="pagada",NOT(ISNUMBER(M92))),1,0))</x:f>
        <x:v>0</x:v>
      </x:c>
    </x:row>
    <x:row r="93" ht="22" customHeight="1">
      <x:c r="A93" s="11"/>
      <x:c r="B93" s="9"/>
      <x:c r="C93" s="9"/>
      <x:c r="D93" s="9"/>
      <x:c r="E93" s="9"/>
      <x:c r="F93" s="9"/>
      <x:c r="G93" s="9"/>
      <x:c r="H93" s="9"/>
      <x:c r="I93" s="13"/>
      <x:c r="J93" s="15"/>
      <x:c r="K93" s="15"/>
      <x:c r="L93" s="17" t="str">
        <x:f>IF(B93="","",IF(NOT(AND(ISNUMBER(J93),ISNUMBER(K93))),"",SUM(J93:K93)))</x:f>
      </x:c>
      <x:c r="M93" s="15"/>
      <x:c r="N93" s="17" t="str">
        <x:f>IF(OR(B93="",D93&lt;&gt;"pagada",NOT(ISNUMBER(J93)),NOT(ISNUMBER(M93))),"",J93-M93)</x:f>
      </x:c>
      <x:c r="O93" s="9"/>
      <x:c r="P93" s="9"/>
      <x:c r="Q93" s="1" t="str">
        <x:f>IF(B93="","",IF(COUNTIFS($B$7:$B$1006,B93,$C$7:$C$1006,C93)&gt;1,"ID duplicado",IF(OR(A93="",C93="",D93="",E93="",F93="",I93="",J93="",K93="",O93=""),"Completar datos",IF(NOT(ISNUMBER(M93)),"Falta costo histórico","Revisar soporte"))))</x:f>
      </x:c>
      <x:c r="R93" s="9" t="n">
        <x:f>IF(B93="",0,IF(AND(D93="pagada",NOT(ISNUMBER(M93))),1,0))</x:f>
        <x:v>0</x:v>
      </x:c>
    </x:row>
    <x:row r="94" ht="22" customHeight="1">
      <x:c r="A94" s="11"/>
      <x:c r="B94" s="9"/>
      <x:c r="C94" s="9"/>
      <x:c r="D94" s="9"/>
      <x:c r="E94" s="9"/>
      <x:c r="F94" s="9"/>
      <x:c r="G94" s="9"/>
      <x:c r="H94" s="9"/>
      <x:c r="I94" s="13"/>
      <x:c r="J94" s="15"/>
      <x:c r="K94" s="15"/>
      <x:c r="L94" s="17" t="str">
        <x:f>IF(B94="","",IF(NOT(AND(ISNUMBER(J94),ISNUMBER(K94))),"",SUM(J94:K94)))</x:f>
      </x:c>
      <x:c r="M94" s="15"/>
      <x:c r="N94" s="17" t="str">
        <x:f>IF(OR(B94="",D94&lt;&gt;"pagada",NOT(ISNUMBER(J94)),NOT(ISNUMBER(M94))),"",J94-M94)</x:f>
      </x:c>
      <x:c r="O94" s="9"/>
      <x:c r="P94" s="9"/>
      <x:c r="Q94" s="1" t="str">
        <x:f>IF(B94="","",IF(COUNTIFS($B$7:$B$1006,B94,$C$7:$C$1006,C94)&gt;1,"ID duplicado",IF(OR(A94="",C94="",D94="",E94="",F94="",I94="",J94="",K94="",O94=""),"Completar datos",IF(NOT(ISNUMBER(M94)),"Falta costo histórico","Revisar soporte"))))</x:f>
      </x:c>
      <x:c r="R94" s="9" t="n">
        <x:f>IF(B94="",0,IF(AND(D94="pagada",NOT(ISNUMBER(M94))),1,0))</x:f>
        <x:v>0</x:v>
      </x:c>
    </x:row>
    <x:row r="95" ht="22" customHeight="1">
      <x:c r="A95" s="11"/>
      <x:c r="B95" s="9"/>
      <x:c r="C95" s="9"/>
      <x:c r="D95" s="9"/>
      <x:c r="E95" s="9"/>
      <x:c r="F95" s="9"/>
      <x:c r="G95" s="9"/>
      <x:c r="H95" s="9"/>
      <x:c r="I95" s="13"/>
      <x:c r="J95" s="15"/>
      <x:c r="K95" s="15"/>
      <x:c r="L95" s="17" t="str">
        <x:f>IF(B95="","",IF(NOT(AND(ISNUMBER(J95),ISNUMBER(K95))),"",SUM(J95:K95)))</x:f>
      </x:c>
      <x:c r="M95" s="15"/>
      <x:c r="N95" s="17" t="str">
        <x:f>IF(OR(B95="",D95&lt;&gt;"pagada",NOT(ISNUMBER(J95)),NOT(ISNUMBER(M95))),"",J95-M95)</x:f>
      </x:c>
      <x:c r="O95" s="9"/>
      <x:c r="P95" s="9"/>
      <x:c r="Q95" s="1" t="str">
        <x:f>IF(B95="","",IF(COUNTIFS($B$7:$B$1006,B95,$C$7:$C$1006,C95)&gt;1,"ID duplicado",IF(OR(A95="",C95="",D95="",E95="",F95="",I95="",J95="",K95="",O95=""),"Completar datos",IF(NOT(ISNUMBER(M95)),"Falta costo histórico","Revisar soporte"))))</x:f>
      </x:c>
      <x:c r="R95" s="9" t="n">
        <x:f>IF(B95="",0,IF(AND(D95="pagada",NOT(ISNUMBER(M95))),1,0))</x:f>
        <x:v>0</x:v>
      </x:c>
    </x:row>
    <x:row r="96" ht="22" customHeight="1">
      <x:c r="A96" s="11"/>
      <x:c r="B96" s="9"/>
      <x:c r="C96" s="9"/>
      <x:c r="D96" s="9"/>
      <x:c r="E96" s="9"/>
      <x:c r="F96" s="9"/>
      <x:c r="G96" s="9"/>
      <x:c r="H96" s="9"/>
      <x:c r="I96" s="13"/>
      <x:c r="J96" s="15"/>
      <x:c r="K96" s="15"/>
      <x:c r="L96" s="17" t="str">
        <x:f>IF(B96="","",IF(NOT(AND(ISNUMBER(J96),ISNUMBER(K96))),"",SUM(J96:K96)))</x:f>
      </x:c>
      <x:c r="M96" s="15"/>
      <x:c r="N96" s="17" t="str">
        <x:f>IF(OR(B96="",D96&lt;&gt;"pagada",NOT(ISNUMBER(J96)),NOT(ISNUMBER(M96))),"",J96-M96)</x:f>
      </x:c>
      <x:c r="O96" s="9"/>
      <x:c r="P96" s="9"/>
      <x:c r="Q96" s="1" t="str">
        <x:f>IF(B96="","",IF(COUNTIFS($B$7:$B$1006,B96,$C$7:$C$1006,C96)&gt;1,"ID duplicado",IF(OR(A96="",C96="",D96="",E96="",F96="",I96="",J96="",K96="",O96=""),"Completar datos",IF(NOT(ISNUMBER(M96)),"Falta costo histórico","Revisar soporte"))))</x:f>
      </x:c>
      <x:c r="R96" s="9" t="n">
        <x:f>IF(B96="",0,IF(AND(D96="pagada",NOT(ISNUMBER(M96))),1,0))</x:f>
        <x:v>0</x:v>
      </x:c>
    </x:row>
    <x:row r="97" ht="22" customHeight="1">
      <x:c r="A97" s="11"/>
      <x:c r="B97" s="9"/>
      <x:c r="C97" s="9"/>
      <x:c r="D97" s="9"/>
      <x:c r="E97" s="9"/>
      <x:c r="F97" s="9"/>
      <x:c r="G97" s="9"/>
      <x:c r="H97" s="9"/>
      <x:c r="I97" s="13"/>
      <x:c r="J97" s="15"/>
      <x:c r="K97" s="15"/>
      <x:c r="L97" s="17" t="str">
        <x:f>IF(B97="","",IF(NOT(AND(ISNUMBER(J97),ISNUMBER(K97))),"",SUM(J97:K97)))</x:f>
      </x:c>
      <x:c r="M97" s="15"/>
      <x:c r="N97" s="17" t="str">
        <x:f>IF(OR(B97="",D97&lt;&gt;"pagada",NOT(ISNUMBER(J97)),NOT(ISNUMBER(M97))),"",J97-M97)</x:f>
      </x:c>
      <x:c r="O97" s="9"/>
      <x:c r="P97" s="9"/>
      <x:c r="Q97" s="1" t="str">
        <x:f>IF(B97="","",IF(COUNTIFS($B$7:$B$1006,B97,$C$7:$C$1006,C97)&gt;1,"ID duplicado",IF(OR(A97="",C97="",D97="",E97="",F97="",I97="",J97="",K97="",O97=""),"Completar datos",IF(NOT(ISNUMBER(M97)),"Falta costo histórico","Revisar soporte"))))</x:f>
      </x:c>
      <x:c r="R97" s="9" t="n">
        <x:f>IF(B97="",0,IF(AND(D97="pagada",NOT(ISNUMBER(M97))),1,0))</x:f>
        <x:v>0</x:v>
      </x:c>
    </x:row>
    <x:row r="98" ht="22" customHeight="1">
      <x:c r="A98" s="11"/>
      <x:c r="B98" s="9"/>
      <x:c r="C98" s="9"/>
      <x:c r="D98" s="9"/>
      <x:c r="E98" s="9"/>
      <x:c r="F98" s="9"/>
      <x:c r="G98" s="9"/>
      <x:c r="H98" s="9"/>
      <x:c r="I98" s="13"/>
      <x:c r="J98" s="15"/>
      <x:c r="K98" s="15"/>
      <x:c r="L98" s="17" t="str">
        <x:f>IF(B98="","",IF(NOT(AND(ISNUMBER(J98),ISNUMBER(K98))),"",SUM(J98:K98)))</x:f>
      </x:c>
      <x:c r="M98" s="15"/>
      <x:c r="N98" s="17" t="str">
        <x:f>IF(OR(B98="",D98&lt;&gt;"pagada",NOT(ISNUMBER(J98)),NOT(ISNUMBER(M98))),"",J98-M98)</x:f>
      </x:c>
      <x:c r="O98" s="9"/>
      <x:c r="P98" s="9"/>
      <x:c r="Q98" s="1" t="str">
        <x:f>IF(B98="","",IF(COUNTIFS($B$7:$B$1006,B98,$C$7:$C$1006,C98)&gt;1,"ID duplicado",IF(OR(A98="",C98="",D98="",E98="",F98="",I98="",J98="",K98="",O98=""),"Completar datos",IF(NOT(ISNUMBER(M98)),"Falta costo histórico","Revisar soporte"))))</x:f>
      </x:c>
      <x:c r="R98" s="9" t="n">
        <x:f>IF(B98="",0,IF(AND(D98="pagada",NOT(ISNUMBER(M98))),1,0))</x:f>
        <x:v>0</x:v>
      </x:c>
    </x:row>
    <x:row r="99" ht="22" customHeight="1">
      <x:c r="A99" s="11"/>
      <x:c r="B99" s="9"/>
      <x:c r="C99" s="9"/>
      <x:c r="D99" s="9"/>
      <x:c r="E99" s="9"/>
      <x:c r="F99" s="9"/>
      <x:c r="G99" s="9"/>
      <x:c r="H99" s="9"/>
      <x:c r="I99" s="13"/>
      <x:c r="J99" s="15"/>
      <x:c r="K99" s="15"/>
      <x:c r="L99" s="17" t="str">
        <x:f>IF(B99="","",IF(NOT(AND(ISNUMBER(J99),ISNUMBER(K99))),"",SUM(J99:K99)))</x:f>
      </x:c>
      <x:c r="M99" s="15"/>
      <x:c r="N99" s="17" t="str">
        <x:f>IF(OR(B99="",D99&lt;&gt;"pagada",NOT(ISNUMBER(J99)),NOT(ISNUMBER(M99))),"",J99-M99)</x:f>
      </x:c>
      <x:c r="O99" s="9"/>
      <x:c r="P99" s="9"/>
      <x:c r="Q99" s="1" t="str">
        <x:f>IF(B99="","",IF(COUNTIFS($B$7:$B$1006,B99,$C$7:$C$1006,C99)&gt;1,"ID duplicado",IF(OR(A99="",C99="",D99="",E99="",F99="",I99="",J99="",K99="",O99=""),"Completar datos",IF(NOT(ISNUMBER(M99)),"Falta costo histórico","Revisar soporte"))))</x:f>
      </x:c>
      <x:c r="R99" s="9" t="n">
        <x:f>IF(B99="",0,IF(AND(D99="pagada",NOT(ISNUMBER(M99))),1,0))</x:f>
        <x:v>0</x:v>
      </x:c>
    </x:row>
    <x:row r="100" ht="22" customHeight="1">
      <x:c r="A100" s="11"/>
      <x:c r="B100" s="9"/>
      <x:c r="C100" s="9"/>
      <x:c r="D100" s="9"/>
      <x:c r="E100" s="9"/>
      <x:c r="F100" s="9"/>
      <x:c r="G100" s="9"/>
      <x:c r="H100" s="9"/>
      <x:c r="I100" s="13"/>
      <x:c r="J100" s="15"/>
      <x:c r="K100" s="15"/>
      <x:c r="L100" s="17" t="str">
        <x:f>IF(B100="","",IF(NOT(AND(ISNUMBER(J100),ISNUMBER(K100))),"",SUM(J100:K100)))</x:f>
      </x:c>
      <x:c r="M100" s="15"/>
      <x:c r="N100" s="17" t="str">
        <x:f>IF(OR(B100="",D100&lt;&gt;"pagada",NOT(ISNUMBER(J100)),NOT(ISNUMBER(M100))),"",J100-M100)</x:f>
      </x:c>
      <x:c r="O100" s="9"/>
      <x:c r="P100" s="9"/>
      <x:c r="Q100" s="1" t="str">
        <x:f>IF(B100="","",IF(COUNTIFS($B$7:$B$1006,B100,$C$7:$C$1006,C100)&gt;1,"ID duplicado",IF(OR(A100="",C100="",D100="",E100="",F100="",I100="",J100="",K100="",O100=""),"Completar datos",IF(NOT(ISNUMBER(M100)),"Falta costo histórico","Revisar soporte"))))</x:f>
      </x:c>
      <x:c r="R100" s="9" t="n">
        <x:f>IF(B100="",0,IF(AND(D100="pagada",NOT(ISNUMBER(M100))),1,0))</x:f>
        <x:v>0</x:v>
      </x:c>
    </x:row>
    <x:row r="101" ht="22" customHeight="1">
      <x:c r="A101" s="11"/>
      <x:c r="B101" s="9"/>
      <x:c r="C101" s="9"/>
      <x:c r="D101" s="9"/>
      <x:c r="E101" s="9"/>
      <x:c r="F101" s="9"/>
      <x:c r="G101" s="9"/>
      <x:c r="H101" s="9"/>
      <x:c r="I101" s="13"/>
      <x:c r="J101" s="15"/>
      <x:c r="K101" s="15"/>
      <x:c r="L101" s="17" t="str">
        <x:f>IF(B101="","",IF(NOT(AND(ISNUMBER(J101),ISNUMBER(K101))),"",SUM(J101:K101)))</x:f>
      </x:c>
      <x:c r="M101" s="15"/>
      <x:c r="N101" s="17" t="str">
        <x:f>IF(OR(B101="",D101&lt;&gt;"pagada",NOT(ISNUMBER(J101)),NOT(ISNUMBER(M101))),"",J101-M101)</x:f>
      </x:c>
      <x:c r="O101" s="9"/>
      <x:c r="P101" s="9"/>
      <x:c r="Q101" s="1" t="str">
        <x:f>IF(B101="","",IF(COUNTIFS($B$7:$B$1006,B101,$C$7:$C$1006,C101)&gt;1,"ID duplicado",IF(OR(A101="",C101="",D101="",E101="",F101="",I101="",J101="",K101="",O101=""),"Completar datos",IF(NOT(ISNUMBER(M101)),"Falta costo histórico","Revisar soporte"))))</x:f>
      </x:c>
      <x:c r="R101" s="9" t="n">
        <x:f>IF(B101="",0,IF(AND(D101="pagada",NOT(ISNUMBER(M101))),1,0))</x:f>
        <x:v>0</x:v>
      </x:c>
    </x:row>
    <x:row r="102" ht="22" customHeight="1">
      <x:c r="A102" s="11"/>
      <x:c r="B102" s="9"/>
      <x:c r="C102" s="9"/>
      <x:c r="D102" s="9"/>
      <x:c r="E102" s="9"/>
      <x:c r="F102" s="9"/>
      <x:c r="G102" s="9"/>
      <x:c r="H102" s="9"/>
      <x:c r="I102" s="13"/>
      <x:c r="J102" s="15"/>
      <x:c r="K102" s="15"/>
      <x:c r="L102" s="17" t="str">
        <x:f>IF(B102="","",IF(NOT(AND(ISNUMBER(J102),ISNUMBER(K102))),"",SUM(J102:K102)))</x:f>
      </x:c>
      <x:c r="M102" s="15"/>
      <x:c r="N102" s="17" t="str">
        <x:f>IF(OR(B102="",D102&lt;&gt;"pagada",NOT(ISNUMBER(J102)),NOT(ISNUMBER(M102))),"",J102-M102)</x:f>
      </x:c>
      <x:c r="O102" s="9"/>
      <x:c r="P102" s="9"/>
      <x:c r="Q102" s="1" t="str">
        <x:f>IF(B102="","",IF(COUNTIFS($B$7:$B$1006,B102,$C$7:$C$1006,C102)&gt;1,"ID duplicado",IF(OR(A102="",C102="",D102="",E102="",F102="",I102="",J102="",K102="",O102=""),"Completar datos",IF(NOT(ISNUMBER(M102)),"Falta costo histórico","Revisar soporte"))))</x:f>
      </x:c>
      <x:c r="R102" s="9" t="n">
        <x:f>IF(B102="",0,IF(AND(D102="pagada",NOT(ISNUMBER(M102))),1,0))</x:f>
        <x:v>0</x:v>
      </x:c>
    </x:row>
    <x:row r="103" ht="22" customHeight="1">
      <x:c r="A103" s="11"/>
      <x:c r="B103" s="9"/>
      <x:c r="C103" s="9"/>
      <x:c r="D103" s="9"/>
      <x:c r="E103" s="9"/>
      <x:c r="F103" s="9"/>
      <x:c r="G103" s="9"/>
      <x:c r="H103" s="9"/>
      <x:c r="I103" s="13"/>
      <x:c r="J103" s="15"/>
      <x:c r="K103" s="15"/>
      <x:c r="L103" s="17" t="str">
        <x:f>IF(B103="","",IF(NOT(AND(ISNUMBER(J103),ISNUMBER(K103))),"",SUM(J103:K103)))</x:f>
      </x:c>
      <x:c r="M103" s="15"/>
      <x:c r="N103" s="17" t="str">
        <x:f>IF(OR(B103="",D103&lt;&gt;"pagada",NOT(ISNUMBER(J103)),NOT(ISNUMBER(M103))),"",J103-M103)</x:f>
      </x:c>
      <x:c r="O103" s="9"/>
      <x:c r="P103" s="9"/>
      <x:c r="Q103" s="1" t="str">
        <x:f>IF(B103="","",IF(COUNTIFS($B$7:$B$1006,B103,$C$7:$C$1006,C103)&gt;1,"ID duplicado",IF(OR(A103="",C103="",D103="",E103="",F103="",I103="",J103="",K103="",O103=""),"Completar datos",IF(NOT(ISNUMBER(M103)),"Falta costo histórico","Revisar soporte"))))</x:f>
      </x:c>
      <x:c r="R103" s="9" t="n">
        <x:f>IF(B103="",0,IF(AND(D103="pagada",NOT(ISNUMBER(M103))),1,0))</x:f>
        <x:v>0</x:v>
      </x:c>
    </x:row>
    <x:row r="104" ht="22" customHeight="1">
      <x:c r="A104" s="11"/>
      <x:c r="B104" s="9"/>
      <x:c r="C104" s="9"/>
      <x:c r="D104" s="9"/>
      <x:c r="E104" s="9"/>
      <x:c r="F104" s="9"/>
      <x:c r="G104" s="9"/>
      <x:c r="H104" s="9"/>
      <x:c r="I104" s="13"/>
      <x:c r="J104" s="15"/>
      <x:c r="K104" s="15"/>
      <x:c r="L104" s="17" t="str">
        <x:f>IF(B104="","",IF(NOT(AND(ISNUMBER(J104),ISNUMBER(K104))),"",SUM(J104:K104)))</x:f>
      </x:c>
      <x:c r="M104" s="15"/>
      <x:c r="N104" s="17" t="str">
        <x:f>IF(OR(B104="",D104&lt;&gt;"pagada",NOT(ISNUMBER(J104)),NOT(ISNUMBER(M104))),"",J104-M104)</x:f>
      </x:c>
      <x:c r="O104" s="9"/>
      <x:c r="P104" s="9"/>
      <x:c r="Q104" s="1" t="str">
        <x:f>IF(B104="","",IF(COUNTIFS($B$7:$B$1006,B104,$C$7:$C$1006,C104)&gt;1,"ID duplicado",IF(OR(A104="",C104="",D104="",E104="",F104="",I104="",J104="",K104="",O104=""),"Completar datos",IF(NOT(ISNUMBER(M104)),"Falta costo histórico","Revisar soporte"))))</x:f>
      </x:c>
      <x:c r="R104" s="9" t="n">
        <x:f>IF(B104="",0,IF(AND(D104="pagada",NOT(ISNUMBER(M104))),1,0))</x:f>
        <x:v>0</x:v>
      </x:c>
    </x:row>
    <x:row r="105" ht="22" customHeight="1">
      <x:c r="A105" s="11"/>
      <x:c r="B105" s="9"/>
      <x:c r="C105" s="9"/>
      <x:c r="D105" s="9"/>
      <x:c r="E105" s="9"/>
      <x:c r="F105" s="9"/>
      <x:c r="G105" s="9"/>
      <x:c r="H105" s="9"/>
      <x:c r="I105" s="13"/>
      <x:c r="J105" s="15"/>
      <x:c r="K105" s="15"/>
      <x:c r="L105" s="17" t="str">
        <x:f>IF(B105="","",IF(NOT(AND(ISNUMBER(J105),ISNUMBER(K105))),"",SUM(J105:K105)))</x:f>
      </x:c>
      <x:c r="M105" s="15"/>
      <x:c r="N105" s="17" t="str">
        <x:f>IF(OR(B105="",D105&lt;&gt;"pagada",NOT(ISNUMBER(J105)),NOT(ISNUMBER(M105))),"",J105-M105)</x:f>
      </x:c>
      <x:c r="O105" s="9"/>
      <x:c r="P105" s="9"/>
      <x:c r="Q105" s="1" t="str">
        <x:f>IF(B105="","",IF(COUNTIFS($B$7:$B$1006,B105,$C$7:$C$1006,C105)&gt;1,"ID duplicado",IF(OR(A105="",C105="",D105="",E105="",F105="",I105="",J105="",K105="",O105=""),"Completar datos",IF(NOT(ISNUMBER(M105)),"Falta costo histórico","Revisar soporte"))))</x:f>
      </x:c>
      <x:c r="R105" s="9" t="n">
        <x:f>IF(B105="",0,IF(AND(D105="pagada",NOT(ISNUMBER(M105))),1,0))</x:f>
        <x:v>0</x:v>
      </x:c>
    </x:row>
    <x:row r="106" ht="22" customHeight="1">
      <x:c r="A106" s="11"/>
      <x:c r="B106" s="9"/>
      <x:c r="C106" s="9"/>
      <x:c r="D106" s="9"/>
      <x:c r="E106" s="9"/>
      <x:c r="F106" s="9"/>
      <x:c r="G106" s="9"/>
      <x:c r="H106" s="9"/>
      <x:c r="I106" s="13"/>
      <x:c r="J106" s="15"/>
      <x:c r="K106" s="15"/>
      <x:c r="L106" s="17" t="str">
        <x:f>IF(B106="","",IF(NOT(AND(ISNUMBER(J106),ISNUMBER(K106))),"",SUM(J106:K106)))</x:f>
      </x:c>
      <x:c r="M106" s="15"/>
      <x:c r="N106" s="17" t="str">
        <x:f>IF(OR(B106="",D106&lt;&gt;"pagada",NOT(ISNUMBER(J106)),NOT(ISNUMBER(M106))),"",J106-M106)</x:f>
      </x:c>
      <x:c r="O106" s="9"/>
      <x:c r="P106" s="9"/>
      <x:c r="Q106" s="1" t="str">
        <x:f>IF(B106="","",IF(COUNTIFS($B$7:$B$1006,B106,$C$7:$C$1006,C106)&gt;1,"ID duplicado",IF(OR(A106="",C106="",D106="",E106="",F106="",I106="",J106="",K106="",O106=""),"Completar datos",IF(NOT(ISNUMBER(M106)),"Falta costo histórico","Revisar soporte"))))</x:f>
      </x:c>
      <x:c r="R106" s="9" t="n">
        <x:f>IF(B106="",0,IF(AND(D106="pagada",NOT(ISNUMBER(M106))),1,0))</x:f>
        <x:v>0</x:v>
      </x:c>
    </x:row>
    <x:row r="107" ht="22" customHeight="1">
      <x:c r="A107" s="11"/>
      <x:c r="B107" s="9"/>
      <x:c r="C107" s="9"/>
      <x:c r="D107" s="9"/>
      <x:c r="E107" s="9"/>
      <x:c r="F107" s="9"/>
      <x:c r="G107" s="9"/>
      <x:c r="H107" s="9"/>
      <x:c r="I107" s="13"/>
      <x:c r="J107" s="15"/>
      <x:c r="K107" s="15"/>
      <x:c r="L107" s="17" t="str">
        <x:f>IF(B107="","",IF(NOT(AND(ISNUMBER(J107),ISNUMBER(K107))),"",SUM(J107:K107)))</x:f>
      </x:c>
      <x:c r="M107" s="15"/>
      <x:c r="N107" s="17" t="str">
        <x:f>IF(OR(B107="",D107&lt;&gt;"pagada",NOT(ISNUMBER(J107)),NOT(ISNUMBER(M107))),"",J107-M107)</x:f>
      </x:c>
      <x:c r="O107" s="9"/>
      <x:c r="P107" s="9"/>
      <x:c r="Q107" s="1" t="str">
        <x:f>IF(B107="","",IF(COUNTIFS($B$7:$B$1006,B107,$C$7:$C$1006,C107)&gt;1,"ID duplicado",IF(OR(A107="",C107="",D107="",E107="",F107="",I107="",J107="",K107="",O107=""),"Completar datos",IF(NOT(ISNUMBER(M107)),"Falta costo histórico","Revisar soporte"))))</x:f>
      </x:c>
      <x:c r="R107" s="9" t="n">
        <x:f>IF(B107="",0,IF(AND(D107="pagada",NOT(ISNUMBER(M107))),1,0))</x:f>
        <x:v>0</x:v>
      </x:c>
    </x:row>
    <x:row r="108" ht="22" customHeight="1">
      <x:c r="A108" s="11"/>
      <x:c r="B108" s="9"/>
      <x:c r="C108" s="9"/>
      <x:c r="D108" s="9"/>
      <x:c r="E108" s="9"/>
      <x:c r="F108" s="9"/>
      <x:c r="G108" s="9"/>
      <x:c r="H108" s="9"/>
      <x:c r="I108" s="13"/>
      <x:c r="J108" s="15"/>
      <x:c r="K108" s="15"/>
      <x:c r="L108" s="17" t="str">
        <x:f>IF(B108="","",IF(NOT(AND(ISNUMBER(J108),ISNUMBER(K108))),"",SUM(J108:K108)))</x:f>
      </x:c>
      <x:c r="M108" s="15"/>
      <x:c r="N108" s="17" t="str">
        <x:f>IF(OR(B108="",D108&lt;&gt;"pagada",NOT(ISNUMBER(J108)),NOT(ISNUMBER(M108))),"",J108-M108)</x:f>
      </x:c>
      <x:c r="O108" s="9"/>
      <x:c r="P108" s="9"/>
      <x:c r="Q108" s="1" t="str">
        <x:f>IF(B108="","",IF(COUNTIFS($B$7:$B$1006,B108,$C$7:$C$1006,C108)&gt;1,"ID duplicado",IF(OR(A108="",C108="",D108="",E108="",F108="",I108="",J108="",K108="",O108=""),"Completar datos",IF(NOT(ISNUMBER(M108)),"Falta costo histórico","Revisar soporte"))))</x:f>
      </x:c>
      <x:c r="R108" s="9" t="n">
        <x:f>IF(B108="",0,IF(AND(D108="pagada",NOT(ISNUMBER(M108))),1,0))</x:f>
        <x:v>0</x:v>
      </x:c>
    </x:row>
    <x:row r="109" ht="22" customHeight="1">
      <x:c r="A109" s="11"/>
      <x:c r="B109" s="9"/>
      <x:c r="C109" s="9"/>
      <x:c r="D109" s="9"/>
      <x:c r="E109" s="9"/>
      <x:c r="F109" s="9"/>
      <x:c r="G109" s="9"/>
      <x:c r="H109" s="9"/>
      <x:c r="I109" s="13"/>
      <x:c r="J109" s="15"/>
      <x:c r="K109" s="15"/>
      <x:c r="L109" s="17" t="str">
        <x:f>IF(B109="","",IF(NOT(AND(ISNUMBER(J109),ISNUMBER(K109))),"",SUM(J109:K109)))</x:f>
      </x:c>
      <x:c r="M109" s="15"/>
      <x:c r="N109" s="17" t="str">
        <x:f>IF(OR(B109="",D109&lt;&gt;"pagada",NOT(ISNUMBER(J109)),NOT(ISNUMBER(M109))),"",J109-M109)</x:f>
      </x:c>
      <x:c r="O109" s="9"/>
      <x:c r="P109" s="9"/>
      <x:c r="Q109" s="1" t="str">
        <x:f>IF(B109="","",IF(COUNTIFS($B$7:$B$1006,B109,$C$7:$C$1006,C109)&gt;1,"ID duplicado",IF(OR(A109="",C109="",D109="",E109="",F109="",I109="",J109="",K109="",O109=""),"Completar datos",IF(NOT(ISNUMBER(M109)),"Falta costo histórico","Revisar soporte"))))</x:f>
      </x:c>
      <x:c r="R109" s="9" t="n">
        <x:f>IF(B109="",0,IF(AND(D109="pagada",NOT(ISNUMBER(M109))),1,0))</x:f>
        <x:v>0</x:v>
      </x:c>
    </x:row>
    <x:row r="110" ht="22" customHeight="1">
      <x:c r="A110" s="11"/>
      <x:c r="B110" s="9"/>
      <x:c r="C110" s="9"/>
      <x:c r="D110" s="9"/>
      <x:c r="E110" s="9"/>
      <x:c r="F110" s="9"/>
      <x:c r="G110" s="9"/>
      <x:c r="H110" s="9"/>
      <x:c r="I110" s="13"/>
      <x:c r="J110" s="15"/>
      <x:c r="K110" s="15"/>
      <x:c r="L110" s="17" t="str">
        <x:f>IF(B110="","",IF(NOT(AND(ISNUMBER(J110),ISNUMBER(K110))),"",SUM(J110:K110)))</x:f>
      </x:c>
      <x:c r="M110" s="15"/>
      <x:c r="N110" s="17" t="str">
        <x:f>IF(OR(B110="",D110&lt;&gt;"pagada",NOT(ISNUMBER(J110)),NOT(ISNUMBER(M110))),"",J110-M110)</x:f>
      </x:c>
      <x:c r="O110" s="9"/>
      <x:c r="P110" s="9"/>
      <x:c r="Q110" s="1" t="str">
        <x:f>IF(B110="","",IF(COUNTIFS($B$7:$B$1006,B110,$C$7:$C$1006,C110)&gt;1,"ID duplicado",IF(OR(A110="",C110="",D110="",E110="",F110="",I110="",J110="",K110="",O110=""),"Completar datos",IF(NOT(ISNUMBER(M110)),"Falta costo histórico","Revisar soporte"))))</x:f>
      </x:c>
      <x:c r="R110" s="9" t="n">
        <x:f>IF(B110="",0,IF(AND(D110="pagada",NOT(ISNUMBER(M110))),1,0))</x:f>
        <x:v>0</x:v>
      </x:c>
    </x:row>
    <x:row r="111" ht="22" customHeight="1">
      <x:c r="A111" s="11"/>
      <x:c r="B111" s="9"/>
      <x:c r="C111" s="9"/>
      <x:c r="D111" s="9"/>
      <x:c r="E111" s="9"/>
      <x:c r="F111" s="9"/>
      <x:c r="G111" s="9"/>
      <x:c r="H111" s="9"/>
      <x:c r="I111" s="13"/>
      <x:c r="J111" s="15"/>
      <x:c r="K111" s="15"/>
      <x:c r="L111" s="17" t="str">
        <x:f>IF(B111="","",IF(NOT(AND(ISNUMBER(J111),ISNUMBER(K111))),"",SUM(J111:K111)))</x:f>
      </x:c>
      <x:c r="M111" s="15"/>
      <x:c r="N111" s="17" t="str">
        <x:f>IF(OR(B111="",D111&lt;&gt;"pagada",NOT(ISNUMBER(J111)),NOT(ISNUMBER(M111))),"",J111-M111)</x:f>
      </x:c>
      <x:c r="O111" s="9"/>
      <x:c r="P111" s="9"/>
      <x:c r="Q111" s="1" t="str">
        <x:f>IF(B111="","",IF(COUNTIFS($B$7:$B$1006,B111,$C$7:$C$1006,C111)&gt;1,"ID duplicado",IF(OR(A111="",C111="",D111="",E111="",F111="",I111="",J111="",K111="",O111=""),"Completar datos",IF(NOT(ISNUMBER(M111)),"Falta costo histórico","Revisar soporte"))))</x:f>
      </x:c>
      <x:c r="R111" s="9" t="n">
        <x:f>IF(B111="",0,IF(AND(D111="pagada",NOT(ISNUMBER(M111))),1,0))</x:f>
        <x:v>0</x:v>
      </x:c>
    </x:row>
    <x:row r="112" ht="22" customHeight="1">
      <x:c r="A112" s="11"/>
      <x:c r="B112" s="9"/>
      <x:c r="C112" s="9"/>
      <x:c r="D112" s="9"/>
      <x:c r="E112" s="9"/>
      <x:c r="F112" s="9"/>
      <x:c r="G112" s="9"/>
      <x:c r="H112" s="9"/>
      <x:c r="I112" s="13"/>
      <x:c r="J112" s="15"/>
      <x:c r="K112" s="15"/>
      <x:c r="L112" s="17" t="str">
        <x:f>IF(B112="","",IF(NOT(AND(ISNUMBER(J112),ISNUMBER(K112))),"",SUM(J112:K112)))</x:f>
      </x:c>
      <x:c r="M112" s="15"/>
      <x:c r="N112" s="17" t="str">
        <x:f>IF(OR(B112="",D112&lt;&gt;"pagada",NOT(ISNUMBER(J112)),NOT(ISNUMBER(M112))),"",J112-M112)</x:f>
      </x:c>
      <x:c r="O112" s="9"/>
      <x:c r="P112" s="9"/>
      <x:c r="Q112" s="1" t="str">
        <x:f>IF(B112="","",IF(COUNTIFS($B$7:$B$1006,B112,$C$7:$C$1006,C112)&gt;1,"ID duplicado",IF(OR(A112="",C112="",D112="",E112="",F112="",I112="",J112="",K112="",O112=""),"Completar datos",IF(NOT(ISNUMBER(M112)),"Falta costo histórico","Revisar soporte"))))</x:f>
      </x:c>
      <x:c r="R112" s="9" t="n">
        <x:f>IF(B112="",0,IF(AND(D112="pagada",NOT(ISNUMBER(M112))),1,0))</x:f>
        <x:v>0</x:v>
      </x:c>
    </x:row>
    <x:row r="113" ht="22" customHeight="1">
      <x:c r="A113" s="11"/>
      <x:c r="B113" s="9"/>
      <x:c r="C113" s="9"/>
      <x:c r="D113" s="9"/>
      <x:c r="E113" s="9"/>
      <x:c r="F113" s="9"/>
      <x:c r="G113" s="9"/>
      <x:c r="H113" s="9"/>
      <x:c r="I113" s="13"/>
      <x:c r="J113" s="15"/>
      <x:c r="K113" s="15"/>
      <x:c r="L113" s="17" t="str">
        <x:f>IF(B113="","",IF(NOT(AND(ISNUMBER(J113),ISNUMBER(K113))),"",SUM(J113:K113)))</x:f>
      </x:c>
      <x:c r="M113" s="15"/>
      <x:c r="N113" s="17" t="str">
        <x:f>IF(OR(B113="",D113&lt;&gt;"pagada",NOT(ISNUMBER(J113)),NOT(ISNUMBER(M113))),"",J113-M113)</x:f>
      </x:c>
      <x:c r="O113" s="9"/>
      <x:c r="P113" s="9"/>
      <x:c r="Q113" s="1" t="str">
        <x:f>IF(B113="","",IF(COUNTIFS($B$7:$B$1006,B113,$C$7:$C$1006,C113)&gt;1,"ID duplicado",IF(OR(A113="",C113="",D113="",E113="",F113="",I113="",J113="",K113="",O113=""),"Completar datos",IF(NOT(ISNUMBER(M113)),"Falta costo histórico","Revisar soporte"))))</x:f>
      </x:c>
      <x:c r="R113" s="9" t="n">
        <x:f>IF(B113="",0,IF(AND(D113="pagada",NOT(ISNUMBER(M113))),1,0))</x:f>
        <x:v>0</x:v>
      </x:c>
    </x:row>
    <x:row r="114" ht="22" customHeight="1">
      <x:c r="A114" s="11"/>
      <x:c r="B114" s="9"/>
      <x:c r="C114" s="9"/>
      <x:c r="D114" s="9"/>
      <x:c r="E114" s="9"/>
      <x:c r="F114" s="9"/>
      <x:c r="G114" s="9"/>
      <x:c r="H114" s="9"/>
      <x:c r="I114" s="13"/>
      <x:c r="J114" s="15"/>
      <x:c r="K114" s="15"/>
      <x:c r="L114" s="17" t="str">
        <x:f>IF(B114="","",IF(NOT(AND(ISNUMBER(J114),ISNUMBER(K114))),"",SUM(J114:K114)))</x:f>
      </x:c>
      <x:c r="M114" s="15"/>
      <x:c r="N114" s="17" t="str">
        <x:f>IF(OR(B114="",D114&lt;&gt;"pagada",NOT(ISNUMBER(J114)),NOT(ISNUMBER(M114))),"",J114-M114)</x:f>
      </x:c>
      <x:c r="O114" s="9"/>
      <x:c r="P114" s="9"/>
      <x:c r="Q114" s="1" t="str">
        <x:f>IF(B114="","",IF(COUNTIFS($B$7:$B$1006,B114,$C$7:$C$1006,C114)&gt;1,"ID duplicado",IF(OR(A114="",C114="",D114="",E114="",F114="",I114="",J114="",K114="",O114=""),"Completar datos",IF(NOT(ISNUMBER(M114)),"Falta costo histórico","Revisar soporte"))))</x:f>
      </x:c>
      <x:c r="R114" s="9" t="n">
        <x:f>IF(B114="",0,IF(AND(D114="pagada",NOT(ISNUMBER(M114))),1,0))</x:f>
        <x:v>0</x:v>
      </x:c>
    </x:row>
    <x:row r="115" ht="22" customHeight="1">
      <x:c r="A115" s="11"/>
      <x:c r="B115" s="9"/>
      <x:c r="C115" s="9"/>
      <x:c r="D115" s="9"/>
      <x:c r="E115" s="9"/>
      <x:c r="F115" s="9"/>
      <x:c r="G115" s="9"/>
      <x:c r="H115" s="9"/>
      <x:c r="I115" s="13"/>
      <x:c r="J115" s="15"/>
      <x:c r="K115" s="15"/>
      <x:c r="L115" s="17" t="str">
        <x:f>IF(B115="","",IF(NOT(AND(ISNUMBER(J115),ISNUMBER(K115))),"",SUM(J115:K115)))</x:f>
      </x:c>
      <x:c r="M115" s="15"/>
      <x:c r="N115" s="17" t="str">
        <x:f>IF(OR(B115="",D115&lt;&gt;"pagada",NOT(ISNUMBER(J115)),NOT(ISNUMBER(M115))),"",J115-M115)</x:f>
      </x:c>
      <x:c r="O115" s="9"/>
      <x:c r="P115" s="9"/>
      <x:c r="Q115" s="1" t="str">
        <x:f>IF(B115="","",IF(COUNTIFS($B$7:$B$1006,B115,$C$7:$C$1006,C115)&gt;1,"ID duplicado",IF(OR(A115="",C115="",D115="",E115="",F115="",I115="",J115="",K115="",O115=""),"Completar datos",IF(NOT(ISNUMBER(M115)),"Falta costo histórico","Revisar soporte"))))</x:f>
      </x:c>
      <x:c r="R115" s="9" t="n">
        <x:f>IF(B115="",0,IF(AND(D115="pagada",NOT(ISNUMBER(M115))),1,0))</x:f>
        <x:v>0</x:v>
      </x:c>
    </x:row>
    <x:row r="116" ht="22" customHeight="1">
      <x:c r="A116" s="11"/>
      <x:c r="B116" s="9"/>
      <x:c r="C116" s="9"/>
      <x:c r="D116" s="9"/>
      <x:c r="E116" s="9"/>
      <x:c r="F116" s="9"/>
      <x:c r="G116" s="9"/>
      <x:c r="H116" s="9"/>
      <x:c r="I116" s="13"/>
      <x:c r="J116" s="15"/>
      <x:c r="K116" s="15"/>
      <x:c r="L116" s="17" t="str">
        <x:f>IF(B116="","",IF(NOT(AND(ISNUMBER(J116),ISNUMBER(K116))),"",SUM(J116:K116)))</x:f>
      </x:c>
      <x:c r="M116" s="15"/>
      <x:c r="N116" s="17" t="str">
        <x:f>IF(OR(B116="",D116&lt;&gt;"pagada",NOT(ISNUMBER(J116)),NOT(ISNUMBER(M116))),"",J116-M116)</x:f>
      </x:c>
      <x:c r="O116" s="9"/>
      <x:c r="P116" s="9"/>
      <x:c r="Q116" s="1" t="str">
        <x:f>IF(B116="","",IF(COUNTIFS($B$7:$B$1006,B116,$C$7:$C$1006,C116)&gt;1,"ID duplicado",IF(OR(A116="",C116="",D116="",E116="",F116="",I116="",J116="",K116="",O116=""),"Completar datos",IF(NOT(ISNUMBER(M116)),"Falta costo histórico","Revisar soporte"))))</x:f>
      </x:c>
      <x:c r="R116" s="9" t="n">
        <x:f>IF(B116="",0,IF(AND(D116="pagada",NOT(ISNUMBER(M116))),1,0))</x:f>
        <x:v>0</x:v>
      </x:c>
    </x:row>
    <x:row r="117" ht="22" customHeight="1">
      <x:c r="A117" s="11"/>
      <x:c r="B117" s="9"/>
      <x:c r="C117" s="9"/>
      <x:c r="D117" s="9"/>
      <x:c r="E117" s="9"/>
      <x:c r="F117" s="9"/>
      <x:c r="G117" s="9"/>
      <x:c r="H117" s="9"/>
      <x:c r="I117" s="13"/>
      <x:c r="J117" s="15"/>
      <x:c r="K117" s="15"/>
      <x:c r="L117" s="17" t="str">
        <x:f>IF(B117="","",IF(NOT(AND(ISNUMBER(J117),ISNUMBER(K117))),"",SUM(J117:K117)))</x:f>
      </x:c>
      <x:c r="M117" s="15"/>
      <x:c r="N117" s="17" t="str">
        <x:f>IF(OR(B117="",D117&lt;&gt;"pagada",NOT(ISNUMBER(J117)),NOT(ISNUMBER(M117))),"",J117-M117)</x:f>
      </x:c>
      <x:c r="O117" s="9"/>
      <x:c r="P117" s="9"/>
      <x:c r="Q117" s="1" t="str">
        <x:f>IF(B117="","",IF(COUNTIFS($B$7:$B$1006,B117,$C$7:$C$1006,C117)&gt;1,"ID duplicado",IF(OR(A117="",C117="",D117="",E117="",F117="",I117="",J117="",K117="",O117=""),"Completar datos",IF(NOT(ISNUMBER(M117)),"Falta costo histórico","Revisar soporte"))))</x:f>
      </x:c>
      <x:c r="R117" s="9" t="n">
        <x:f>IF(B117="",0,IF(AND(D117="pagada",NOT(ISNUMBER(M117))),1,0))</x:f>
        <x:v>0</x:v>
      </x:c>
    </x:row>
    <x:row r="118" ht="22" customHeight="1">
      <x:c r="A118" s="11"/>
      <x:c r="B118" s="9"/>
      <x:c r="C118" s="9"/>
      <x:c r="D118" s="9"/>
      <x:c r="E118" s="9"/>
      <x:c r="F118" s="9"/>
      <x:c r="G118" s="9"/>
      <x:c r="H118" s="9"/>
      <x:c r="I118" s="13"/>
      <x:c r="J118" s="15"/>
      <x:c r="K118" s="15"/>
      <x:c r="L118" s="17" t="str">
        <x:f>IF(B118="","",IF(NOT(AND(ISNUMBER(J118),ISNUMBER(K118))),"",SUM(J118:K118)))</x:f>
      </x:c>
      <x:c r="M118" s="15"/>
      <x:c r="N118" s="17" t="str">
        <x:f>IF(OR(B118="",D118&lt;&gt;"pagada",NOT(ISNUMBER(J118)),NOT(ISNUMBER(M118))),"",J118-M118)</x:f>
      </x:c>
      <x:c r="O118" s="9"/>
      <x:c r="P118" s="9"/>
      <x:c r="Q118" s="1" t="str">
        <x:f>IF(B118="","",IF(COUNTIFS($B$7:$B$1006,B118,$C$7:$C$1006,C118)&gt;1,"ID duplicado",IF(OR(A118="",C118="",D118="",E118="",F118="",I118="",J118="",K118="",O118=""),"Completar datos",IF(NOT(ISNUMBER(M118)),"Falta costo histórico","Revisar soporte"))))</x:f>
      </x:c>
      <x:c r="R118" s="9" t="n">
        <x:f>IF(B118="",0,IF(AND(D118="pagada",NOT(ISNUMBER(M118))),1,0))</x:f>
        <x:v>0</x:v>
      </x:c>
    </x:row>
    <x:row r="119" ht="22" customHeight="1">
      <x:c r="A119" s="11"/>
      <x:c r="B119" s="9"/>
      <x:c r="C119" s="9"/>
      <x:c r="D119" s="9"/>
      <x:c r="E119" s="9"/>
      <x:c r="F119" s="9"/>
      <x:c r="G119" s="9"/>
      <x:c r="H119" s="9"/>
      <x:c r="I119" s="13"/>
      <x:c r="J119" s="15"/>
      <x:c r="K119" s="15"/>
      <x:c r="L119" s="17" t="str">
        <x:f>IF(B119="","",IF(NOT(AND(ISNUMBER(J119),ISNUMBER(K119))),"",SUM(J119:K119)))</x:f>
      </x:c>
      <x:c r="M119" s="15"/>
      <x:c r="N119" s="17" t="str">
        <x:f>IF(OR(B119="",D119&lt;&gt;"pagada",NOT(ISNUMBER(J119)),NOT(ISNUMBER(M119))),"",J119-M119)</x:f>
      </x:c>
      <x:c r="O119" s="9"/>
      <x:c r="P119" s="9"/>
      <x:c r="Q119" s="1" t="str">
        <x:f>IF(B119="","",IF(COUNTIFS($B$7:$B$1006,B119,$C$7:$C$1006,C119)&gt;1,"ID duplicado",IF(OR(A119="",C119="",D119="",E119="",F119="",I119="",J119="",K119="",O119=""),"Completar datos",IF(NOT(ISNUMBER(M119)),"Falta costo histórico","Revisar soporte"))))</x:f>
      </x:c>
      <x:c r="R119" s="9" t="n">
        <x:f>IF(B119="",0,IF(AND(D119="pagada",NOT(ISNUMBER(M119))),1,0))</x:f>
        <x:v>0</x:v>
      </x:c>
    </x:row>
    <x:row r="120" ht="22" customHeight="1">
      <x:c r="A120" s="11"/>
      <x:c r="B120" s="9"/>
      <x:c r="C120" s="9"/>
      <x:c r="D120" s="9"/>
      <x:c r="E120" s="9"/>
      <x:c r="F120" s="9"/>
      <x:c r="G120" s="9"/>
      <x:c r="H120" s="9"/>
      <x:c r="I120" s="13"/>
      <x:c r="J120" s="15"/>
      <x:c r="K120" s="15"/>
      <x:c r="L120" s="17" t="str">
        <x:f>IF(B120="","",IF(NOT(AND(ISNUMBER(J120),ISNUMBER(K120))),"",SUM(J120:K120)))</x:f>
      </x:c>
      <x:c r="M120" s="15"/>
      <x:c r="N120" s="17" t="str">
        <x:f>IF(OR(B120="",D120&lt;&gt;"pagada",NOT(ISNUMBER(J120)),NOT(ISNUMBER(M120))),"",J120-M120)</x:f>
      </x:c>
      <x:c r="O120" s="9"/>
      <x:c r="P120" s="9"/>
      <x:c r="Q120" s="1" t="str">
        <x:f>IF(B120="","",IF(COUNTIFS($B$7:$B$1006,B120,$C$7:$C$1006,C120)&gt;1,"ID duplicado",IF(OR(A120="",C120="",D120="",E120="",F120="",I120="",J120="",K120="",O120=""),"Completar datos",IF(NOT(ISNUMBER(M120)),"Falta costo histórico","Revisar soporte"))))</x:f>
      </x:c>
      <x:c r="R120" s="9" t="n">
        <x:f>IF(B120="",0,IF(AND(D120="pagada",NOT(ISNUMBER(M120))),1,0))</x:f>
        <x:v>0</x:v>
      </x:c>
    </x:row>
    <x:row r="121" ht="22" customHeight="1">
      <x:c r="A121" s="11"/>
      <x:c r="B121" s="9"/>
      <x:c r="C121" s="9"/>
      <x:c r="D121" s="9"/>
      <x:c r="E121" s="9"/>
      <x:c r="F121" s="9"/>
      <x:c r="G121" s="9"/>
      <x:c r="H121" s="9"/>
      <x:c r="I121" s="13"/>
      <x:c r="J121" s="15"/>
      <x:c r="K121" s="15"/>
      <x:c r="L121" s="17" t="str">
        <x:f>IF(B121="","",IF(NOT(AND(ISNUMBER(J121),ISNUMBER(K121))),"",SUM(J121:K121)))</x:f>
      </x:c>
      <x:c r="M121" s="15"/>
      <x:c r="N121" s="17" t="str">
        <x:f>IF(OR(B121="",D121&lt;&gt;"pagada",NOT(ISNUMBER(J121)),NOT(ISNUMBER(M121))),"",J121-M121)</x:f>
      </x:c>
      <x:c r="O121" s="9"/>
      <x:c r="P121" s="9"/>
      <x:c r="Q121" s="1" t="str">
        <x:f>IF(B121="","",IF(COUNTIFS($B$7:$B$1006,B121,$C$7:$C$1006,C121)&gt;1,"ID duplicado",IF(OR(A121="",C121="",D121="",E121="",F121="",I121="",J121="",K121="",O121=""),"Completar datos",IF(NOT(ISNUMBER(M121)),"Falta costo histórico","Revisar soporte"))))</x:f>
      </x:c>
      <x:c r="R121" s="9" t="n">
        <x:f>IF(B121="",0,IF(AND(D121="pagada",NOT(ISNUMBER(M121))),1,0))</x:f>
        <x:v>0</x:v>
      </x:c>
    </x:row>
    <x:row r="122" ht="22" customHeight="1">
      <x:c r="A122" s="11"/>
      <x:c r="B122" s="9"/>
      <x:c r="C122" s="9"/>
      <x:c r="D122" s="9"/>
      <x:c r="E122" s="9"/>
      <x:c r="F122" s="9"/>
      <x:c r="G122" s="9"/>
      <x:c r="H122" s="9"/>
      <x:c r="I122" s="13"/>
      <x:c r="J122" s="15"/>
      <x:c r="K122" s="15"/>
      <x:c r="L122" s="17" t="str">
        <x:f>IF(B122="","",IF(NOT(AND(ISNUMBER(J122),ISNUMBER(K122))),"",SUM(J122:K122)))</x:f>
      </x:c>
      <x:c r="M122" s="15"/>
      <x:c r="N122" s="17" t="str">
        <x:f>IF(OR(B122="",D122&lt;&gt;"pagada",NOT(ISNUMBER(J122)),NOT(ISNUMBER(M122))),"",J122-M122)</x:f>
      </x:c>
      <x:c r="O122" s="9"/>
      <x:c r="P122" s="9"/>
      <x:c r="Q122" s="1" t="str">
        <x:f>IF(B122="","",IF(COUNTIFS($B$7:$B$1006,B122,$C$7:$C$1006,C122)&gt;1,"ID duplicado",IF(OR(A122="",C122="",D122="",E122="",F122="",I122="",J122="",K122="",O122=""),"Completar datos",IF(NOT(ISNUMBER(M122)),"Falta costo histórico","Revisar soporte"))))</x:f>
      </x:c>
      <x:c r="R122" s="9" t="n">
        <x:f>IF(B122="",0,IF(AND(D122="pagada",NOT(ISNUMBER(M122))),1,0))</x:f>
        <x:v>0</x:v>
      </x:c>
    </x:row>
    <x:row r="123" ht="22" customHeight="1">
      <x:c r="A123" s="11"/>
      <x:c r="B123" s="9"/>
      <x:c r="C123" s="9"/>
      <x:c r="D123" s="9"/>
      <x:c r="E123" s="9"/>
      <x:c r="F123" s="9"/>
      <x:c r="G123" s="9"/>
      <x:c r="H123" s="9"/>
      <x:c r="I123" s="13"/>
      <x:c r="J123" s="15"/>
      <x:c r="K123" s="15"/>
      <x:c r="L123" s="17" t="str">
        <x:f>IF(B123="","",IF(NOT(AND(ISNUMBER(J123),ISNUMBER(K123))),"",SUM(J123:K123)))</x:f>
      </x:c>
      <x:c r="M123" s="15"/>
      <x:c r="N123" s="17" t="str">
        <x:f>IF(OR(B123="",D123&lt;&gt;"pagada",NOT(ISNUMBER(J123)),NOT(ISNUMBER(M123))),"",J123-M123)</x:f>
      </x:c>
      <x:c r="O123" s="9"/>
      <x:c r="P123" s="9"/>
      <x:c r="Q123" s="1" t="str">
        <x:f>IF(B123="","",IF(COUNTIFS($B$7:$B$1006,B123,$C$7:$C$1006,C123)&gt;1,"ID duplicado",IF(OR(A123="",C123="",D123="",E123="",F123="",I123="",J123="",K123="",O123=""),"Completar datos",IF(NOT(ISNUMBER(M123)),"Falta costo histórico","Revisar soporte"))))</x:f>
      </x:c>
      <x:c r="R123" s="9" t="n">
        <x:f>IF(B123="",0,IF(AND(D123="pagada",NOT(ISNUMBER(M123))),1,0))</x:f>
        <x:v>0</x:v>
      </x:c>
    </x:row>
    <x:row r="124" ht="22" customHeight="1">
      <x:c r="A124" s="11"/>
      <x:c r="B124" s="9"/>
      <x:c r="C124" s="9"/>
      <x:c r="D124" s="9"/>
      <x:c r="E124" s="9"/>
      <x:c r="F124" s="9"/>
      <x:c r="G124" s="9"/>
      <x:c r="H124" s="9"/>
      <x:c r="I124" s="13"/>
      <x:c r="J124" s="15"/>
      <x:c r="K124" s="15"/>
      <x:c r="L124" s="17" t="str">
        <x:f>IF(B124="","",IF(NOT(AND(ISNUMBER(J124),ISNUMBER(K124))),"",SUM(J124:K124)))</x:f>
      </x:c>
      <x:c r="M124" s="15"/>
      <x:c r="N124" s="17" t="str">
        <x:f>IF(OR(B124="",D124&lt;&gt;"pagada",NOT(ISNUMBER(J124)),NOT(ISNUMBER(M124))),"",J124-M124)</x:f>
      </x:c>
      <x:c r="O124" s="9"/>
      <x:c r="P124" s="9"/>
      <x:c r="Q124" s="1" t="str">
        <x:f>IF(B124="","",IF(COUNTIFS($B$7:$B$1006,B124,$C$7:$C$1006,C124)&gt;1,"ID duplicado",IF(OR(A124="",C124="",D124="",E124="",F124="",I124="",J124="",K124="",O124=""),"Completar datos",IF(NOT(ISNUMBER(M124)),"Falta costo histórico","Revisar soporte"))))</x:f>
      </x:c>
      <x:c r="R124" s="9" t="n">
        <x:f>IF(B124="",0,IF(AND(D124="pagada",NOT(ISNUMBER(M124))),1,0))</x:f>
        <x:v>0</x:v>
      </x:c>
    </x:row>
    <x:row r="125" ht="22" customHeight="1">
      <x:c r="A125" s="11"/>
      <x:c r="B125" s="9"/>
      <x:c r="C125" s="9"/>
      <x:c r="D125" s="9"/>
      <x:c r="E125" s="9"/>
      <x:c r="F125" s="9"/>
      <x:c r="G125" s="9"/>
      <x:c r="H125" s="9"/>
      <x:c r="I125" s="13"/>
      <x:c r="J125" s="15"/>
      <x:c r="K125" s="15"/>
      <x:c r="L125" s="17" t="str">
        <x:f>IF(B125="","",IF(NOT(AND(ISNUMBER(J125),ISNUMBER(K125))),"",SUM(J125:K125)))</x:f>
      </x:c>
      <x:c r="M125" s="15"/>
      <x:c r="N125" s="17" t="str">
        <x:f>IF(OR(B125="",D125&lt;&gt;"pagada",NOT(ISNUMBER(J125)),NOT(ISNUMBER(M125))),"",J125-M125)</x:f>
      </x:c>
      <x:c r="O125" s="9"/>
      <x:c r="P125" s="9"/>
      <x:c r="Q125" s="1" t="str">
        <x:f>IF(B125="","",IF(COUNTIFS($B$7:$B$1006,B125,$C$7:$C$1006,C125)&gt;1,"ID duplicado",IF(OR(A125="",C125="",D125="",E125="",F125="",I125="",J125="",K125="",O125=""),"Completar datos",IF(NOT(ISNUMBER(M125)),"Falta costo histórico","Revisar soporte"))))</x:f>
      </x:c>
      <x:c r="R125" s="9" t="n">
        <x:f>IF(B125="",0,IF(AND(D125="pagada",NOT(ISNUMBER(M125))),1,0))</x:f>
        <x:v>0</x:v>
      </x:c>
    </x:row>
    <x:row r="126" ht="22" customHeight="1">
      <x:c r="A126" s="11"/>
      <x:c r="B126" s="9"/>
      <x:c r="C126" s="9"/>
      <x:c r="D126" s="9"/>
      <x:c r="E126" s="9"/>
      <x:c r="F126" s="9"/>
      <x:c r="G126" s="9"/>
      <x:c r="H126" s="9"/>
      <x:c r="I126" s="13"/>
      <x:c r="J126" s="15"/>
      <x:c r="K126" s="15"/>
      <x:c r="L126" s="17" t="str">
        <x:f>IF(B126="","",IF(NOT(AND(ISNUMBER(J126),ISNUMBER(K126))),"",SUM(J126:K126)))</x:f>
      </x:c>
      <x:c r="M126" s="15"/>
      <x:c r="N126" s="17" t="str">
        <x:f>IF(OR(B126="",D126&lt;&gt;"pagada",NOT(ISNUMBER(J126)),NOT(ISNUMBER(M126))),"",J126-M126)</x:f>
      </x:c>
      <x:c r="O126" s="9"/>
      <x:c r="P126" s="9"/>
      <x:c r="Q126" s="1" t="str">
        <x:f>IF(B126="","",IF(COUNTIFS($B$7:$B$1006,B126,$C$7:$C$1006,C126)&gt;1,"ID duplicado",IF(OR(A126="",C126="",D126="",E126="",F126="",I126="",J126="",K126="",O126=""),"Completar datos",IF(NOT(ISNUMBER(M126)),"Falta costo histórico","Revisar soporte"))))</x:f>
      </x:c>
      <x:c r="R126" s="9" t="n">
        <x:f>IF(B126="",0,IF(AND(D126="pagada",NOT(ISNUMBER(M126))),1,0))</x:f>
        <x:v>0</x:v>
      </x:c>
    </x:row>
    <x:row r="127" ht="22" customHeight="1">
      <x:c r="A127" s="11"/>
      <x:c r="B127" s="9"/>
      <x:c r="C127" s="9"/>
      <x:c r="D127" s="9"/>
      <x:c r="E127" s="9"/>
      <x:c r="F127" s="9"/>
      <x:c r="G127" s="9"/>
      <x:c r="H127" s="9"/>
      <x:c r="I127" s="13"/>
      <x:c r="J127" s="15"/>
      <x:c r="K127" s="15"/>
      <x:c r="L127" s="17" t="str">
        <x:f>IF(B127="","",IF(NOT(AND(ISNUMBER(J127),ISNUMBER(K127))),"",SUM(J127:K127)))</x:f>
      </x:c>
      <x:c r="M127" s="15"/>
      <x:c r="N127" s="17" t="str">
        <x:f>IF(OR(B127="",D127&lt;&gt;"pagada",NOT(ISNUMBER(J127)),NOT(ISNUMBER(M127))),"",J127-M127)</x:f>
      </x:c>
      <x:c r="O127" s="9"/>
      <x:c r="P127" s="9"/>
      <x:c r="Q127" s="1" t="str">
        <x:f>IF(B127="","",IF(COUNTIFS($B$7:$B$1006,B127,$C$7:$C$1006,C127)&gt;1,"ID duplicado",IF(OR(A127="",C127="",D127="",E127="",F127="",I127="",J127="",K127="",O127=""),"Completar datos",IF(NOT(ISNUMBER(M127)),"Falta costo histórico","Revisar soporte"))))</x:f>
      </x:c>
      <x:c r="R127" s="9" t="n">
        <x:f>IF(B127="",0,IF(AND(D127="pagada",NOT(ISNUMBER(M127))),1,0))</x:f>
        <x:v>0</x:v>
      </x:c>
    </x:row>
    <x:row r="128" ht="22" customHeight="1">
      <x:c r="A128" s="11"/>
      <x:c r="B128" s="9"/>
      <x:c r="C128" s="9"/>
      <x:c r="D128" s="9"/>
      <x:c r="E128" s="9"/>
      <x:c r="F128" s="9"/>
      <x:c r="G128" s="9"/>
      <x:c r="H128" s="9"/>
      <x:c r="I128" s="13"/>
      <x:c r="J128" s="15"/>
      <x:c r="K128" s="15"/>
      <x:c r="L128" s="17" t="str">
        <x:f>IF(B128="","",IF(NOT(AND(ISNUMBER(J128),ISNUMBER(K128))),"",SUM(J128:K128)))</x:f>
      </x:c>
      <x:c r="M128" s="15"/>
      <x:c r="N128" s="17" t="str">
        <x:f>IF(OR(B128="",D128&lt;&gt;"pagada",NOT(ISNUMBER(J128)),NOT(ISNUMBER(M128))),"",J128-M128)</x:f>
      </x:c>
      <x:c r="O128" s="9"/>
      <x:c r="P128" s="9"/>
      <x:c r="Q128" s="1" t="str">
        <x:f>IF(B128="","",IF(COUNTIFS($B$7:$B$1006,B128,$C$7:$C$1006,C128)&gt;1,"ID duplicado",IF(OR(A128="",C128="",D128="",E128="",F128="",I128="",J128="",K128="",O128=""),"Completar datos",IF(NOT(ISNUMBER(M128)),"Falta costo histórico","Revisar soporte"))))</x:f>
      </x:c>
      <x:c r="R128" s="9" t="n">
        <x:f>IF(B128="",0,IF(AND(D128="pagada",NOT(ISNUMBER(M128))),1,0))</x:f>
        <x:v>0</x:v>
      </x:c>
    </x:row>
    <x:row r="129" ht="22" customHeight="1">
      <x:c r="A129" s="11"/>
      <x:c r="B129" s="9"/>
      <x:c r="C129" s="9"/>
      <x:c r="D129" s="9"/>
      <x:c r="E129" s="9"/>
      <x:c r="F129" s="9"/>
      <x:c r="G129" s="9"/>
      <x:c r="H129" s="9"/>
      <x:c r="I129" s="13"/>
      <x:c r="J129" s="15"/>
      <x:c r="K129" s="15"/>
      <x:c r="L129" s="17" t="str">
        <x:f>IF(B129="","",IF(NOT(AND(ISNUMBER(J129),ISNUMBER(K129))),"",SUM(J129:K129)))</x:f>
      </x:c>
      <x:c r="M129" s="15"/>
      <x:c r="N129" s="17" t="str">
        <x:f>IF(OR(B129="",D129&lt;&gt;"pagada",NOT(ISNUMBER(J129)),NOT(ISNUMBER(M129))),"",J129-M129)</x:f>
      </x:c>
      <x:c r="O129" s="9"/>
      <x:c r="P129" s="9"/>
      <x:c r="Q129" s="1" t="str">
        <x:f>IF(B129="","",IF(COUNTIFS($B$7:$B$1006,B129,$C$7:$C$1006,C129)&gt;1,"ID duplicado",IF(OR(A129="",C129="",D129="",E129="",F129="",I129="",J129="",K129="",O129=""),"Completar datos",IF(NOT(ISNUMBER(M129)),"Falta costo histórico","Revisar soporte"))))</x:f>
      </x:c>
      <x:c r="R129" s="9" t="n">
        <x:f>IF(B129="",0,IF(AND(D129="pagada",NOT(ISNUMBER(M129))),1,0))</x:f>
        <x:v>0</x:v>
      </x:c>
    </x:row>
    <x:row r="130" ht="22" customHeight="1">
      <x:c r="A130" s="11"/>
      <x:c r="B130" s="9"/>
      <x:c r="C130" s="9"/>
      <x:c r="D130" s="9"/>
      <x:c r="E130" s="9"/>
      <x:c r="F130" s="9"/>
      <x:c r="G130" s="9"/>
      <x:c r="H130" s="9"/>
      <x:c r="I130" s="13"/>
      <x:c r="J130" s="15"/>
      <x:c r="K130" s="15"/>
      <x:c r="L130" s="17" t="str">
        <x:f>IF(B130="","",IF(NOT(AND(ISNUMBER(J130),ISNUMBER(K130))),"",SUM(J130:K130)))</x:f>
      </x:c>
      <x:c r="M130" s="15"/>
      <x:c r="N130" s="17" t="str">
        <x:f>IF(OR(B130="",D130&lt;&gt;"pagada",NOT(ISNUMBER(J130)),NOT(ISNUMBER(M130))),"",J130-M130)</x:f>
      </x:c>
      <x:c r="O130" s="9"/>
      <x:c r="P130" s="9"/>
      <x:c r="Q130" s="1" t="str">
        <x:f>IF(B130="","",IF(COUNTIFS($B$7:$B$1006,B130,$C$7:$C$1006,C130)&gt;1,"ID duplicado",IF(OR(A130="",C130="",D130="",E130="",F130="",I130="",J130="",K130="",O130=""),"Completar datos",IF(NOT(ISNUMBER(M130)),"Falta costo histórico","Revisar soporte"))))</x:f>
      </x:c>
      <x:c r="R130" s="9" t="n">
        <x:f>IF(B130="",0,IF(AND(D130="pagada",NOT(ISNUMBER(M130))),1,0))</x:f>
        <x:v>0</x:v>
      </x:c>
    </x:row>
    <x:row r="131" ht="22" customHeight="1">
      <x:c r="A131" s="11"/>
      <x:c r="B131" s="9"/>
      <x:c r="C131" s="9"/>
      <x:c r="D131" s="9"/>
      <x:c r="E131" s="9"/>
      <x:c r="F131" s="9"/>
      <x:c r="G131" s="9"/>
      <x:c r="H131" s="9"/>
      <x:c r="I131" s="13"/>
      <x:c r="J131" s="15"/>
      <x:c r="K131" s="15"/>
      <x:c r="L131" s="17" t="str">
        <x:f>IF(B131="","",IF(NOT(AND(ISNUMBER(J131),ISNUMBER(K131))),"",SUM(J131:K131)))</x:f>
      </x:c>
      <x:c r="M131" s="15"/>
      <x:c r="N131" s="17" t="str">
        <x:f>IF(OR(B131="",D131&lt;&gt;"pagada",NOT(ISNUMBER(J131)),NOT(ISNUMBER(M131))),"",J131-M131)</x:f>
      </x:c>
      <x:c r="O131" s="9"/>
      <x:c r="P131" s="9"/>
      <x:c r="Q131" s="1" t="str">
        <x:f>IF(B131="","",IF(COUNTIFS($B$7:$B$1006,B131,$C$7:$C$1006,C131)&gt;1,"ID duplicado",IF(OR(A131="",C131="",D131="",E131="",F131="",I131="",J131="",K131="",O131=""),"Completar datos",IF(NOT(ISNUMBER(M131)),"Falta costo histórico","Revisar soporte"))))</x:f>
      </x:c>
      <x:c r="R131" s="9" t="n">
        <x:f>IF(B131="",0,IF(AND(D131="pagada",NOT(ISNUMBER(M131))),1,0))</x:f>
        <x:v>0</x:v>
      </x:c>
    </x:row>
    <x:row r="132" ht="22" customHeight="1">
      <x:c r="A132" s="11"/>
      <x:c r="B132" s="9"/>
      <x:c r="C132" s="9"/>
      <x:c r="D132" s="9"/>
      <x:c r="E132" s="9"/>
      <x:c r="F132" s="9"/>
      <x:c r="G132" s="9"/>
      <x:c r="H132" s="9"/>
      <x:c r="I132" s="13"/>
      <x:c r="J132" s="15"/>
      <x:c r="K132" s="15"/>
      <x:c r="L132" s="17" t="str">
        <x:f>IF(B132="","",IF(NOT(AND(ISNUMBER(J132),ISNUMBER(K132))),"",SUM(J132:K132)))</x:f>
      </x:c>
      <x:c r="M132" s="15"/>
      <x:c r="N132" s="17" t="str">
        <x:f>IF(OR(B132="",D132&lt;&gt;"pagada",NOT(ISNUMBER(J132)),NOT(ISNUMBER(M132))),"",J132-M132)</x:f>
      </x:c>
      <x:c r="O132" s="9"/>
      <x:c r="P132" s="9"/>
      <x:c r="Q132" s="1" t="str">
        <x:f>IF(B132="","",IF(COUNTIFS($B$7:$B$1006,B132,$C$7:$C$1006,C132)&gt;1,"ID duplicado",IF(OR(A132="",C132="",D132="",E132="",F132="",I132="",J132="",K132="",O132=""),"Completar datos",IF(NOT(ISNUMBER(M132)),"Falta costo histórico","Revisar soporte"))))</x:f>
      </x:c>
      <x:c r="R132" s="9" t="n">
        <x:f>IF(B132="",0,IF(AND(D132="pagada",NOT(ISNUMBER(M132))),1,0))</x:f>
        <x:v>0</x:v>
      </x:c>
    </x:row>
    <x:row r="133" ht="22" customHeight="1">
      <x:c r="A133" s="11"/>
      <x:c r="B133" s="9"/>
      <x:c r="C133" s="9"/>
      <x:c r="D133" s="9"/>
      <x:c r="E133" s="9"/>
      <x:c r="F133" s="9"/>
      <x:c r="G133" s="9"/>
      <x:c r="H133" s="9"/>
      <x:c r="I133" s="13"/>
      <x:c r="J133" s="15"/>
      <x:c r="K133" s="15"/>
      <x:c r="L133" s="17" t="str">
        <x:f>IF(B133="","",IF(NOT(AND(ISNUMBER(J133),ISNUMBER(K133))),"",SUM(J133:K133)))</x:f>
      </x:c>
      <x:c r="M133" s="15"/>
      <x:c r="N133" s="17" t="str">
        <x:f>IF(OR(B133="",D133&lt;&gt;"pagada",NOT(ISNUMBER(J133)),NOT(ISNUMBER(M133))),"",J133-M133)</x:f>
      </x:c>
      <x:c r="O133" s="9"/>
      <x:c r="P133" s="9"/>
      <x:c r="Q133" s="1" t="str">
        <x:f>IF(B133="","",IF(COUNTIFS($B$7:$B$1006,B133,$C$7:$C$1006,C133)&gt;1,"ID duplicado",IF(OR(A133="",C133="",D133="",E133="",F133="",I133="",J133="",K133="",O133=""),"Completar datos",IF(NOT(ISNUMBER(M133)),"Falta costo histórico","Revisar soporte"))))</x:f>
      </x:c>
      <x:c r="R133" s="9" t="n">
        <x:f>IF(B133="",0,IF(AND(D133="pagada",NOT(ISNUMBER(M133))),1,0))</x:f>
        <x:v>0</x:v>
      </x:c>
    </x:row>
    <x:row r="134" ht="22" customHeight="1">
      <x:c r="A134" s="11"/>
      <x:c r="B134" s="9"/>
      <x:c r="C134" s="9"/>
      <x:c r="D134" s="9"/>
      <x:c r="E134" s="9"/>
      <x:c r="F134" s="9"/>
      <x:c r="G134" s="9"/>
      <x:c r="H134" s="9"/>
      <x:c r="I134" s="13"/>
      <x:c r="J134" s="15"/>
      <x:c r="K134" s="15"/>
      <x:c r="L134" s="17" t="str">
        <x:f>IF(B134="","",IF(NOT(AND(ISNUMBER(J134),ISNUMBER(K134))),"",SUM(J134:K134)))</x:f>
      </x:c>
      <x:c r="M134" s="15"/>
      <x:c r="N134" s="17" t="str">
        <x:f>IF(OR(B134="",D134&lt;&gt;"pagada",NOT(ISNUMBER(J134)),NOT(ISNUMBER(M134))),"",J134-M134)</x:f>
      </x:c>
      <x:c r="O134" s="9"/>
      <x:c r="P134" s="9"/>
      <x:c r="Q134" s="1" t="str">
        <x:f>IF(B134="","",IF(COUNTIFS($B$7:$B$1006,B134,$C$7:$C$1006,C134)&gt;1,"ID duplicado",IF(OR(A134="",C134="",D134="",E134="",F134="",I134="",J134="",K134="",O134=""),"Completar datos",IF(NOT(ISNUMBER(M134)),"Falta costo histórico","Revisar soporte"))))</x:f>
      </x:c>
      <x:c r="R134" s="9" t="n">
        <x:f>IF(B134="",0,IF(AND(D134="pagada",NOT(ISNUMBER(M134))),1,0))</x:f>
        <x:v>0</x:v>
      </x:c>
    </x:row>
    <x:row r="135" ht="22" customHeight="1">
      <x:c r="A135" s="11"/>
      <x:c r="B135" s="9"/>
      <x:c r="C135" s="9"/>
      <x:c r="D135" s="9"/>
      <x:c r="E135" s="9"/>
      <x:c r="F135" s="9"/>
      <x:c r="G135" s="9"/>
      <x:c r="H135" s="9"/>
      <x:c r="I135" s="13"/>
      <x:c r="J135" s="15"/>
      <x:c r="K135" s="15"/>
      <x:c r="L135" s="17" t="str">
        <x:f>IF(B135="","",IF(NOT(AND(ISNUMBER(J135),ISNUMBER(K135))),"",SUM(J135:K135)))</x:f>
      </x:c>
      <x:c r="M135" s="15"/>
      <x:c r="N135" s="17" t="str">
        <x:f>IF(OR(B135="",D135&lt;&gt;"pagada",NOT(ISNUMBER(J135)),NOT(ISNUMBER(M135))),"",J135-M135)</x:f>
      </x:c>
      <x:c r="O135" s="9"/>
      <x:c r="P135" s="9"/>
      <x:c r="Q135" s="1" t="str">
        <x:f>IF(B135="","",IF(COUNTIFS($B$7:$B$1006,B135,$C$7:$C$1006,C135)&gt;1,"ID duplicado",IF(OR(A135="",C135="",D135="",E135="",F135="",I135="",J135="",K135="",O135=""),"Completar datos",IF(NOT(ISNUMBER(M135)),"Falta costo histórico","Revisar soporte"))))</x:f>
      </x:c>
      <x:c r="R135" s="9" t="n">
        <x:f>IF(B135="",0,IF(AND(D135="pagada",NOT(ISNUMBER(M135))),1,0))</x:f>
        <x:v>0</x:v>
      </x:c>
    </x:row>
    <x:row r="136" ht="22" customHeight="1">
      <x:c r="A136" s="11"/>
      <x:c r="B136" s="9"/>
      <x:c r="C136" s="9"/>
      <x:c r="D136" s="9"/>
      <x:c r="E136" s="9"/>
      <x:c r="F136" s="9"/>
      <x:c r="G136" s="9"/>
      <x:c r="H136" s="9"/>
      <x:c r="I136" s="13"/>
      <x:c r="J136" s="15"/>
      <x:c r="K136" s="15"/>
      <x:c r="L136" s="17" t="str">
        <x:f>IF(B136="","",IF(NOT(AND(ISNUMBER(J136),ISNUMBER(K136))),"",SUM(J136:K136)))</x:f>
      </x:c>
      <x:c r="M136" s="15"/>
      <x:c r="N136" s="17" t="str">
        <x:f>IF(OR(B136="",D136&lt;&gt;"pagada",NOT(ISNUMBER(J136)),NOT(ISNUMBER(M136))),"",J136-M136)</x:f>
      </x:c>
      <x:c r="O136" s="9"/>
      <x:c r="P136" s="9"/>
      <x:c r="Q136" s="1" t="str">
        <x:f>IF(B136="","",IF(COUNTIFS($B$7:$B$1006,B136,$C$7:$C$1006,C136)&gt;1,"ID duplicado",IF(OR(A136="",C136="",D136="",E136="",F136="",I136="",J136="",K136="",O136=""),"Completar datos",IF(NOT(ISNUMBER(M136)),"Falta costo histórico","Revisar soporte"))))</x:f>
      </x:c>
      <x:c r="R136" s="9" t="n">
        <x:f>IF(B136="",0,IF(AND(D136="pagada",NOT(ISNUMBER(M136))),1,0))</x:f>
        <x:v>0</x:v>
      </x:c>
    </x:row>
    <x:row r="137" ht="22" customHeight="1">
      <x:c r="A137" s="11"/>
      <x:c r="B137" s="9"/>
      <x:c r="C137" s="9"/>
      <x:c r="D137" s="9"/>
      <x:c r="E137" s="9"/>
      <x:c r="F137" s="9"/>
      <x:c r="G137" s="9"/>
      <x:c r="H137" s="9"/>
      <x:c r="I137" s="13"/>
      <x:c r="J137" s="15"/>
      <x:c r="K137" s="15"/>
      <x:c r="L137" s="17" t="str">
        <x:f>IF(B137="","",IF(NOT(AND(ISNUMBER(J137),ISNUMBER(K137))),"",SUM(J137:K137)))</x:f>
      </x:c>
      <x:c r="M137" s="15"/>
      <x:c r="N137" s="17" t="str">
        <x:f>IF(OR(B137="",D137&lt;&gt;"pagada",NOT(ISNUMBER(J137)),NOT(ISNUMBER(M137))),"",J137-M137)</x:f>
      </x:c>
      <x:c r="O137" s="9"/>
      <x:c r="P137" s="9"/>
      <x:c r="Q137" s="1" t="str">
        <x:f>IF(B137="","",IF(COUNTIFS($B$7:$B$1006,B137,$C$7:$C$1006,C137)&gt;1,"ID duplicado",IF(OR(A137="",C137="",D137="",E137="",F137="",I137="",J137="",K137="",O137=""),"Completar datos",IF(NOT(ISNUMBER(M137)),"Falta costo histórico","Revisar soporte"))))</x:f>
      </x:c>
      <x:c r="R137" s="9" t="n">
        <x:f>IF(B137="",0,IF(AND(D137="pagada",NOT(ISNUMBER(M137))),1,0))</x:f>
        <x:v>0</x:v>
      </x:c>
    </x:row>
    <x:row r="138" ht="22" customHeight="1">
      <x:c r="A138" s="11"/>
      <x:c r="B138" s="9"/>
      <x:c r="C138" s="9"/>
      <x:c r="D138" s="9"/>
      <x:c r="E138" s="9"/>
      <x:c r="F138" s="9"/>
      <x:c r="G138" s="9"/>
      <x:c r="H138" s="9"/>
      <x:c r="I138" s="13"/>
      <x:c r="J138" s="15"/>
      <x:c r="K138" s="15"/>
      <x:c r="L138" s="17" t="str">
        <x:f>IF(B138="","",IF(NOT(AND(ISNUMBER(J138),ISNUMBER(K138))),"",SUM(J138:K138)))</x:f>
      </x:c>
      <x:c r="M138" s="15"/>
      <x:c r="N138" s="17" t="str">
        <x:f>IF(OR(B138="",D138&lt;&gt;"pagada",NOT(ISNUMBER(J138)),NOT(ISNUMBER(M138))),"",J138-M138)</x:f>
      </x:c>
      <x:c r="O138" s="9"/>
      <x:c r="P138" s="9"/>
      <x:c r="Q138" s="1" t="str">
        <x:f>IF(B138="","",IF(COUNTIFS($B$7:$B$1006,B138,$C$7:$C$1006,C138)&gt;1,"ID duplicado",IF(OR(A138="",C138="",D138="",E138="",F138="",I138="",J138="",K138="",O138=""),"Completar datos",IF(NOT(ISNUMBER(M138)),"Falta costo histórico","Revisar soporte"))))</x:f>
      </x:c>
      <x:c r="R138" s="9" t="n">
        <x:f>IF(B138="",0,IF(AND(D138="pagada",NOT(ISNUMBER(M138))),1,0))</x:f>
        <x:v>0</x:v>
      </x:c>
    </x:row>
    <x:row r="139" ht="22" customHeight="1">
      <x:c r="A139" s="11"/>
      <x:c r="B139" s="9"/>
      <x:c r="C139" s="9"/>
      <x:c r="D139" s="9"/>
      <x:c r="E139" s="9"/>
      <x:c r="F139" s="9"/>
      <x:c r="G139" s="9"/>
      <x:c r="H139" s="9"/>
      <x:c r="I139" s="13"/>
      <x:c r="J139" s="15"/>
      <x:c r="K139" s="15"/>
      <x:c r="L139" s="17" t="str">
        <x:f>IF(B139="","",IF(NOT(AND(ISNUMBER(J139),ISNUMBER(K139))),"",SUM(J139:K139)))</x:f>
      </x:c>
      <x:c r="M139" s="15"/>
      <x:c r="N139" s="17" t="str">
        <x:f>IF(OR(B139="",D139&lt;&gt;"pagada",NOT(ISNUMBER(J139)),NOT(ISNUMBER(M139))),"",J139-M139)</x:f>
      </x:c>
      <x:c r="O139" s="9"/>
      <x:c r="P139" s="9"/>
      <x:c r="Q139" s="1" t="str">
        <x:f>IF(B139="","",IF(COUNTIFS($B$7:$B$1006,B139,$C$7:$C$1006,C139)&gt;1,"ID duplicado",IF(OR(A139="",C139="",D139="",E139="",F139="",I139="",J139="",K139="",O139=""),"Completar datos",IF(NOT(ISNUMBER(M139)),"Falta costo histórico","Revisar soporte"))))</x:f>
      </x:c>
      <x:c r="R139" s="9" t="n">
        <x:f>IF(B139="",0,IF(AND(D139="pagada",NOT(ISNUMBER(M139))),1,0))</x:f>
        <x:v>0</x:v>
      </x:c>
    </x:row>
    <x:row r="140" ht="22" customHeight="1">
      <x:c r="A140" s="11"/>
      <x:c r="B140" s="9"/>
      <x:c r="C140" s="9"/>
      <x:c r="D140" s="9"/>
      <x:c r="E140" s="9"/>
      <x:c r="F140" s="9"/>
      <x:c r="G140" s="9"/>
      <x:c r="H140" s="9"/>
      <x:c r="I140" s="13"/>
      <x:c r="J140" s="15"/>
      <x:c r="K140" s="15"/>
      <x:c r="L140" s="17" t="str">
        <x:f>IF(B140="","",IF(NOT(AND(ISNUMBER(J140),ISNUMBER(K140))),"",SUM(J140:K140)))</x:f>
      </x:c>
      <x:c r="M140" s="15"/>
      <x:c r="N140" s="17" t="str">
        <x:f>IF(OR(B140="",D140&lt;&gt;"pagada",NOT(ISNUMBER(J140)),NOT(ISNUMBER(M140))),"",J140-M140)</x:f>
      </x:c>
      <x:c r="O140" s="9"/>
      <x:c r="P140" s="9"/>
      <x:c r="Q140" s="1" t="str">
        <x:f>IF(B140="","",IF(COUNTIFS($B$7:$B$1006,B140,$C$7:$C$1006,C140)&gt;1,"ID duplicado",IF(OR(A140="",C140="",D140="",E140="",F140="",I140="",J140="",K140="",O140=""),"Completar datos",IF(NOT(ISNUMBER(M140)),"Falta costo histórico","Revisar soporte"))))</x:f>
      </x:c>
      <x:c r="R140" s="9" t="n">
        <x:f>IF(B140="",0,IF(AND(D140="pagada",NOT(ISNUMBER(M140))),1,0))</x:f>
        <x:v>0</x:v>
      </x:c>
    </x:row>
    <x:row r="141" ht="22" customHeight="1">
      <x:c r="A141" s="11"/>
      <x:c r="B141" s="9"/>
      <x:c r="C141" s="9"/>
      <x:c r="D141" s="9"/>
      <x:c r="E141" s="9"/>
      <x:c r="F141" s="9"/>
      <x:c r="G141" s="9"/>
      <x:c r="H141" s="9"/>
      <x:c r="I141" s="13"/>
      <x:c r="J141" s="15"/>
      <x:c r="K141" s="15"/>
      <x:c r="L141" s="17" t="str">
        <x:f>IF(B141="","",IF(NOT(AND(ISNUMBER(J141),ISNUMBER(K141))),"",SUM(J141:K141)))</x:f>
      </x:c>
      <x:c r="M141" s="15"/>
      <x:c r="N141" s="17" t="str">
        <x:f>IF(OR(B141="",D141&lt;&gt;"pagada",NOT(ISNUMBER(J141)),NOT(ISNUMBER(M141))),"",J141-M141)</x:f>
      </x:c>
      <x:c r="O141" s="9"/>
      <x:c r="P141" s="9"/>
      <x:c r="Q141" s="1" t="str">
        <x:f>IF(B141="","",IF(COUNTIFS($B$7:$B$1006,B141,$C$7:$C$1006,C141)&gt;1,"ID duplicado",IF(OR(A141="",C141="",D141="",E141="",F141="",I141="",J141="",K141="",O141=""),"Completar datos",IF(NOT(ISNUMBER(M141)),"Falta costo histórico","Revisar soporte"))))</x:f>
      </x:c>
      <x:c r="R141" s="9" t="n">
        <x:f>IF(B141="",0,IF(AND(D141="pagada",NOT(ISNUMBER(M141))),1,0))</x:f>
        <x:v>0</x:v>
      </x:c>
    </x:row>
    <x:row r="142" ht="22" customHeight="1">
      <x:c r="A142" s="11"/>
      <x:c r="B142" s="9"/>
      <x:c r="C142" s="9"/>
      <x:c r="D142" s="9"/>
      <x:c r="E142" s="9"/>
      <x:c r="F142" s="9"/>
      <x:c r="G142" s="9"/>
      <x:c r="H142" s="9"/>
      <x:c r="I142" s="13"/>
      <x:c r="J142" s="15"/>
      <x:c r="K142" s="15"/>
      <x:c r="L142" s="17" t="str">
        <x:f>IF(B142="","",IF(NOT(AND(ISNUMBER(J142),ISNUMBER(K142))),"",SUM(J142:K142)))</x:f>
      </x:c>
      <x:c r="M142" s="15"/>
      <x:c r="N142" s="17" t="str">
        <x:f>IF(OR(B142="",D142&lt;&gt;"pagada",NOT(ISNUMBER(J142)),NOT(ISNUMBER(M142))),"",J142-M142)</x:f>
      </x:c>
      <x:c r="O142" s="9"/>
      <x:c r="P142" s="9"/>
      <x:c r="Q142" s="1" t="str">
        <x:f>IF(B142="","",IF(COUNTIFS($B$7:$B$1006,B142,$C$7:$C$1006,C142)&gt;1,"ID duplicado",IF(OR(A142="",C142="",D142="",E142="",F142="",I142="",J142="",K142="",O142=""),"Completar datos",IF(NOT(ISNUMBER(M142)),"Falta costo histórico","Revisar soporte"))))</x:f>
      </x:c>
      <x:c r="R142" s="9" t="n">
        <x:f>IF(B142="",0,IF(AND(D142="pagada",NOT(ISNUMBER(M142))),1,0))</x:f>
        <x:v>0</x:v>
      </x:c>
    </x:row>
    <x:row r="143" ht="22" customHeight="1">
      <x:c r="A143" s="11"/>
      <x:c r="B143" s="9"/>
      <x:c r="C143" s="9"/>
      <x:c r="D143" s="9"/>
      <x:c r="E143" s="9"/>
      <x:c r="F143" s="9"/>
      <x:c r="G143" s="9"/>
      <x:c r="H143" s="9"/>
      <x:c r="I143" s="13"/>
      <x:c r="J143" s="15"/>
      <x:c r="K143" s="15"/>
      <x:c r="L143" s="17" t="str">
        <x:f>IF(B143="","",IF(NOT(AND(ISNUMBER(J143),ISNUMBER(K143))),"",SUM(J143:K143)))</x:f>
      </x:c>
      <x:c r="M143" s="15"/>
      <x:c r="N143" s="17" t="str">
        <x:f>IF(OR(B143="",D143&lt;&gt;"pagada",NOT(ISNUMBER(J143)),NOT(ISNUMBER(M143))),"",J143-M143)</x:f>
      </x:c>
      <x:c r="O143" s="9"/>
      <x:c r="P143" s="9"/>
      <x:c r="Q143" s="1" t="str">
        <x:f>IF(B143="","",IF(COUNTIFS($B$7:$B$1006,B143,$C$7:$C$1006,C143)&gt;1,"ID duplicado",IF(OR(A143="",C143="",D143="",E143="",F143="",I143="",J143="",K143="",O143=""),"Completar datos",IF(NOT(ISNUMBER(M143)),"Falta costo histórico","Revisar soporte"))))</x:f>
      </x:c>
      <x:c r="R143" s="9" t="n">
        <x:f>IF(B143="",0,IF(AND(D143="pagada",NOT(ISNUMBER(M143))),1,0))</x:f>
        <x:v>0</x:v>
      </x:c>
    </x:row>
    <x:row r="144" ht="22" customHeight="1">
      <x:c r="A144" s="11"/>
      <x:c r="B144" s="9"/>
      <x:c r="C144" s="9"/>
      <x:c r="D144" s="9"/>
      <x:c r="E144" s="9"/>
      <x:c r="F144" s="9"/>
      <x:c r="G144" s="9"/>
      <x:c r="H144" s="9"/>
      <x:c r="I144" s="13"/>
      <x:c r="J144" s="15"/>
      <x:c r="K144" s="15"/>
      <x:c r="L144" s="17" t="str">
        <x:f>IF(B144="","",IF(NOT(AND(ISNUMBER(J144),ISNUMBER(K144))),"",SUM(J144:K144)))</x:f>
      </x:c>
      <x:c r="M144" s="15"/>
      <x:c r="N144" s="17" t="str">
        <x:f>IF(OR(B144="",D144&lt;&gt;"pagada",NOT(ISNUMBER(J144)),NOT(ISNUMBER(M144))),"",J144-M144)</x:f>
      </x:c>
      <x:c r="O144" s="9"/>
      <x:c r="P144" s="9"/>
      <x:c r="Q144" s="1" t="str">
        <x:f>IF(B144="","",IF(COUNTIFS($B$7:$B$1006,B144,$C$7:$C$1006,C144)&gt;1,"ID duplicado",IF(OR(A144="",C144="",D144="",E144="",F144="",I144="",J144="",K144="",O144=""),"Completar datos",IF(NOT(ISNUMBER(M144)),"Falta costo histórico","Revisar soporte"))))</x:f>
      </x:c>
      <x:c r="R144" s="9" t="n">
        <x:f>IF(B144="",0,IF(AND(D144="pagada",NOT(ISNUMBER(M144))),1,0))</x:f>
        <x:v>0</x:v>
      </x:c>
    </x:row>
    <x:row r="145" ht="22" customHeight="1">
      <x:c r="A145" s="11"/>
      <x:c r="B145" s="9"/>
      <x:c r="C145" s="9"/>
      <x:c r="D145" s="9"/>
      <x:c r="E145" s="9"/>
      <x:c r="F145" s="9"/>
      <x:c r="G145" s="9"/>
      <x:c r="H145" s="9"/>
      <x:c r="I145" s="13"/>
      <x:c r="J145" s="15"/>
      <x:c r="K145" s="15"/>
      <x:c r="L145" s="17" t="str">
        <x:f>IF(B145="","",IF(NOT(AND(ISNUMBER(J145),ISNUMBER(K145))),"",SUM(J145:K145)))</x:f>
      </x:c>
      <x:c r="M145" s="15"/>
      <x:c r="N145" s="17" t="str">
        <x:f>IF(OR(B145="",D145&lt;&gt;"pagada",NOT(ISNUMBER(J145)),NOT(ISNUMBER(M145))),"",J145-M145)</x:f>
      </x:c>
      <x:c r="O145" s="9"/>
      <x:c r="P145" s="9"/>
      <x:c r="Q145" s="1" t="str">
        <x:f>IF(B145="","",IF(COUNTIFS($B$7:$B$1006,B145,$C$7:$C$1006,C145)&gt;1,"ID duplicado",IF(OR(A145="",C145="",D145="",E145="",F145="",I145="",J145="",K145="",O145=""),"Completar datos",IF(NOT(ISNUMBER(M145)),"Falta costo histórico","Revisar soporte"))))</x:f>
      </x:c>
      <x:c r="R145" s="9" t="n">
        <x:f>IF(B145="",0,IF(AND(D145="pagada",NOT(ISNUMBER(M145))),1,0))</x:f>
        <x:v>0</x:v>
      </x:c>
    </x:row>
    <x:row r="146" ht="22" customHeight="1">
      <x:c r="A146" s="11"/>
      <x:c r="B146" s="9"/>
      <x:c r="C146" s="9"/>
      <x:c r="D146" s="9"/>
      <x:c r="E146" s="9"/>
      <x:c r="F146" s="9"/>
      <x:c r="G146" s="9"/>
      <x:c r="H146" s="9"/>
      <x:c r="I146" s="13"/>
      <x:c r="J146" s="15"/>
      <x:c r="K146" s="15"/>
      <x:c r="L146" s="17" t="str">
        <x:f>IF(B146="","",IF(NOT(AND(ISNUMBER(J146),ISNUMBER(K146))),"",SUM(J146:K146)))</x:f>
      </x:c>
      <x:c r="M146" s="15"/>
      <x:c r="N146" s="17" t="str">
        <x:f>IF(OR(B146="",D146&lt;&gt;"pagada",NOT(ISNUMBER(J146)),NOT(ISNUMBER(M146))),"",J146-M146)</x:f>
      </x:c>
      <x:c r="O146" s="9"/>
      <x:c r="P146" s="9"/>
      <x:c r="Q146" s="1" t="str">
        <x:f>IF(B146="","",IF(COUNTIFS($B$7:$B$1006,B146,$C$7:$C$1006,C146)&gt;1,"ID duplicado",IF(OR(A146="",C146="",D146="",E146="",F146="",I146="",J146="",K146="",O146=""),"Completar datos",IF(NOT(ISNUMBER(M146)),"Falta costo histórico","Revisar soporte"))))</x:f>
      </x:c>
      <x:c r="R146" s="9" t="n">
        <x:f>IF(B146="",0,IF(AND(D146="pagada",NOT(ISNUMBER(M146))),1,0))</x:f>
        <x:v>0</x:v>
      </x:c>
    </x:row>
    <x:row r="147" ht="22" customHeight="1">
      <x:c r="A147" s="11"/>
      <x:c r="B147" s="9"/>
      <x:c r="C147" s="9"/>
      <x:c r="D147" s="9"/>
      <x:c r="E147" s="9"/>
      <x:c r="F147" s="9"/>
      <x:c r="G147" s="9"/>
      <x:c r="H147" s="9"/>
      <x:c r="I147" s="13"/>
      <x:c r="J147" s="15"/>
      <x:c r="K147" s="15"/>
      <x:c r="L147" s="17" t="str">
        <x:f>IF(B147="","",IF(NOT(AND(ISNUMBER(J147),ISNUMBER(K147))),"",SUM(J147:K147)))</x:f>
      </x:c>
      <x:c r="M147" s="15"/>
      <x:c r="N147" s="17" t="str">
        <x:f>IF(OR(B147="",D147&lt;&gt;"pagada",NOT(ISNUMBER(J147)),NOT(ISNUMBER(M147))),"",J147-M147)</x:f>
      </x:c>
      <x:c r="O147" s="9"/>
      <x:c r="P147" s="9"/>
      <x:c r="Q147" s="1" t="str">
        <x:f>IF(B147="","",IF(COUNTIFS($B$7:$B$1006,B147,$C$7:$C$1006,C147)&gt;1,"ID duplicado",IF(OR(A147="",C147="",D147="",E147="",F147="",I147="",J147="",K147="",O147=""),"Completar datos",IF(NOT(ISNUMBER(M147)),"Falta costo histórico","Revisar soporte"))))</x:f>
      </x:c>
      <x:c r="R147" s="9" t="n">
        <x:f>IF(B147="",0,IF(AND(D147="pagada",NOT(ISNUMBER(M147))),1,0))</x:f>
        <x:v>0</x:v>
      </x:c>
    </x:row>
    <x:row r="148" ht="22" customHeight="1">
      <x:c r="A148" s="11"/>
      <x:c r="B148" s="9"/>
      <x:c r="C148" s="9"/>
      <x:c r="D148" s="9"/>
      <x:c r="E148" s="9"/>
      <x:c r="F148" s="9"/>
      <x:c r="G148" s="9"/>
      <x:c r="H148" s="9"/>
      <x:c r="I148" s="13"/>
      <x:c r="J148" s="15"/>
      <x:c r="K148" s="15"/>
      <x:c r="L148" s="17" t="str">
        <x:f>IF(B148="","",IF(NOT(AND(ISNUMBER(J148),ISNUMBER(K148))),"",SUM(J148:K148)))</x:f>
      </x:c>
      <x:c r="M148" s="15"/>
      <x:c r="N148" s="17" t="str">
        <x:f>IF(OR(B148="",D148&lt;&gt;"pagada",NOT(ISNUMBER(J148)),NOT(ISNUMBER(M148))),"",J148-M148)</x:f>
      </x:c>
      <x:c r="O148" s="9"/>
      <x:c r="P148" s="9"/>
      <x:c r="Q148" s="1" t="str">
        <x:f>IF(B148="","",IF(COUNTIFS($B$7:$B$1006,B148,$C$7:$C$1006,C148)&gt;1,"ID duplicado",IF(OR(A148="",C148="",D148="",E148="",F148="",I148="",J148="",K148="",O148=""),"Completar datos",IF(NOT(ISNUMBER(M148)),"Falta costo histórico","Revisar soporte"))))</x:f>
      </x:c>
      <x:c r="R148" s="9" t="n">
        <x:f>IF(B148="",0,IF(AND(D148="pagada",NOT(ISNUMBER(M148))),1,0))</x:f>
        <x:v>0</x:v>
      </x:c>
    </x:row>
    <x:row r="149" ht="22" customHeight="1">
      <x:c r="A149" s="11"/>
      <x:c r="B149" s="9"/>
      <x:c r="C149" s="9"/>
      <x:c r="D149" s="9"/>
      <x:c r="E149" s="9"/>
      <x:c r="F149" s="9"/>
      <x:c r="G149" s="9"/>
      <x:c r="H149" s="9"/>
      <x:c r="I149" s="13"/>
      <x:c r="J149" s="15"/>
      <x:c r="K149" s="15"/>
      <x:c r="L149" s="17" t="str">
        <x:f>IF(B149="","",IF(NOT(AND(ISNUMBER(J149),ISNUMBER(K149))),"",SUM(J149:K149)))</x:f>
      </x:c>
      <x:c r="M149" s="15"/>
      <x:c r="N149" s="17" t="str">
        <x:f>IF(OR(B149="",D149&lt;&gt;"pagada",NOT(ISNUMBER(J149)),NOT(ISNUMBER(M149))),"",J149-M149)</x:f>
      </x:c>
      <x:c r="O149" s="9"/>
      <x:c r="P149" s="9"/>
      <x:c r="Q149" s="1" t="str">
        <x:f>IF(B149="","",IF(COUNTIFS($B$7:$B$1006,B149,$C$7:$C$1006,C149)&gt;1,"ID duplicado",IF(OR(A149="",C149="",D149="",E149="",F149="",I149="",J149="",K149="",O149=""),"Completar datos",IF(NOT(ISNUMBER(M149)),"Falta costo histórico","Revisar soporte"))))</x:f>
      </x:c>
      <x:c r="R149" s="9" t="n">
        <x:f>IF(B149="",0,IF(AND(D149="pagada",NOT(ISNUMBER(M149))),1,0))</x:f>
        <x:v>0</x:v>
      </x:c>
    </x:row>
    <x:row r="150" ht="22" customHeight="1">
      <x:c r="A150" s="11"/>
      <x:c r="B150" s="9"/>
      <x:c r="C150" s="9"/>
      <x:c r="D150" s="9"/>
      <x:c r="E150" s="9"/>
      <x:c r="F150" s="9"/>
      <x:c r="G150" s="9"/>
      <x:c r="H150" s="9"/>
      <x:c r="I150" s="13"/>
      <x:c r="J150" s="15"/>
      <x:c r="K150" s="15"/>
      <x:c r="L150" s="17" t="str">
        <x:f>IF(B150="","",IF(NOT(AND(ISNUMBER(J150),ISNUMBER(K150))),"",SUM(J150:K150)))</x:f>
      </x:c>
      <x:c r="M150" s="15"/>
      <x:c r="N150" s="17" t="str">
        <x:f>IF(OR(B150="",D150&lt;&gt;"pagada",NOT(ISNUMBER(J150)),NOT(ISNUMBER(M150))),"",J150-M150)</x:f>
      </x:c>
      <x:c r="O150" s="9"/>
      <x:c r="P150" s="9"/>
      <x:c r="Q150" s="1" t="str">
        <x:f>IF(B150="","",IF(COUNTIFS($B$7:$B$1006,B150,$C$7:$C$1006,C150)&gt;1,"ID duplicado",IF(OR(A150="",C150="",D150="",E150="",F150="",I150="",J150="",K150="",O150=""),"Completar datos",IF(NOT(ISNUMBER(M150)),"Falta costo histórico","Revisar soporte"))))</x:f>
      </x:c>
      <x:c r="R150" s="9" t="n">
        <x:f>IF(B150="",0,IF(AND(D150="pagada",NOT(ISNUMBER(M150))),1,0))</x:f>
        <x:v>0</x:v>
      </x:c>
    </x:row>
    <x:row r="151" ht="22" customHeight="1">
      <x:c r="A151" s="11"/>
      <x:c r="B151" s="9"/>
      <x:c r="C151" s="9"/>
      <x:c r="D151" s="9"/>
      <x:c r="E151" s="9"/>
      <x:c r="F151" s="9"/>
      <x:c r="G151" s="9"/>
      <x:c r="H151" s="9"/>
      <x:c r="I151" s="13"/>
      <x:c r="J151" s="15"/>
      <x:c r="K151" s="15"/>
      <x:c r="L151" s="17" t="str">
        <x:f>IF(B151="","",IF(NOT(AND(ISNUMBER(J151),ISNUMBER(K151))),"",SUM(J151:K151)))</x:f>
      </x:c>
      <x:c r="M151" s="15"/>
      <x:c r="N151" s="17" t="str">
        <x:f>IF(OR(B151="",D151&lt;&gt;"pagada",NOT(ISNUMBER(J151)),NOT(ISNUMBER(M151))),"",J151-M151)</x:f>
      </x:c>
      <x:c r="O151" s="9"/>
      <x:c r="P151" s="9"/>
      <x:c r="Q151" s="1" t="str">
        <x:f>IF(B151="","",IF(COUNTIFS($B$7:$B$1006,B151,$C$7:$C$1006,C151)&gt;1,"ID duplicado",IF(OR(A151="",C151="",D151="",E151="",F151="",I151="",J151="",K151="",O151=""),"Completar datos",IF(NOT(ISNUMBER(M151)),"Falta costo histórico","Revisar soporte"))))</x:f>
      </x:c>
      <x:c r="R151" s="9" t="n">
        <x:f>IF(B151="",0,IF(AND(D151="pagada",NOT(ISNUMBER(M151))),1,0))</x:f>
        <x:v>0</x:v>
      </x:c>
    </x:row>
    <x:row r="152" ht="22" customHeight="1">
      <x:c r="A152" s="11"/>
      <x:c r="B152" s="9"/>
      <x:c r="C152" s="9"/>
      <x:c r="D152" s="9"/>
      <x:c r="E152" s="9"/>
      <x:c r="F152" s="9"/>
      <x:c r="G152" s="9"/>
      <x:c r="H152" s="9"/>
      <x:c r="I152" s="13"/>
      <x:c r="J152" s="15"/>
      <x:c r="K152" s="15"/>
      <x:c r="L152" s="17" t="str">
        <x:f>IF(B152="","",IF(NOT(AND(ISNUMBER(J152),ISNUMBER(K152))),"",SUM(J152:K152)))</x:f>
      </x:c>
      <x:c r="M152" s="15"/>
      <x:c r="N152" s="17" t="str">
        <x:f>IF(OR(B152="",D152&lt;&gt;"pagada",NOT(ISNUMBER(J152)),NOT(ISNUMBER(M152))),"",J152-M152)</x:f>
      </x:c>
      <x:c r="O152" s="9"/>
      <x:c r="P152" s="9"/>
      <x:c r="Q152" s="1" t="str">
        <x:f>IF(B152="","",IF(COUNTIFS($B$7:$B$1006,B152,$C$7:$C$1006,C152)&gt;1,"ID duplicado",IF(OR(A152="",C152="",D152="",E152="",F152="",I152="",J152="",K152="",O152=""),"Completar datos",IF(NOT(ISNUMBER(M152)),"Falta costo histórico","Revisar soporte"))))</x:f>
      </x:c>
      <x:c r="R152" s="9" t="n">
        <x:f>IF(B152="",0,IF(AND(D152="pagada",NOT(ISNUMBER(M152))),1,0))</x:f>
        <x:v>0</x:v>
      </x:c>
    </x:row>
    <x:row r="153" ht="22" customHeight="1">
      <x:c r="A153" s="11"/>
      <x:c r="B153" s="9"/>
      <x:c r="C153" s="9"/>
      <x:c r="D153" s="9"/>
      <x:c r="E153" s="9"/>
      <x:c r="F153" s="9"/>
      <x:c r="G153" s="9"/>
      <x:c r="H153" s="9"/>
      <x:c r="I153" s="13"/>
      <x:c r="J153" s="15"/>
      <x:c r="K153" s="15"/>
      <x:c r="L153" s="17" t="str">
        <x:f>IF(B153="","",IF(NOT(AND(ISNUMBER(J153),ISNUMBER(K153))),"",SUM(J153:K153)))</x:f>
      </x:c>
      <x:c r="M153" s="15"/>
      <x:c r="N153" s="17" t="str">
        <x:f>IF(OR(B153="",D153&lt;&gt;"pagada",NOT(ISNUMBER(J153)),NOT(ISNUMBER(M153))),"",J153-M153)</x:f>
      </x:c>
      <x:c r="O153" s="9"/>
      <x:c r="P153" s="9"/>
      <x:c r="Q153" s="1" t="str">
        <x:f>IF(B153="","",IF(COUNTIFS($B$7:$B$1006,B153,$C$7:$C$1006,C153)&gt;1,"ID duplicado",IF(OR(A153="",C153="",D153="",E153="",F153="",I153="",J153="",K153="",O153=""),"Completar datos",IF(NOT(ISNUMBER(M153)),"Falta costo histórico","Revisar soporte"))))</x:f>
      </x:c>
      <x:c r="R153" s="9" t="n">
        <x:f>IF(B153="",0,IF(AND(D153="pagada",NOT(ISNUMBER(M153))),1,0))</x:f>
        <x:v>0</x:v>
      </x:c>
    </x:row>
    <x:row r="154" ht="22" customHeight="1">
      <x:c r="A154" s="11"/>
      <x:c r="B154" s="9"/>
      <x:c r="C154" s="9"/>
      <x:c r="D154" s="9"/>
      <x:c r="E154" s="9"/>
      <x:c r="F154" s="9"/>
      <x:c r="G154" s="9"/>
      <x:c r="H154" s="9"/>
      <x:c r="I154" s="13"/>
      <x:c r="J154" s="15"/>
      <x:c r="K154" s="15"/>
      <x:c r="L154" s="17" t="str">
        <x:f>IF(B154="","",IF(NOT(AND(ISNUMBER(J154),ISNUMBER(K154))),"",SUM(J154:K154)))</x:f>
      </x:c>
      <x:c r="M154" s="15"/>
      <x:c r="N154" s="17" t="str">
        <x:f>IF(OR(B154="",D154&lt;&gt;"pagada",NOT(ISNUMBER(J154)),NOT(ISNUMBER(M154))),"",J154-M154)</x:f>
      </x:c>
      <x:c r="O154" s="9"/>
      <x:c r="P154" s="9"/>
      <x:c r="Q154" s="1" t="str">
        <x:f>IF(B154="","",IF(COUNTIFS($B$7:$B$1006,B154,$C$7:$C$1006,C154)&gt;1,"ID duplicado",IF(OR(A154="",C154="",D154="",E154="",F154="",I154="",J154="",K154="",O154=""),"Completar datos",IF(NOT(ISNUMBER(M154)),"Falta costo histórico","Revisar soporte"))))</x:f>
      </x:c>
      <x:c r="R154" s="9" t="n">
        <x:f>IF(B154="",0,IF(AND(D154="pagada",NOT(ISNUMBER(M154))),1,0))</x:f>
        <x:v>0</x:v>
      </x:c>
    </x:row>
    <x:row r="155" ht="22" customHeight="1">
      <x:c r="A155" s="11"/>
      <x:c r="B155" s="9"/>
      <x:c r="C155" s="9"/>
      <x:c r="D155" s="9"/>
      <x:c r="E155" s="9"/>
      <x:c r="F155" s="9"/>
      <x:c r="G155" s="9"/>
      <x:c r="H155" s="9"/>
      <x:c r="I155" s="13"/>
      <x:c r="J155" s="15"/>
      <x:c r="K155" s="15"/>
      <x:c r="L155" s="17" t="str">
        <x:f>IF(B155="","",IF(NOT(AND(ISNUMBER(J155),ISNUMBER(K155))),"",SUM(J155:K155)))</x:f>
      </x:c>
      <x:c r="M155" s="15"/>
      <x:c r="N155" s="17" t="str">
        <x:f>IF(OR(B155="",D155&lt;&gt;"pagada",NOT(ISNUMBER(J155)),NOT(ISNUMBER(M155))),"",J155-M155)</x:f>
      </x:c>
      <x:c r="O155" s="9"/>
      <x:c r="P155" s="9"/>
      <x:c r="Q155" s="1" t="str">
        <x:f>IF(B155="","",IF(COUNTIFS($B$7:$B$1006,B155,$C$7:$C$1006,C155)&gt;1,"ID duplicado",IF(OR(A155="",C155="",D155="",E155="",F155="",I155="",J155="",K155="",O155=""),"Completar datos",IF(NOT(ISNUMBER(M155)),"Falta costo histórico","Revisar soporte"))))</x:f>
      </x:c>
      <x:c r="R155" s="9" t="n">
        <x:f>IF(B155="",0,IF(AND(D155="pagada",NOT(ISNUMBER(M155))),1,0))</x:f>
        <x:v>0</x:v>
      </x:c>
    </x:row>
    <x:row r="156" ht="22" customHeight="1">
      <x:c r="A156" s="11"/>
      <x:c r="B156" s="9"/>
      <x:c r="C156" s="9"/>
      <x:c r="D156" s="9"/>
      <x:c r="E156" s="9"/>
      <x:c r="F156" s="9"/>
      <x:c r="G156" s="9"/>
      <x:c r="H156" s="9"/>
      <x:c r="I156" s="13"/>
      <x:c r="J156" s="15"/>
      <x:c r="K156" s="15"/>
      <x:c r="L156" s="17" t="str">
        <x:f>IF(B156="","",IF(NOT(AND(ISNUMBER(J156),ISNUMBER(K156))),"",SUM(J156:K156)))</x:f>
      </x:c>
      <x:c r="M156" s="15"/>
      <x:c r="N156" s="17" t="str">
        <x:f>IF(OR(B156="",D156&lt;&gt;"pagada",NOT(ISNUMBER(J156)),NOT(ISNUMBER(M156))),"",J156-M156)</x:f>
      </x:c>
      <x:c r="O156" s="9"/>
      <x:c r="P156" s="9"/>
      <x:c r="Q156" s="1" t="str">
        <x:f>IF(B156="","",IF(COUNTIFS($B$7:$B$1006,B156,$C$7:$C$1006,C156)&gt;1,"ID duplicado",IF(OR(A156="",C156="",D156="",E156="",F156="",I156="",J156="",K156="",O156=""),"Completar datos",IF(NOT(ISNUMBER(M156)),"Falta costo histórico","Revisar soporte"))))</x:f>
      </x:c>
      <x:c r="R156" s="9" t="n">
        <x:f>IF(B156="",0,IF(AND(D156="pagada",NOT(ISNUMBER(M156))),1,0))</x:f>
        <x:v>0</x:v>
      </x:c>
    </x:row>
    <x:row r="157" ht="22" customHeight="1">
      <x:c r="A157" s="11"/>
      <x:c r="B157" s="9"/>
      <x:c r="C157" s="9"/>
      <x:c r="D157" s="9"/>
      <x:c r="E157" s="9"/>
      <x:c r="F157" s="9"/>
      <x:c r="G157" s="9"/>
      <x:c r="H157" s="9"/>
      <x:c r="I157" s="13"/>
      <x:c r="J157" s="15"/>
      <x:c r="K157" s="15"/>
      <x:c r="L157" s="17" t="str">
        <x:f>IF(B157="","",IF(NOT(AND(ISNUMBER(J157),ISNUMBER(K157))),"",SUM(J157:K157)))</x:f>
      </x:c>
      <x:c r="M157" s="15"/>
      <x:c r="N157" s="17" t="str">
        <x:f>IF(OR(B157="",D157&lt;&gt;"pagada",NOT(ISNUMBER(J157)),NOT(ISNUMBER(M157))),"",J157-M157)</x:f>
      </x:c>
      <x:c r="O157" s="9"/>
      <x:c r="P157" s="9"/>
      <x:c r="Q157" s="1" t="str">
        <x:f>IF(B157="","",IF(COUNTIFS($B$7:$B$1006,B157,$C$7:$C$1006,C157)&gt;1,"ID duplicado",IF(OR(A157="",C157="",D157="",E157="",F157="",I157="",J157="",K157="",O157=""),"Completar datos",IF(NOT(ISNUMBER(M157)),"Falta costo histórico","Revisar soporte"))))</x:f>
      </x:c>
      <x:c r="R157" s="9" t="n">
        <x:f>IF(B157="",0,IF(AND(D157="pagada",NOT(ISNUMBER(M157))),1,0))</x:f>
        <x:v>0</x:v>
      </x:c>
    </x:row>
    <x:row r="158" ht="22" customHeight="1">
      <x:c r="A158" s="11"/>
      <x:c r="B158" s="9"/>
      <x:c r="C158" s="9"/>
      <x:c r="D158" s="9"/>
      <x:c r="E158" s="9"/>
      <x:c r="F158" s="9"/>
      <x:c r="G158" s="9"/>
      <x:c r="H158" s="9"/>
      <x:c r="I158" s="13"/>
      <x:c r="J158" s="15"/>
      <x:c r="K158" s="15"/>
      <x:c r="L158" s="17" t="str">
        <x:f>IF(B158="","",IF(NOT(AND(ISNUMBER(J158),ISNUMBER(K158))),"",SUM(J158:K158)))</x:f>
      </x:c>
      <x:c r="M158" s="15"/>
      <x:c r="N158" s="17" t="str">
        <x:f>IF(OR(B158="",D158&lt;&gt;"pagada",NOT(ISNUMBER(J158)),NOT(ISNUMBER(M158))),"",J158-M158)</x:f>
      </x:c>
      <x:c r="O158" s="9"/>
      <x:c r="P158" s="9"/>
      <x:c r="Q158" s="1" t="str">
        <x:f>IF(B158="","",IF(COUNTIFS($B$7:$B$1006,B158,$C$7:$C$1006,C158)&gt;1,"ID duplicado",IF(OR(A158="",C158="",D158="",E158="",F158="",I158="",J158="",K158="",O158=""),"Completar datos",IF(NOT(ISNUMBER(M158)),"Falta costo histórico","Revisar soporte"))))</x:f>
      </x:c>
      <x:c r="R158" s="9" t="n">
        <x:f>IF(B158="",0,IF(AND(D158="pagada",NOT(ISNUMBER(M158))),1,0))</x:f>
        <x:v>0</x:v>
      </x:c>
    </x:row>
    <x:row r="159" ht="22" customHeight="1">
      <x:c r="A159" s="11"/>
      <x:c r="B159" s="9"/>
      <x:c r="C159" s="9"/>
      <x:c r="D159" s="9"/>
      <x:c r="E159" s="9"/>
      <x:c r="F159" s="9"/>
      <x:c r="G159" s="9"/>
      <x:c r="H159" s="9"/>
      <x:c r="I159" s="13"/>
      <x:c r="J159" s="15"/>
      <x:c r="K159" s="15"/>
      <x:c r="L159" s="17" t="str">
        <x:f>IF(B159="","",IF(NOT(AND(ISNUMBER(J159),ISNUMBER(K159))),"",SUM(J159:K159)))</x:f>
      </x:c>
      <x:c r="M159" s="15"/>
      <x:c r="N159" s="17" t="str">
        <x:f>IF(OR(B159="",D159&lt;&gt;"pagada",NOT(ISNUMBER(J159)),NOT(ISNUMBER(M159))),"",J159-M159)</x:f>
      </x:c>
      <x:c r="O159" s="9"/>
      <x:c r="P159" s="9"/>
      <x:c r="Q159" s="1" t="str">
        <x:f>IF(B159="","",IF(COUNTIFS($B$7:$B$1006,B159,$C$7:$C$1006,C159)&gt;1,"ID duplicado",IF(OR(A159="",C159="",D159="",E159="",F159="",I159="",J159="",K159="",O159=""),"Completar datos",IF(NOT(ISNUMBER(M159)),"Falta costo histórico","Revisar soporte"))))</x:f>
      </x:c>
      <x:c r="R159" s="9" t="n">
        <x:f>IF(B159="",0,IF(AND(D159="pagada",NOT(ISNUMBER(M159))),1,0))</x:f>
        <x:v>0</x:v>
      </x:c>
    </x:row>
    <x:row r="160" ht="22" customHeight="1">
      <x:c r="A160" s="11"/>
      <x:c r="B160" s="9"/>
      <x:c r="C160" s="9"/>
      <x:c r="D160" s="9"/>
      <x:c r="E160" s="9"/>
      <x:c r="F160" s="9"/>
      <x:c r="G160" s="9"/>
      <x:c r="H160" s="9"/>
      <x:c r="I160" s="13"/>
      <x:c r="J160" s="15"/>
      <x:c r="K160" s="15"/>
      <x:c r="L160" s="17" t="str">
        <x:f>IF(B160="","",IF(NOT(AND(ISNUMBER(J160),ISNUMBER(K160))),"",SUM(J160:K160)))</x:f>
      </x:c>
      <x:c r="M160" s="15"/>
      <x:c r="N160" s="17" t="str">
        <x:f>IF(OR(B160="",D160&lt;&gt;"pagada",NOT(ISNUMBER(J160)),NOT(ISNUMBER(M160))),"",J160-M160)</x:f>
      </x:c>
      <x:c r="O160" s="9"/>
      <x:c r="P160" s="9"/>
      <x:c r="Q160" s="1" t="str">
        <x:f>IF(B160="","",IF(COUNTIFS($B$7:$B$1006,B160,$C$7:$C$1006,C160)&gt;1,"ID duplicado",IF(OR(A160="",C160="",D160="",E160="",F160="",I160="",J160="",K160="",O160=""),"Completar datos",IF(NOT(ISNUMBER(M160)),"Falta costo histórico","Revisar soporte"))))</x:f>
      </x:c>
      <x:c r="R160" s="9" t="n">
        <x:f>IF(B160="",0,IF(AND(D160="pagada",NOT(ISNUMBER(M160))),1,0))</x:f>
        <x:v>0</x:v>
      </x:c>
    </x:row>
    <x:row r="161" ht="22" customHeight="1">
      <x:c r="A161" s="11"/>
      <x:c r="B161" s="9"/>
      <x:c r="C161" s="9"/>
      <x:c r="D161" s="9"/>
      <x:c r="E161" s="9"/>
      <x:c r="F161" s="9"/>
      <x:c r="G161" s="9"/>
      <x:c r="H161" s="9"/>
      <x:c r="I161" s="13"/>
      <x:c r="J161" s="15"/>
      <x:c r="K161" s="15"/>
      <x:c r="L161" s="17" t="str">
        <x:f>IF(B161="","",IF(NOT(AND(ISNUMBER(J161),ISNUMBER(K161))),"",SUM(J161:K161)))</x:f>
      </x:c>
      <x:c r="M161" s="15"/>
      <x:c r="N161" s="17" t="str">
        <x:f>IF(OR(B161="",D161&lt;&gt;"pagada",NOT(ISNUMBER(J161)),NOT(ISNUMBER(M161))),"",J161-M161)</x:f>
      </x:c>
      <x:c r="O161" s="9"/>
      <x:c r="P161" s="9"/>
      <x:c r="Q161" s="1" t="str">
        <x:f>IF(B161="","",IF(COUNTIFS($B$7:$B$1006,B161,$C$7:$C$1006,C161)&gt;1,"ID duplicado",IF(OR(A161="",C161="",D161="",E161="",F161="",I161="",J161="",K161="",O161=""),"Completar datos",IF(NOT(ISNUMBER(M161)),"Falta costo histórico","Revisar soporte"))))</x:f>
      </x:c>
      <x:c r="R161" s="9" t="n">
        <x:f>IF(B161="",0,IF(AND(D161="pagada",NOT(ISNUMBER(M161))),1,0))</x:f>
        <x:v>0</x:v>
      </x:c>
    </x:row>
    <x:row r="162" ht="22" customHeight="1">
      <x:c r="A162" s="11"/>
      <x:c r="B162" s="9"/>
      <x:c r="C162" s="9"/>
      <x:c r="D162" s="9"/>
      <x:c r="E162" s="9"/>
      <x:c r="F162" s="9"/>
      <x:c r="G162" s="9"/>
      <x:c r="H162" s="9"/>
      <x:c r="I162" s="13"/>
      <x:c r="J162" s="15"/>
      <x:c r="K162" s="15"/>
      <x:c r="L162" s="17" t="str">
        <x:f>IF(B162="","",IF(NOT(AND(ISNUMBER(J162),ISNUMBER(K162))),"",SUM(J162:K162)))</x:f>
      </x:c>
      <x:c r="M162" s="15"/>
      <x:c r="N162" s="17" t="str">
        <x:f>IF(OR(B162="",D162&lt;&gt;"pagada",NOT(ISNUMBER(J162)),NOT(ISNUMBER(M162))),"",J162-M162)</x:f>
      </x:c>
      <x:c r="O162" s="9"/>
      <x:c r="P162" s="9"/>
      <x:c r="Q162" s="1" t="str">
        <x:f>IF(B162="","",IF(COUNTIFS($B$7:$B$1006,B162,$C$7:$C$1006,C162)&gt;1,"ID duplicado",IF(OR(A162="",C162="",D162="",E162="",F162="",I162="",J162="",K162="",O162=""),"Completar datos",IF(NOT(ISNUMBER(M162)),"Falta costo histórico","Revisar soporte"))))</x:f>
      </x:c>
      <x:c r="R162" s="9" t="n">
        <x:f>IF(B162="",0,IF(AND(D162="pagada",NOT(ISNUMBER(M162))),1,0))</x:f>
        <x:v>0</x:v>
      </x:c>
    </x:row>
    <x:row r="163" ht="22" customHeight="1">
      <x:c r="A163" s="11"/>
      <x:c r="B163" s="9"/>
      <x:c r="C163" s="9"/>
      <x:c r="D163" s="9"/>
      <x:c r="E163" s="9"/>
      <x:c r="F163" s="9"/>
      <x:c r="G163" s="9"/>
      <x:c r="H163" s="9"/>
      <x:c r="I163" s="13"/>
      <x:c r="J163" s="15"/>
      <x:c r="K163" s="15"/>
      <x:c r="L163" s="17" t="str">
        <x:f>IF(B163="","",IF(NOT(AND(ISNUMBER(J163),ISNUMBER(K163))),"",SUM(J163:K163)))</x:f>
      </x:c>
      <x:c r="M163" s="15"/>
      <x:c r="N163" s="17" t="str">
        <x:f>IF(OR(B163="",D163&lt;&gt;"pagada",NOT(ISNUMBER(J163)),NOT(ISNUMBER(M163))),"",J163-M163)</x:f>
      </x:c>
      <x:c r="O163" s="9"/>
      <x:c r="P163" s="9"/>
      <x:c r="Q163" s="1" t="str">
        <x:f>IF(B163="","",IF(COUNTIFS($B$7:$B$1006,B163,$C$7:$C$1006,C163)&gt;1,"ID duplicado",IF(OR(A163="",C163="",D163="",E163="",F163="",I163="",J163="",K163="",O163=""),"Completar datos",IF(NOT(ISNUMBER(M163)),"Falta costo histórico","Revisar soporte"))))</x:f>
      </x:c>
      <x:c r="R163" s="9" t="n">
        <x:f>IF(B163="",0,IF(AND(D163="pagada",NOT(ISNUMBER(M163))),1,0))</x:f>
        <x:v>0</x:v>
      </x:c>
    </x:row>
    <x:row r="164" ht="22" customHeight="1">
      <x:c r="A164" s="11"/>
      <x:c r="B164" s="9"/>
      <x:c r="C164" s="9"/>
      <x:c r="D164" s="9"/>
      <x:c r="E164" s="9"/>
      <x:c r="F164" s="9"/>
      <x:c r="G164" s="9"/>
      <x:c r="H164" s="9"/>
      <x:c r="I164" s="13"/>
      <x:c r="J164" s="15"/>
      <x:c r="K164" s="15"/>
      <x:c r="L164" s="17" t="str">
        <x:f>IF(B164="","",IF(NOT(AND(ISNUMBER(J164),ISNUMBER(K164))),"",SUM(J164:K164)))</x:f>
      </x:c>
      <x:c r="M164" s="15"/>
      <x:c r="N164" s="17" t="str">
        <x:f>IF(OR(B164="",D164&lt;&gt;"pagada",NOT(ISNUMBER(J164)),NOT(ISNUMBER(M164))),"",J164-M164)</x:f>
      </x:c>
      <x:c r="O164" s="9"/>
      <x:c r="P164" s="9"/>
      <x:c r="Q164" s="1" t="str">
        <x:f>IF(B164="","",IF(COUNTIFS($B$7:$B$1006,B164,$C$7:$C$1006,C164)&gt;1,"ID duplicado",IF(OR(A164="",C164="",D164="",E164="",F164="",I164="",J164="",K164="",O164=""),"Completar datos",IF(NOT(ISNUMBER(M164)),"Falta costo histórico","Revisar soporte"))))</x:f>
      </x:c>
      <x:c r="R164" s="9" t="n">
        <x:f>IF(B164="",0,IF(AND(D164="pagada",NOT(ISNUMBER(M164))),1,0))</x:f>
        <x:v>0</x:v>
      </x:c>
    </x:row>
    <x:row r="165" ht="22" customHeight="1">
      <x:c r="A165" s="11"/>
      <x:c r="B165" s="9"/>
      <x:c r="C165" s="9"/>
      <x:c r="D165" s="9"/>
      <x:c r="E165" s="9"/>
      <x:c r="F165" s="9"/>
      <x:c r="G165" s="9"/>
      <x:c r="H165" s="9"/>
      <x:c r="I165" s="13"/>
      <x:c r="J165" s="15"/>
      <x:c r="K165" s="15"/>
      <x:c r="L165" s="17" t="str">
        <x:f>IF(B165="","",IF(NOT(AND(ISNUMBER(J165),ISNUMBER(K165))),"",SUM(J165:K165)))</x:f>
      </x:c>
      <x:c r="M165" s="15"/>
      <x:c r="N165" s="17" t="str">
        <x:f>IF(OR(B165="",D165&lt;&gt;"pagada",NOT(ISNUMBER(J165)),NOT(ISNUMBER(M165))),"",J165-M165)</x:f>
      </x:c>
      <x:c r="O165" s="9"/>
      <x:c r="P165" s="9"/>
      <x:c r="Q165" s="1" t="str">
        <x:f>IF(B165="","",IF(COUNTIFS($B$7:$B$1006,B165,$C$7:$C$1006,C165)&gt;1,"ID duplicado",IF(OR(A165="",C165="",D165="",E165="",F165="",I165="",J165="",K165="",O165=""),"Completar datos",IF(NOT(ISNUMBER(M165)),"Falta costo histórico","Revisar soporte"))))</x:f>
      </x:c>
      <x:c r="R165" s="9" t="n">
        <x:f>IF(B165="",0,IF(AND(D165="pagada",NOT(ISNUMBER(M165))),1,0))</x:f>
        <x:v>0</x:v>
      </x:c>
    </x:row>
    <x:row r="166" ht="22" customHeight="1">
      <x:c r="A166" s="11"/>
      <x:c r="B166" s="9"/>
      <x:c r="C166" s="9"/>
      <x:c r="D166" s="9"/>
      <x:c r="E166" s="9"/>
      <x:c r="F166" s="9"/>
      <x:c r="G166" s="9"/>
      <x:c r="H166" s="9"/>
      <x:c r="I166" s="13"/>
      <x:c r="J166" s="15"/>
      <x:c r="K166" s="15"/>
      <x:c r="L166" s="17" t="str">
        <x:f>IF(B166="","",IF(NOT(AND(ISNUMBER(J166),ISNUMBER(K166))),"",SUM(J166:K166)))</x:f>
      </x:c>
      <x:c r="M166" s="15"/>
      <x:c r="N166" s="17" t="str">
        <x:f>IF(OR(B166="",D166&lt;&gt;"pagada",NOT(ISNUMBER(J166)),NOT(ISNUMBER(M166))),"",J166-M166)</x:f>
      </x:c>
      <x:c r="O166" s="9"/>
      <x:c r="P166" s="9"/>
      <x:c r="Q166" s="1" t="str">
        <x:f>IF(B166="","",IF(COUNTIFS($B$7:$B$1006,B166,$C$7:$C$1006,C166)&gt;1,"ID duplicado",IF(OR(A166="",C166="",D166="",E166="",F166="",I166="",J166="",K166="",O166=""),"Completar datos",IF(NOT(ISNUMBER(M166)),"Falta costo histórico","Revisar soporte"))))</x:f>
      </x:c>
      <x:c r="R166" s="9" t="n">
        <x:f>IF(B166="",0,IF(AND(D166="pagada",NOT(ISNUMBER(M166))),1,0))</x:f>
        <x:v>0</x:v>
      </x:c>
    </x:row>
    <x:row r="167" ht="22" customHeight="1">
      <x:c r="A167" s="11"/>
      <x:c r="B167" s="9"/>
      <x:c r="C167" s="9"/>
      <x:c r="D167" s="9"/>
      <x:c r="E167" s="9"/>
      <x:c r="F167" s="9"/>
      <x:c r="G167" s="9"/>
      <x:c r="H167" s="9"/>
      <x:c r="I167" s="13"/>
      <x:c r="J167" s="15"/>
      <x:c r="K167" s="15"/>
      <x:c r="L167" s="17" t="str">
        <x:f>IF(B167="","",IF(NOT(AND(ISNUMBER(J167),ISNUMBER(K167))),"",SUM(J167:K167)))</x:f>
      </x:c>
      <x:c r="M167" s="15"/>
      <x:c r="N167" s="17" t="str">
        <x:f>IF(OR(B167="",D167&lt;&gt;"pagada",NOT(ISNUMBER(J167)),NOT(ISNUMBER(M167))),"",J167-M167)</x:f>
      </x:c>
      <x:c r="O167" s="9"/>
      <x:c r="P167" s="9"/>
      <x:c r="Q167" s="1" t="str">
        <x:f>IF(B167="","",IF(COUNTIFS($B$7:$B$1006,B167,$C$7:$C$1006,C167)&gt;1,"ID duplicado",IF(OR(A167="",C167="",D167="",E167="",F167="",I167="",J167="",K167="",O167=""),"Completar datos",IF(NOT(ISNUMBER(M167)),"Falta costo histórico","Revisar soporte"))))</x:f>
      </x:c>
      <x:c r="R167" s="9" t="n">
        <x:f>IF(B167="",0,IF(AND(D167="pagada",NOT(ISNUMBER(M167))),1,0))</x:f>
        <x:v>0</x:v>
      </x:c>
    </x:row>
    <x:row r="168" ht="22" customHeight="1">
      <x:c r="A168" s="11"/>
      <x:c r="B168" s="9"/>
      <x:c r="C168" s="9"/>
      <x:c r="D168" s="9"/>
      <x:c r="E168" s="9"/>
      <x:c r="F168" s="9"/>
      <x:c r="G168" s="9"/>
      <x:c r="H168" s="9"/>
      <x:c r="I168" s="13"/>
      <x:c r="J168" s="15"/>
      <x:c r="K168" s="15"/>
      <x:c r="L168" s="17" t="str">
        <x:f>IF(B168="","",IF(NOT(AND(ISNUMBER(J168),ISNUMBER(K168))),"",SUM(J168:K168)))</x:f>
      </x:c>
      <x:c r="M168" s="15"/>
      <x:c r="N168" s="17" t="str">
        <x:f>IF(OR(B168="",D168&lt;&gt;"pagada",NOT(ISNUMBER(J168)),NOT(ISNUMBER(M168))),"",J168-M168)</x:f>
      </x:c>
      <x:c r="O168" s="9"/>
      <x:c r="P168" s="9"/>
      <x:c r="Q168" s="1" t="str">
        <x:f>IF(B168="","",IF(COUNTIFS($B$7:$B$1006,B168,$C$7:$C$1006,C168)&gt;1,"ID duplicado",IF(OR(A168="",C168="",D168="",E168="",F168="",I168="",J168="",K168="",O168=""),"Completar datos",IF(NOT(ISNUMBER(M168)),"Falta costo histórico","Revisar soporte"))))</x:f>
      </x:c>
      <x:c r="R168" s="9" t="n">
        <x:f>IF(B168="",0,IF(AND(D168="pagada",NOT(ISNUMBER(M168))),1,0))</x:f>
        <x:v>0</x:v>
      </x:c>
    </x:row>
    <x:row r="169" ht="22" customHeight="1">
      <x:c r="A169" s="11"/>
      <x:c r="B169" s="9"/>
      <x:c r="C169" s="9"/>
      <x:c r="D169" s="9"/>
      <x:c r="E169" s="9"/>
      <x:c r="F169" s="9"/>
      <x:c r="G169" s="9"/>
      <x:c r="H169" s="9"/>
      <x:c r="I169" s="13"/>
      <x:c r="J169" s="15"/>
      <x:c r="K169" s="15"/>
      <x:c r="L169" s="17" t="str">
        <x:f>IF(B169="","",IF(NOT(AND(ISNUMBER(J169),ISNUMBER(K169))),"",SUM(J169:K169)))</x:f>
      </x:c>
      <x:c r="M169" s="15"/>
      <x:c r="N169" s="17" t="str">
        <x:f>IF(OR(B169="",D169&lt;&gt;"pagada",NOT(ISNUMBER(J169)),NOT(ISNUMBER(M169))),"",J169-M169)</x:f>
      </x:c>
      <x:c r="O169" s="9"/>
      <x:c r="P169" s="9"/>
      <x:c r="Q169" s="1" t="str">
        <x:f>IF(B169="","",IF(COUNTIFS($B$7:$B$1006,B169,$C$7:$C$1006,C169)&gt;1,"ID duplicado",IF(OR(A169="",C169="",D169="",E169="",F169="",I169="",J169="",K169="",O169=""),"Completar datos",IF(NOT(ISNUMBER(M169)),"Falta costo histórico","Revisar soporte"))))</x:f>
      </x:c>
      <x:c r="R169" s="9" t="n">
        <x:f>IF(B169="",0,IF(AND(D169="pagada",NOT(ISNUMBER(M169))),1,0))</x:f>
        <x:v>0</x:v>
      </x:c>
    </x:row>
    <x:row r="170" ht="22" customHeight="1">
      <x:c r="A170" s="11"/>
      <x:c r="B170" s="9"/>
      <x:c r="C170" s="9"/>
      <x:c r="D170" s="9"/>
      <x:c r="E170" s="9"/>
      <x:c r="F170" s="9"/>
      <x:c r="G170" s="9"/>
      <x:c r="H170" s="9"/>
      <x:c r="I170" s="13"/>
      <x:c r="J170" s="15"/>
      <x:c r="K170" s="15"/>
      <x:c r="L170" s="17" t="str">
        <x:f>IF(B170="","",IF(NOT(AND(ISNUMBER(J170),ISNUMBER(K170))),"",SUM(J170:K170)))</x:f>
      </x:c>
      <x:c r="M170" s="15"/>
      <x:c r="N170" s="17" t="str">
        <x:f>IF(OR(B170="",D170&lt;&gt;"pagada",NOT(ISNUMBER(J170)),NOT(ISNUMBER(M170))),"",J170-M170)</x:f>
      </x:c>
      <x:c r="O170" s="9"/>
      <x:c r="P170" s="9"/>
      <x:c r="Q170" s="1" t="str">
        <x:f>IF(B170="","",IF(COUNTIFS($B$7:$B$1006,B170,$C$7:$C$1006,C170)&gt;1,"ID duplicado",IF(OR(A170="",C170="",D170="",E170="",F170="",I170="",J170="",K170="",O170=""),"Completar datos",IF(NOT(ISNUMBER(M170)),"Falta costo histórico","Revisar soporte"))))</x:f>
      </x:c>
      <x:c r="R170" s="9" t="n">
        <x:f>IF(B170="",0,IF(AND(D170="pagada",NOT(ISNUMBER(M170))),1,0))</x:f>
        <x:v>0</x:v>
      </x:c>
    </x:row>
    <x:row r="171" ht="22" customHeight="1">
      <x:c r="A171" s="11"/>
      <x:c r="B171" s="9"/>
      <x:c r="C171" s="9"/>
      <x:c r="D171" s="9"/>
      <x:c r="E171" s="9"/>
      <x:c r="F171" s="9"/>
      <x:c r="G171" s="9"/>
      <x:c r="H171" s="9"/>
      <x:c r="I171" s="13"/>
      <x:c r="J171" s="15"/>
      <x:c r="K171" s="15"/>
      <x:c r="L171" s="17" t="str">
        <x:f>IF(B171="","",IF(NOT(AND(ISNUMBER(J171),ISNUMBER(K171))),"",SUM(J171:K171)))</x:f>
      </x:c>
      <x:c r="M171" s="15"/>
      <x:c r="N171" s="17" t="str">
        <x:f>IF(OR(B171="",D171&lt;&gt;"pagada",NOT(ISNUMBER(J171)),NOT(ISNUMBER(M171))),"",J171-M171)</x:f>
      </x:c>
      <x:c r="O171" s="9"/>
      <x:c r="P171" s="9"/>
      <x:c r="Q171" s="1" t="str">
        <x:f>IF(B171="","",IF(COUNTIFS($B$7:$B$1006,B171,$C$7:$C$1006,C171)&gt;1,"ID duplicado",IF(OR(A171="",C171="",D171="",E171="",F171="",I171="",J171="",K171="",O171=""),"Completar datos",IF(NOT(ISNUMBER(M171)),"Falta costo histórico","Revisar soporte"))))</x:f>
      </x:c>
      <x:c r="R171" s="9" t="n">
        <x:f>IF(B171="",0,IF(AND(D171="pagada",NOT(ISNUMBER(M171))),1,0))</x:f>
        <x:v>0</x:v>
      </x:c>
    </x:row>
    <x:row r="172" ht="22" customHeight="1">
      <x:c r="A172" s="11"/>
      <x:c r="B172" s="9"/>
      <x:c r="C172" s="9"/>
      <x:c r="D172" s="9"/>
      <x:c r="E172" s="9"/>
      <x:c r="F172" s="9"/>
      <x:c r="G172" s="9"/>
      <x:c r="H172" s="9"/>
      <x:c r="I172" s="13"/>
      <x:c r="J172" s="15"/>
      <x:c r="K172" s="15"/>
      <x:c r="L172" s="17" t="str">
        <x:f>IF(B172="","",IF(NOT(AND(ISNUMBER(J172),ISNUMBER(K172))),"",SUM(J172:K172)))</x:f>
      </x:c>
      <x:c r="M172" s="15"/>
      <x:c r="N172" s="17" t="str">
        <x:f>IF(OR(B172="",D172&lt;&gt;"pagada",NOT(ISNUMBER(J172)),NOT(ISNUMBER(M172))),"",J172-M172)</x:f>
      </x:c>
      <x:c r="O172" s="9"/>
      <x:c r="P172" s="9"/>
      <x:c r="Q172" s="1" t="str">
        <x:f>IF(B172="","",IF(COUNTIFS($B$7:$B$1006,B172,$C$7:$C$1006,C172)&gt;1,"ID duplicado",IF(OR(A172="",C172="",D172="",E172="",F172="",I172="",J172="",K172="",O172=""),"Completar datos",IF(NOT(ISNUMBER(M172)),"Falta costo histórico","Revisar soporte"))))</x:f>
      </x:c>
      <x:c r="R172" s="9" t="n">
        <x:f>IF(B172="",0,IF(AND(D172="pagada",NOT(ISNUMBER(M172))),1,0))</x:f>
        <x:v>0</x:v>
      </x:c>
    </x:row>
    <x:row r="173" ht="22" customHeight="1">
      <x:c r="A173" s="11"/>
      <x:c r="B173" s="9"/>
      <x:c r="C173" s="9"/>
      <x:c r="D173" s="9"/>
      <x:c r="E173" s="9"/>
      <x:c r="F173" s="9"/>
      <x:c r="G173" s="9"/>
      <x:c r="H173" s="9"/>
      <x:c r="I173" s="13"/>
      <x:c r="J173" s="15"/>
      <x:c r="K173" s="15"/>
      <x:c r="L173" s="17" t="str">
        <x:f>IF(B173="","",IF(NOT(AND(ISNUMBER(J173),ISNUMBER(K173))),"",SUM(J173:K173)))</x:f>
      </x:c>
      <x:c r="M173" s="15"/>
      <x:c r="N173" s="17" t="str">
        <x:f>IF(OR(B173="",D173&lt;&gt;"pagada",NOT(ISNUMBER(J173)),NOT(ISNUMBER(M173))),"",J173-M173)</x:f>
      </x:c>
      <x:c r="O173" s="9"/>
      <x:c r="P173" s="9"/>
      <x:c r="Q173" s="1" t="str">
        <x:f>IF(B173="","",IF(COUNTIFS($B$7:$B$1006,B173,$C$7:$C$1006,C173)&gt;1,"ID duplicado",IF(OR(A173="",C173="",D173="",E173="",F173="",I173="",J173="",K173="",O173=""),"Completar datos",IF(NOT(ISNUMBER(M173)),"Falta costo histórico","Revisar soporte"))))</x:f>
      </x:c>
      <x:c r="R173" s="9" t="n">
        <x:f>IF(B173="",0,IF(AND(D173="pagada",NOT(ISNUMBER(M173))),1,0))</x:f>
        <x:v>0</x:v>
      </x:c>
    </x:row>
    <x:row r="174" ht="22" customHeight="1">
      <x:c r="A174" s="11"/>
      <x:c r="B174" s="9"/>
      <x:c r="C174" s="9"/>
      <x:c r="D174" s="9"/>
      <x:c r="E174" s="9"/>
      <x:c r="F174" s="9"/>
      <x:c r="G174" s="9"/>
      <x:c r="H174" s="9"/>
      <x:c r="I174" s="13"/>
      <x:c r="J174" s="15"/>
      <x:c r="K174" s="15"/>
      <x:c r="L174" s="17" t="str">
        <x:f>IF(B174="","",IF(NOT(AND(ISNUMBER(J174),ISNUMBER(K174))),"",SUM(J174:K174)))</x:f>
      </x:c>
      <x:c r="M174" s="15"/>
      <x:c r="N174" s="17" t="str">
        <x:f>IF(OR(B174="",D174&lt;&gt;"pagada",NOT(ISNUMBER(J174)),NOT(ISNUMBER(M174))),"",J174-M174)</x:f>
      </x:c>
      <x:c r="O174" s="9"/>
      <x:c r="P174" s="9"/>
      <x:c r="Q174" s="1" t="str">
        <x:f>IF(B174="","",IF(COUNTIFS($B$7:$B$1006,B174,$C$7:$C$1006,C174)&gt;1,"ID duplicado",IF(OR(A174="",C174="",D174="",E174="",F174="",I174="",J174="",K174="",O174=""),"Completar datos",IF(NOT(ISNUMBER(M174)),"Falta costo histórico","Revisar soporte"))))</x:f>
      </x:c>
      <x:c r="R174" s="9" t="n">
        <x:f>IF(B174="",0,IF(AND(D174="pagada",NOT(ISNUMBER(M174))),1,0))</x:f>
        <x:v>0</x:v>
      </x:c>
    </x:row>
    <x:row r="175" ht="22" customHeight="1">
      <x:c r="A175" s="11"/>
      <x:c r="B175" s="9"/>
      <x:c r="C175" s="9"/>
      <x:c r="D175" s="9"/>
      <x:c r="E175" s="9"/>
      <x:c r="F175" s="9"/>
      <x:c r="G175" s="9"/>
      <x:c r="H175" s="9"/>
      <x:c r="I175" s="13"/>
      <x:c r="J175" s="15"/>
      <x:c r="K175" s="15"/>
      <x:c r="L175" s="17" t="str">
        <x:f>IF(B175="","",IF(NOT(AND(ISNUMBER(J175),ISNUMBER(K175))),"",SUM(J175:K175)))</x:f>
      </x:c>
      <x:c r="M175" s="15"/>
      <x:c r="N175" s="17" t="str">
        <x:f>IF(OR(B175="",D175&lt;&gt;"pagada",NOT(ISNUMBER(J175)),NOT(ISNUMBER(M175))),"",J175-M175)</x:f>
      </x:c>
      <x:c r="O175" s="9"/>
      <x:c r="P175" s="9"/>
      <x:c r="Q175" s="1" t="str">
        <x:f>IF(B175="","",IF(COUNTIFS($B$7:$B$1006,B175,$C$7:$C$1006,C175)&gt;1,"ID duplicado",IF(OR(A175="",C175="",D175="",E175="",F175="",I175="",J175="",K175="",O175=""),"Completar datos",IF(NOT(ISNUMBER(M175)),"Falta costo histórico","Revisar soporte"))))</x:f>
      </x:c>
      <x:c r="R175" s="9" t="n">
        <x:f>IF(B175="",0,IF(AND(D175="pagada",NOT(ISNUMBER(M175))),1,0))</x:f>
        <x:v>0</x:v>
      </x:c>
    </x:row>
    <x:row r="176" ht="22" customHeight="1">
      <x:c r="A176" s="11"/>
      <x:c r="B176" s="9"/>
      <x:c r="C176" s="9"/>
      <x:c r="D176" s="9"/>
      <x:c r="E176" s="9"/>
      <x:c r="F176" s="9"/>
      <x:c r="G176" s="9"/>
      <x:c r="H176" s="9"/>
      <x:c r="I176" s="13"/>
      <x:c r="J176" s="15"/>
      <x:c r="K176" s="15"/>
      <x:c r="L176" s="17" t="str">
        <x:f>IF(B176="","",IF(NOT(AND(ISNUMBER(J176),ISNUMBER(K176))),"",SUM(J176:K176)))</x:f>
      </x:c>
      <x:c r="M176" s="15"/>
      <x:c r="N176" s="17" t="str">
        <x:f>IF(OR(B176="",D176&lt;&gt;"pagada",NOT(ISNUMBER(J176)),NOT(ISNUMBER(M176))),"",J176-M176)</x:f>
      </x:c>
      <x:c r="O176" s="9"/>
      <x:c r="P176" s="9"/>
      <x:c r="Q176" s="1" t="str">
        <x:f>IF(B176="","",IF(COUNTIFS($B$7:$B$1006,B176,$C$7:$C$1006,C176)&gt;1,"ID duplicado",IF(OR(A176="",C176="",D176="",E176="",F176="",I176="",J176="",K176="",O176=""),"Completar datos",IF(NOT(ISNUMBER(M176)),"Falta costo histórico","Revisar soporte"))))</x:f>
      </x:c>
      <x:c r="R176" s="9" t="n">
        <x:f>IF(B176="",0,IF(AND(D176="pagada",NOT(ISNUMBER(M176))),1,0))</x:f>
        <x:v>0</x:v>
      </x:c>
    </x:row>
    <x:row r="177" ht="22" customHeight="1">
      <x:c r="A177" s="11"/>
      <x:c r="B177" s="9"/>
      <x:c r="C177" s="9"/>
      <x:c r="D177" s="9"/>
      <x:c r="E177" s="9"/>
      <x:c r="F177" s="9"/>
      <x:c r="G177" s="9"/>
      <x:c r="H177" s="9"/>
      <x:c r="I177" s="13"/>
      <x:c r="J177" s="15"/>
      <x:c r="K177" s="15"/>
      <x:c r="L177" s="17" t="str">
        <x:f>IF(B177="","",IF(NOT(AND(ISNUMBER(J177),ISNUMBER(K177))),"",SUM(J177:K177)))</x:f>
      </x:c>
      <x:c r="M177" s="15"/>
      <x:c r="N177" s="17" t="str">
        <x:f>IF(OR(B177="",D177&lt;&gt;"pagada",NOT(ISNUMBER(J177)),NOT(ISNUMBER(M177))),"",J177-M177)</x:f>
      </x:c>
      <x:c r="O177" s="9"/>
      <x:c r="P177" s="9"/>
      <x:c r="Q177" s="1" t="str">
        <x:f>IF(B177="","",IF(COUNTIFS($B$7:$B$1006,B177,$C$7:$C$1006,C177)&gt;1,"ID duplicado",IF(OR(A177="",C177="",D177="",E177="",F177="",I177="",J177="",K177="",O177=""),"Completar datos",IF(NOT(ISNUMBER(M177)),"Falta costo histórico","Revisar soporte"))))</x:f>
      </x:c>
      <x:c r="R177" s="9" t="n">
        <x:f>IF(B177="",0,IF(AND(D177="pagada",NOT(ISNUMBER(M177))),1,0))</x:f>
        <x:v>0</x:v>
      </x:c>
    </x:row>
    <x:row r="178" ht="22" customHeight="1">
      <x:c r="A178" s="11"/>
      <x:c r="B178" s="9"/>
      <x:c r="C178" s="9"/>
      <x:c r="D178" s="9"/>
      <x:c r="E178" s="9"/>
      <x:c r="F178" s="9"/>
      <x:c r="G178" s="9"/>
      <x:c r="H178" s="9"/>
      <x:c r="I178" s="13"/>
      <x:c r="J178" s="15"/>
      <x:c r="K178" s="15"/>
      <x:c r="L178" s="17" t="str">
        <x:f>IF(B178="","",IF(NOT(AND(ISNUMBER(J178),ISNUMBER(K178))),"",SUM(J178:K178)))</x:f>
      </x:c>
      <x:c r="M178" s="15"/>
      <x:c r="N178" s="17" t="str">
        <x:f>IF(OR(B178="",D178&lt;&gt;"pagada",NOT(ISNUMBER(J178)),NOT(ISNUMBER(M178))),"",J178-M178)</x:f>
      </x:c>
      <x:c r="O178" s="9"/>
      <x:c r="P178" s="9"/>
      <x:c r="Q178" s="1" t="str">
        <x:f>IF(B178="","",IF(COUNTIFS($B$7:$B$1006,B178,$C$7:$C$1006,C178)&gt;1,"ID duplicado",IF(OR(A178="",C178="",D178="",E178="",F178="",I178="",J178="",K178="",O178=""),"Completar datos",IF(NOT(ISNUMBER(M178)),"Falta costo histórico","Revisar soporte"))))</x:f>
      </x:c>
      <x:c r="R178" s="9" t="n">
        <x:f>IF(B178="",0,IF(AND(D178="pagada",NOT(ISNUMBER(M178))),1,0))</x:f>
        <x:v>0</x:v>
      </x:c>
    </x:row>
    <x:row r="179" ht="22" customHeight="1">
      <x:c r="A179" s="11"/>
      <x:c r="B179" s="9"/>
      <x:c r="C179" s="9"/>
      <x:c r="D179" s="9"/>
      <x:c r="E179" s="9"/>
      <x:c r="F179" s="9"/>
      <x:c r="G179" s="9"/>
      <x:c r="H179" s="9"/>
      <x:c r="I179" s="13"/>
      <x:c r="J179" s="15"/>
      <x:c r="K179" s="15"/>
      <x:c r="L179" s="17" t="str">
        <x:f>IF(B179="","",IF(NOT(AND(ISNUMBER(J179),ISNUMBER(K179))),"",SUM(J179:K179)))</x:f>
      </x:c>
      <x:c r="M179" s="15"/>
      <x:c r="N179" s="17" t="str">
        <x:f>IF(OR(B179="",D179&lt;&gt;"pagada",NOT(ISNUMBER(J179)),NOT(ISNUMBER(M179))),"",J179-M179)</x:f>
      </x:c>
      <x:c r="O179" s="9"/>
      <x:c r="P179" s="9"/>
      <x:c r="Q179" s="1" t="str">
        <x:f>IF(B179="","",IF(COUNTIFS($B$7:$B$1006,B179,$C$7:$C$1006,C179)&gt;1,"ID duplicado",IF(OR(A179="",C179="",D179="",E179="",F179="",I179="",J179="",K179="",O179=""),"Completar datos",IF(NOT(ISNUMBER(M179)),"Falta costo histórico","Revisar soporte"))))</x:f>
      </x:c>
      <x:c r="R179" s="9" t="n">
        <x:f>IF(B179="",0,IF(AND(D179="pagada",NOT(ISNUMBER(M179))),1,0))</x:f>
        <x:v>0</x:v>
      </x:c>
    </x:row>
    <x:row r="180" ht="22" customHeight="1">
      <x:c r="A180" s="11"/>
      <x:c r="B180" s="9"/>
      <x:c r="C180" s="9"/>
      <x:c r="D180" s="9"/>
      <x:c r="E180" s="9"/>
      <x:c r="F180" s="9"/>
      <x:c r="G180" s="9"/>
      <x:c r="H180" s="9"/>
      <x:c r="I180" s="13"/>
      <x:c r="J180" s="15"/>
      <x:c r="K180" s="15"/>
      <x:c r="L180" s="17" t="str">
        <x:f>IF(B180="","",IF(NOT(AND(ISNUMBER(J180),ISNUMBER(K180))),"",SUM(J180:K180)))</x:f>
      </x:c>
      <x:c r="M180" s="15"/>
      <x:c r="N180" s="17" t="str">
        <x:f>IF(OR(B180="",D180&lt;&gt;"pagada",NOT(ISNUMBER(J180)),NOT(ISNUMBER(M180))),"",J180-M180)</x:f>
      </x:c>
      <x:c r="O180" s="9"/>
      <x:c r="P180" s="9"/>
      <x:c r="Q180" s="1" t="str">
        <x:f>IF(B180="","",IF(COUNTIFS($B$7:$B$1006,B180,$C$7:$C$1006,C180)&gt;1,"ID duplicado",IF(OR(A180="",C180="",D180="",E180="",F180="",I180="",J180="",K180="",O180=""),"Completar datos",IF(NOT(ISNUMBER(M180)),"Falta costo histórico","Revisar soporte"))))</x:f>
      </x:c>
      <x:c r="R180" s="9" t="n">
        <x:f>IF(B180="",0,IF(AND(D180="pagada",NOT(ISNUMBER(M180))),1,0))</x:f>
        <x:v>0</x:v>
      </x:c>
    </x:row>
    <x:row r="181" ht="22" customHeight="1">
      <x:c r="A181" s="11"/>
      <x:c r="B181" s="9"/>
      <x:c r="C181" s="9"/>
      <x:c r="D181" s="9"/>
      <x:c r="E181" s="9"/>
      <x:c r="F181" s="9"/>
      <x:c r="G181" s="9"/>
      <x:c r="H181" s="9"/>
      <x:c r="I181" s="13"/>
      <x:c r="J181" s="15"/>
      <x:c r="K181" s="15"/>
      <x:c r="L181" s="17" t="str">
        <x:f>IF(B181="","",IF(NOT(AND(ISNUMBER(J181),ISNUMBER(K181))),"",SUM(J181:K181)))</x:f>
      </x:c>
      <x:c r="M181" s="15"/>
      <x:c r="N181" s="17" t="str">
        <x:f>IF(OR(B181="",D181&lt;&gt;"pagada",NOT(ISNUMBER(J181)),NOT(ISNUMBER(M181))),"",J181-M181)</x:f>
      </x:c>
      <x:c r="O181" s="9"/>
      <x:c r="P181" s="9"/>
      <x:c r="Q181" s="1" t="str">
        <x:f>IF(B181="","",IF(COUNTIFS($B$7:$B$1006,B181,$C$7:$C$1006,C181)&gt;1,"ID duplicado",IF(OR(A181="",C181="",D181="",E181="",F181="",I181="",J181="",K181="",O181=""),"Completar datos",IF(NOT(ISNUMBER(M181)),"Falta costo histórico","Revisar soporte"))))</x:f>
      </x:c>
      <x:c r="R181" s="9" t="n">
        <x:f>IF(B181="",0,IF(AND(D181="pagada",NOT(ISNUMBER(M181))),1,0))</x:f>
        <x:v>0</x:v>
      </x:c>
    </x:row>
    <x:row r="182" ht="22" customHeight="1">
      <x:c r="A182" s="11"/>
      <x:c r="B182" s="9"/>
      <x:c r="C182" s="9"/>
      <x:c r="D182" s="9"/>
      <x:c r="E182" s="9"/>
      <x:c r="F182" s="9"/>
      <x:c r="G182" s="9"/>
      <x:c r="H182" s="9"/>
      <x:c r="I182" s="13"/>
      <x:c r="J182" s="15"/>
      <x:c r="K182" s="15"/>
      <x:c r="L182" s="17" t="str">
        <x:f>IF(B182="","",IF(NOT(AND(ISNUMBER(J182),ISNUMBER(K182))),"",SUM(J182:K182)))</x:f>
      </x:c>
      <x:c r="M182" s="15"/>
      <x:c r="N182" s="17" t="str">
        <x:f>IF(OR(B182="",D182&lt;&gt;"pagada",NOT(ISNUMBER(J182)),NOT(ISNUMBER(M182))),"",J182-M182)</x:f>
      </x:c>
      <x:c r="O182" s="9"/>
      <x:c r="P182" s="9"/>
      <x:c r="Q182" s="1" t="str">
        <x:f>IF(B182="","",IF(COUNTIFS($B$7:$B$1006,B182,$C$7:$C$1006,C182)&gt;1,"ID duplicado",IF(OR(A182="",C182="",D182="",E182="",F182="",I182="",J182="",K182="",O182=""),"Completar datos",IF(NOT(ISNUMBER(M182)),"Falta costo histórico","Revisar soporte"))))</x:f>
      </x:c>
      <x:c r="R182" s="9" t="n">
        <x:f>IF(B182="",0,IF(AND(D182="pagada",NOT(ISNUMBER(M182))),1,0))</x:f>
        <x:v>0</x:v>
      </x:c>
    </x:row>
    <x:row r="183" ht="22" customHeight="1">
      <x:c r="A183" s="11"/>
      <x:c r="B183" s="9"/>
      <x:c r="C183" s="9"/>
      <x:c r="D183" s="9"/>
      <x:c r="E183" s="9"/>
      <x:c r="F183" s="9"/>
      <x:c r="G183" s="9"/>
      <x:c r="H183" s="9"/>
      <x:c r="I183" s="13"/>
      <x:c r="J183" s="15"/>
      <x:c r="K183" s="15"/>
      <x:c r="L183" s="17" t="str">
        <x:f>IF(B183="","",IF(NOT(AND(ISNUMBER(J183),ISNUMBER(K183))),"",SUM(J183:K183)))</x:f>
      </x:c>
      <x:c r="M183" s="15"/>
      <x:c r="N183" s="17" t="str">
        <x:f>IF(OR(B183="",D183&lt;&gt;"pagada",NOT(ISNUMBER(J183)),NOT(ISNUMBER(M183))),"",J183-M183)</x:f>
      </x:c>
      <x:c r="O183" s="9"/>
      <x:c r="P183" s="9"/>
      <x:c r="Q183" s="1" t="str">
        <x:f>IF(B183="","",IF(COUNTIFS($B$7:$B$1006,B183,$C$7:$C$1006,C183)&gt;1,"ID duplicado",IF(OR(A183="",C183="",D183="",E183="",F183="",I183="",J183="",K183="",O183=""),"Completar datos",IF(NOT(ISNUMBER(M183)),"Falta costo histórico","Revisar soporte"))))</x:f>
      </x:c>
      <x:c r="R183" s="9" t="n">
        <x:f>IF(B183="",0,IF(AND(D183="pagada",NOT(ISNUMBER(M183))),1,0))</x:f>
        <x:v>0</x:v>
      </x:c>
    </x:row>
    <x:row r="184" ht="22" customHeight="1">
      <x:c r="A184" s="11"/>
      <x:c r="B184" s="9"/>
      <x:c r="C184" s="9"/>
      <x:c r="D184" s="9"/>
      <x:c r="E184" s="9"/>
      <x:c r="F184" s="9"/>
      <x:c r="G184" s="9"/>
      <x:c r="H184" s="9"/>
      <x:c r="I184" s="13"/>
      <x:c r="J184" s="15"/>
      <x:c r="K184" s="15"/>
      <x:c r="L184" s="17" t="str">
        <x:f>IF(B184="","",IF(NOT(AND(ISNUMBER(J184),ISNUMBER(K184))),"",SUM(J184:K184)))</x:f>
      </x:c>
      <x:c r="M184" s="15"/>
      <x:c r="N184" s="17" t="str">
        <x:f>IF(OR(B184="",D184&lt;&gt;"pagada",NOT(ISNUMBER(J184)),NOT(ISNUMBER(M184))),"",J184-M184)</x:f>
      </x:c>
      <x:c r="O184" s="9"/>
      <x:c r="P184" s="9"/>
      <x:c r="Q184" s="1" t="str">
        <x:f>IF(B184="","",IF(COUNTIFS($B$7:$B$1006,B184,$C$7:$C$1006,C184)&gt;1,"ID duplicado",IF(OR(A184="",C184="",D184="",E184="",F184="",I184="",J184="",K184="",O184=""),"Completar datos",IF(NOT(ISNUMBER(M184)),"Falta costo histórico","Revisar soporte"))))</x:f>
      </x:c>
      <x:c r="R184" s="9" t="n">
        <x:f>IF(B184="",0,IF(AND(D184="pagada",NOT(ISNUMBER(M184))),1,0))</x:f>
        <x:v>0</x:v>
      </x:c>
    </x:row>
    <x:row r="185" ht="22" customHeight="1">
      <x:c r="A185" s="11"/>
      <x:c r="B185" s="9"/>
      <x:c r="C185" s="9"/>
      <x:c r="D185" s="9"/>
      <x:c r="E185" s="9"/>
      <x:c r="F185" s="9"/>
      <x:c r="G185" s="9"/>
      <x:c r="H185" s="9"/>
      <x:c r="I185" s="13"/>
      <x:c r="J185" s="15"/>
      <x:c r="K185" s="15"/>
      <x:c r="L185" s="17" t="str">
        <x:f>IF(B185="","",IF(NOT(AND(ISNUMBER(J185),ISNUMBER(K185))),"",SUM(J185:K185)))</x:f>
      </x:c>
      <x:c r="M185" s="15"/>
      <x:c r="N185" s="17" t="str">
        <x:f>IF(OR(B185="",D185&lt;&gt;"pagada",NOT(ISNUMBER(J185)),NOT(ISNUMBER(M185))),"",J185-M185)</x:f>
      </x:c>
      <x:c r="O185" s="9"/>
      <x:c r="P185" s="9"/>
      <x:c r="Q185" s="1" t="str">
        <x:f>IF(B185="","",IF(COUNTIFS($B$7:$B$1006,B185,$C$7:$C$1006,C185)&gt;1,"ID duplicado",IF(OR(A185="",C185="",D185="",E185="",F185="",I185="",J185="",K185="",O185=""),"Completar datos",IF(NOT(ISNUMBER(M185)),"Falta costo histórico","Revisar soporte"))))</x:f>
      </x:c>
      <x:c r="R185" s="9" t="n">
        <x:f>IF(B185="",0,IF(AND(D185="pagada",NOT(ISNUMBER(M185))),1,0))</x:f>
        <x:v>0</x:v>
      </x:c>
    </x:row>
    <x:row r="186" ht="22" customHeight="1">
      <x:c r="A186" s="11"/>
      <x:c r="B186" s="9"/>
      <x:c r="C186" s="9"/>
      <x:c r="D186" s="9"/>
      <x:c r="E186" s="9"/>
      <x:c r="F186" s="9"/>
      <x:c r="G186" s="9"/>
      <x:c r="H186" s="9"/>
      <x:c r="I186" s="13"/>
      <x:c r="J186" s="15"/>
      <x:c r="K186" s="15"/>
      <x:c r="L186" s="17" t="str">
        <x:f>IF(B186="","",IF(NOT(AND(ISNUMBER(J186),ISNUMBER(K186))),"",SUM(J186:K186)))</x:f>
      </x:c>
      <x:c r="M186" s="15"/>
      <x:c r="N186" s="17" t="str">
        <x:f>IF(OR(B186="",D186&lt;&gt;"pagada",NOT(ISNUMBER(J186)),NOT(ISNUMBER(M186))),"",J186-M186)</x:f>
      </x:c>
      <x:c r="O186" s="9"/>
      <x:c r="P186" s="9"/>
      <x:c r="Q186" s="1" t="str">
        <x:f>IF(B186="","",IF(COUNTIFS($B$7:$B$1006,B186,$C$7:$C$1006,C186)&gt;1,"ID duplicado",IF(OR(A186="",C186="",D186="",E186="",F186="",I186="",J186="",K186="",O186=""),"Completar datos",IF(NOT(ISNUMBER(M186)),"Falta costo histórico","Revisar soporte"))))</x:f>
      </x:c>
      <x:c r="R186" s="9" t="n">
        <x:f>IF(B186="",0,IF(AND(D186="pagada",NOT(ISNUMBER(M186))),1,0))</x:f>
        <x:v>0</x:v>
      </x:c>
    </x:row>
    <x:row r="187" ht="22" customHeight="1">
      <x:c r="A187" s="11"/>
      <x:c r="B187" s="9"/>
      <x:c r="C187" s="9"/>
      <x:c r="D187" s="9"/>
      <x:c r="E187" s="9"/>
      <x:c r="F187" s="9"/>
      <x:c r="G187" s="9"/>
      <x:c r="H187" s="9"/>
      <x:c r="I187" s="13"/>
      <x:c r="J187" s="15"/>
      <x:c r="K187" s="15"/>
      <x:c r="L187" s="17" t="str">
        <x:f>IF(B187="","",IF(NOT(AND(ISNUMBER(J187),ISNUMBER(K187))),"",SUM(J187:K187)))</x:f>
      </x:c>
      <x:c r="M187" s="15"/>
      <x:c r="N187" s="17" t="str">
        <x:f>IF(OR(B187="",D187&lt;&gt;"pagada",NOT(ISNUMBER(J187)),NOT(ISNUMBER(M187))),"",J187-M187)</x:f>
      </x:c>
      <x:c r="O187" s="9"/>
      <x:c r="P187" s="9"/>
      <x:c r="Q187" s="1" t="str">
        <x:f>IF(B187="","",IF(COUNTIFS($B$7:$B$1006,B187,$C$7:$C$1006,C187)&gt;1,"ID duplicado",IF(OR(A187="",C187="",D187="",E187="",F187="",I187="",J187="",K187="",O187=""),"Completar datos",IF(NOT(ISNUMBER(M187)),"Falta costo histórico","Revisar soporte"))))</x:f>
      </x:c>
      <x:c r="R187" s="9" t="n">
        <x:f>IF(B187="",0,IF(AND(D187="pagada",NOT(ISNUMBER(M187))),1,0))</x:f>
        <x:v>0</x:v>
      </x:c>
    </x:row>
    <x:row r="188" ht="22" customHeight="1">
      <x:c r="A188" s="11"/>
      <x:c r="B188" s="9"/>
      <x:c r="C188" s="9"/>
      <x:c r="D188" s="9"/>
      <x:c r="E188" s="9"/>
      <x:c r="F188" s="9"/>
      <x:c r="G188" s="9"/>
      <x:c r="H188" s="9"/>
      <x:c r="I188" s="13"/>
      <x:c r="J188" s="15"/>
      <x:c r="K188" s="15"/>
      <x:c r="L188" s="17" t="str">
        <x:f>IF(B188="","",IF(NOT(AND(ISNUMBER(J188),ISNUMBER(K188))),"",SUM(J188:K188)))</x:f>
      </x:c>
      <x:c r="M188" s="15"/>
      <x:c r="N188" s="17" t="str">
        <x:f>IF(OR(B188="",D188&lt;&gt;"pagada",NOT(ISNUMBER(J188)),NOT(ISNUMBER(M188))),"",J188-M188)</x:f>
      </x:c>
      <x:c r="O188" s="9"/>
      <x:c r="P188" s="9"/>
      <x:c r="Q188" s="1" t="str">
        <x:f>IF(B188="","",IF(COUNTIFS($B$7:$B$1006,B188,$C$7:$C$1006,C188)&gt;1,"ID duplicado",IF(OR(A188="",C188="",D188="",E188="",F188="",I188="",J188="",K188="",O188=""),"Completar datos",IF(NOT(ISNUMBER(M188)),"Falta costo histórico","Revisar soporte"))))</x:f>
      </x:c>
      <x:c r="R188" s="9" t="n">
        <x:f>IF(B188="",0,IF(AND(D188="pagada",NOT(ISNUMBER(M188))),1,0))</x:f>
        <x:v>0</x:v>
      </x:c>
    </x:row>
    <x:row r="189" ht="22" customHeight="1">
      <x:c r="A189" s="11"/>
      <x:c r="B189" s="9"/>
      <x:c r="C189" s="9"/>
      <x:c r="D189" s="9"/>
      <x:c r="E189" s="9"/>
      <x:c r="F189" s="9"/>
      <x:c r="G189" s="9"/>
      <x:c r="H189" s="9"/>
      <x:c r="I189" s="13"/>
      <x:c r="J189" s="15"/>
      <x:c r="K189" s="15"/>
      <x:c r="L189" s="17" t="str">
        <x:f>IF(B189="","",IF(NOT(AND(ISNUMBER(J189),ISNUMBER(K189))),"",SUM(J189:K189)))</x:f>
      </x:c>
      <x:c r="M189" s="15"/>
      <x:c r="N189" s="17" t="str">
        <x:f>IF(OR(B189="",D189&lt;&gt;"pagada",NOT(ISNUMBER(J189)),NOT(ISNUMBER(M189))),"",J189-M189)</x:f>
      </x:c>
      <x:c r="O189" s="9"/>
      <x:c r="P189" s="9"/>
      <x:c r="Q189" s="1" t="str">
        <x:f>IF(B189="","",IF(COUNTIFS($B$7:$B$1006,B189,$C$7:$C$1006,C189)&gt;1,"ID duplicado",IF(OR(A189="",C189="",D189="",E189="",F189="",I189="",J189="",K189="",O189=""),"Completar datos",IF(NOT(ISNUMBER(M189)),"Falta costo histórico","Revisar soporte"))))</x:f>
      </x:c>
      <x:c r="R189" s="9" t="n">
        <x:f>IF(B189="",0,IF(AND(D189="pagada",NOT(ISNUMBER(M189))),1,0))</x:f>
        <x:v>0</x:v>
      </x:c>
    </x:row>
    <x:row r="190" ht="22" customHeight="1">
      <x:c r="A190" s="11"/>
      <x:c r="B190" s="9"/>
      <x:c r="C190" s="9"/>
      <x:c r="D190" s="9"/>
      <x:c r="E190" s="9"/>
      <x:c r="F190" s="9"/>
      <x:c r="G190" s="9"/>
      <x:c r="H190" s="9"/>
      <x:c r="I190" s="13"/>
      <x:c r="J190" s="15"/>
      <x:c r="K190" s="15"/>
      <x:c r="L190" s="17" t="str">
        <x:f>IF(B190="","",IF(NOT(AND(ISNUMBER(J190),ISNUMBER(K190))),"",SUM(J190:K190)))</x:f>
      </x:c>
      <x:c r="M190" s="15"/>
      <x:c r="N190" s="17" t="str">
        <x:f>IF(OR(B190="",D190&lt;&gt;"pagada",NOT(ISNUMBER(J190)),NOT(ISNUMBER(M190))),"",J190-M190)</x:f>
      </x:c>
      <x:c r="O190" s="9"/>
      <x:c r="P190" s="9"/>
      <x:c r="Q190" s="1" t="str">
        <x:f>IF(B190="","",IF(COUNTIFS($B$7:$B$1006,B190,$C$7:$C$1006,C190)&gt;1,"ID duplicado",IF(OR(A190="",C190="",D190="",E190="",F190="",I190="",J190="",K190="",O190=""),"Completar datos",IF(NOT(ISNUMBER(M190)),"Falta costo histórico","Revisar soporte"))))</x:f>
      </x:c>
      <x:c r="R190" s="9" t="n">
        <x:f>IF(B190="",0,IF(AND(D190="pagada",NOT(ISNUMBER(M190))),1,0))</x:f>
        <x:v>0</x:v>
      </x:c>
    </x:row>
    <x:row r="191" ht="22" customHeight="1">
      <x:c r="A191" s="11"/>
      <x:c r="B191" s="9"/>
      <x:c r="C191" s="9"/>
      <x:c r="D191" s="9"/>
      <x:c r="E191" s="9"/>
      <x:c r="F191" s="9"/>
      <x:c r="G191" s="9"/>
      <x:c r="H191" s="9"/>
      <x:c r="I191" s="13"/>
      <x:c r="J191" s="15"/>
      <x:c r="K191" s="15"/>
      <x:c r="L191" s="17" t="str">
        <x:f>IF(B191="","",IF(NOT(AND(ISNUMBER(J191),ISNUMBER(K191))),"",SUM(J191:K191)))</x:f>
      </x:c>
      <x:c r="M191" s="15"/>
      <x:c r="N191" s="17" t="str">
        <x:f>IF(OR(B191="",D191&lt;&gt;"pagada",NOT(ISNUMBER(J191)),NOT(ISNUMBER(M191))),"",J191-M191)</x:f>
      </x:c>
      <x:c r="O191" s="9"/>
      <x:c r="P191" s="9"/>
      <x:c r="Q191" s="1" t="str">
        <x:f>IF(B191="","",IF(COUNTIFS($B$7:$B$1006,B191,$C$7:$C$1006,C191)&gt;1,"ID duplicado",IF(OR(A191="",C191="",D191="",E191="",F191="",I191="",J191="",K191="",O191=""),"Completar datos",IF(NOT(ISNUMBER(M191)),"Falta costo histórico","Revisar soporte"))))</x:f>
      </x:c>
      <x:c r="R191" s="9" t="n">
        <x:f>IF(B191="",0,IF(AND(D191="pagada",NOT(ISNUMBER(M191))),1,0))</x:f>
        <x:v>0</x:v>
      </x:c>
    </x:row>
    <x:row r="192" ht="22" customHeight="1">
      <x:c r="A192" s="11"/>
      <x:c r="B192" s="9"/>
      <x:c r="C192" s="9"/>
      <x:c r="D192" s="9"/>
      <x:c r="E192" s="9"/>
      <x:c r="F192" s="9"/>
      <x:c r="G192" s="9"/>
      <x:c r="H192" s="9"/>
      <x:c r="I192" s="13"/>
      <x:c r="J192" s="15"/>
      <x:c r="K192" s="15"/>
      <x:c r="L192" s="17" t="str">
        <x:f>IF(B192="","",IF(NOT(AND(ISNUMBER(J192),ISNUMBER(K192))),"",SUM(J192:K192)))</x:f>
      </x:c>
      <x:c r="M192" s="15"/>
      <x:c r="N192" s="17" t="str">
        <x:f>IF(OR(B192="",D192&lt;&gt;"pagada",NOT(ISNUMBER(J192)),NOT(ISNUMBER(M192))),"",J192-M192)</x:f>
      </x:c>
      <x:c r="O192" s="9"/>
      <x:c r="P192" s="9"/>
      <x:c r="Q192" s="1" t="str">
        <x:f>IF(B192="","",IF(COUNTIFS($B$7:$B$1006,B192,$C$7:$C$1006,C192)&gt;1,"ID duplicado",IF(OR(A192="",C192="",D192="",E192="",F192="",I192="",J192="",K192="",O192=""),"Completar datos",IF(NOT(ISNUMBER(M192)),"Falta costo histórico","Revisar soporte"))))</x:f>
      </x:c>
      <x:c r="R192" s="9" t="n">
        <x:f>IF(B192="",0,IF(AND(D192="pagada",NOT(ISNUMBER(M192))),1,0))</x:f>
        <x:v>0</x:v>
      </x:c>
    </x:row>
    <x:row r="193" ht="22" customHeight="1">
      <x:c r="A193" s="11"/>
      <x:c r="B193" s="9"/>
      <x:c r="C193" s="9"/>
      <x:c r="D193" s="9"/>
      <x:c r="E193" s="9"/>
      <x:c r="F193" s="9"/>
      <x:c r="G193" s="9"/>
      <x:c r="H193" s="9"/>
      <x:c r="I193" s="13"/>
      <x:c r="J193" s="15"/>
      <x:c r="K193" s="15"/>
      <x:c r="L193" s="17" t="str">
        <x:f>IF(B193="","",IF(NOT(AND(ISNUMBER(J193),ISNUMBER(K193))),"",SUM(J193:K193)))</x:f>
      </x:c>
      <x:c r="M193" s="15"/>
      <x:c r="N193" s="17" t="str">
        <x:f>IF(OR(B193="",D193&lt;&gt;"pagada",NOT(ISNUMBER(J193)),NOT(ISNUMBER(M193))),"",J193-M193)</x:f>
      </x:c>
      <x:c r="O193" s="9"/>
      <x:c r="P193" s="9"/>
      <x:c r="Q193" s="1" t="str">
        <x:f>IF(B193="","",IF(COUNTIFS($B$7:$B$1006,B193,$C$7:$C$1006,C193)&gt;1,"ID duplicado",IF(OR(A193="",C193="",D193="",E193="",F193="",I193="",J193="",K193="",O193=""),"Completar datos",IF(NOT(ISNUMBER(M193)),"Falta costo histórico","Revisar soporte"))))</x:f>
      </x:c>
      <x:c r="R193" s="9" t="n">
        <x:f>IF(B193="",0,IF(AND(D193="pagada",NOT(ISNUMBER(M193))),1,0))</x:f>
        <x:v>0</x:v>
      </x:c>
    </x:row>
    <x:row r="194" ht="22" customHeight="1">
      <x:c r="A194" s="11"/>
      <x:c r="B194" s="9"/>
      <x:c r="C194" s="9"/>
      <x:c r="D194" s="9"/>
      <x:c r="E194" s="9"/>
      <x:c r="F194" s="9"/>
      <x:c r="G194" s="9"/>
      <x:c r="H194" s="9"/>
      <x:c r="I194" s="13"/>
      <x:c r="J194" s="15"/>
      <x:c r="K194" s="15"/>
      <x:c r="L194" s="17" t="str">
        <x:f>IF(B194="","",IF(NOT(AND(ISNUMBER(J194),ISNUMBER(K194))),"",SUM(J194:K194)))</x:f>
      </x:c>
      <x:c r="M194" s="15"/>
      <x:c r="N194" s="17" t="str">
        <x:f>IF(OR(B194="",D194&lt;&gt;"pagada",NOT(ISNUMBER(J194)),NOT(ISNUMBER(M194))),"",J194-M194)</x:f>
      </x:c>
      <x:c r="O194" s="9"/>
      <x:c r="P194" s="9"/>
      <x:c r="Q194" s="1" t="str">
        <x:f>IF(B194="","",IF(COUNTIFS($B$7:$B$1006,B194,$C$7:$C$1006,C194)&gt;1,"ID duplicado",IF(OR(A194="",C194="",D194="",E194="",F194="",I194="",J194="",K194="",O194=""),"Completar datos",IF(NOT(ISNUMBER(M194)),"Falta costo histórico","Revisar soporte"))))</x:f>
      </x:c>
      <x:c r="R194" s="9" t="n">
        <x:f>IF(B194="",0,IF(AND(D194="pagada",NOT(ISNUMBER(M194))),1,0))</x:f>
        <x:v>0</x:v>
      </x:c>
    </x:row>
    <x:row r="195" ht="22" customHeight="1">
      <x:c r="A195" s="11"/>
      <x:c r="B195" s="9"/>
      <x:c r="C195" s="9"/>
      <x:c r="D195" s="9"/>
      <x:c r="E195" s="9"/>
      <x:c r="F195" s="9"/>
      <x:c r="G195" s="9"/>
      <x:c r="H195" s="9"/>
      <x:c r="I195" s="13"/>
      <x:c r="J195" s="15"/>
      <x:c r="K195" s="15"/>
      <x:c r="L195" s="17" t="str">
        <x:f>IF(B195="","",IF(NOT(AND(ISNUMBER(J195),ISNUMBER(K195))),"",SUM(J195:K195)))</x:f>
      </x:c>
      <x:c r="M195" s="15"/>
      <x:c r="N195" s="17" t="str">
        <x:f>IF(OR(B195="",D195&lt;&gt;"pagada",NOT(ISNUMBER(J195)),NOT(ISNUMBER(M195))),"",J195-M195)</x:f>
      </x:c>
      <x:c r="O195" s="9"/>
      <x:c r="P195" s="9"/>
      <x:c r="Q195" s="1" t="str">
        <x:f>IF(B195="","",IF(COUNTIFS($B$7:$B$1006,B195,$C$7:$C$1006,C195)&gt;1,"ID duplicado",IF(OR(A195="",C195="",D195="",E195="",F195="",I195="",J195="",K195="",O195=""),"Completar datos",IF(NOT(ISNUMBER(M195)),"Falta costo histórico","Revisar soporte"))))</x:f>
      </x:c>
      <x:c r="R195" s="9" t="n">
        <x:f>IF(B195="",0,IF(AND(D195="pagada",NOT(ISNUMBER(M195))),1,0))</x:f>
        <x:v>0</x:v>
      </x:c>
    </x:row>
    <x:row r="196" ht="22" customHeight="1">
      <x:c r="A196" s="11"/>
      <x:c r="B196" s="9"/>
      <x:c r="C196" s="9"/>
      <x:c r="D196" s="9"/>
      <x:c r="E196" s="9"/>
      <x:c r="F196" s="9"/>
      <x:c r="G196" s="9"/>
      <x:c r="H196" s="9"/>
      <x:c r="I196" s="13"/>
      <x:c r="J196" s="15"/>
      <x:c r="K196" s="15"/>
      <x:c r="L196" s="17" t="str">
        <x:f>IF(B196="","",IF(NOT(AND(ISNUMBER(J196),ISNUMBER(K196))),"",SUM(J196:K196)))</x:f>
      </x:c>
      <x:c r="M196" s="15"/>
      <x:c r="N196" s="17" t="str">
        <x:f>IF(OR(B196="",D196&lt;&gt;"pagada",NOT(ISNUMBER(J196)),NOT(ISNUMBER(M196))),"",J196-M196)</x:f>
      </x:c>
      <x:c r="O196" s="9"/>
      <x:c r="P196" s="9"/>
      <x:c r="Q196" s="1" t="str">
        <x:f>IF(B196="","",IF(COUNTIFS($B$7:$B$1006,B196,$C$7:$C$1006,C196)&gt;1,"ID duplicado",IF(OR(A196="",C196="",D196="",E196="",F196="",I196="",J196="",K196="",O196=""),"Completar datos",IF(NOT(ISNUMBER(M196)),"Falta costo histórico","Revisar soporte"))))</x:f>
      </x:c>
      <x:c r="R196" s="9" t="n">
        <x:f>IF(B196="",0,IF(AND(D196="pagada",NOT(ISNUMBER(M196))),1,0))</x:f>
        <x:v>0</x:v>
      </x:c>
    </x:row>
    <x:row r="197" ht="22" customHeight="1">
      <x:c r="A197" s="11"/>
      <x:c r="B197" s="9"/>
      <x:c r="C197" s="9"/>
      <x:c r="D197" s="9"/>
      <x:c r="E197" s="9"/>
      <x:c r="F197" s="9"/>
      <x:c r="G197" s="9"/>
      <x:c r="H197" s="9"/>
      <x:c r="I197" s="13"/>
      <x:c r="J197" s="15"/>
      <x:c r="K197" s="15"/>
      <x:c r="L197" s="17" t="str">
        <x:f>IF(B197="","",IF(NOT(AND(ISNUMBER(J197),ISNUMBER(K197))),"",SUM(J197:K197)))</x:f>
      </x:c>
      <x:c r="M197" s="15"/>
      <x:c r="N197" s="17" t="str">
        <x:f>IF(OR(B197="",D197&lt;&gt;"pagada",NOT(ISNUMBER(J197)),NOT(ISNUMBER(M197))),"",J197-M197)</x:f>
      </x:c>
      <x:c r="O197" s="9"/>
      <x:c r="P197" s="9"/>
      <x:c r="Q197" s="1" t="str">
        <x:f>IF(B197="","",IF(COUNTIFS($B$7:$B$1006,B197,$C$7:$C$1006,C197)&gt;1,"ID duplicado",IF(OR(A197="",C197="",D197="",E197="",F197="",I197="",J197="",K197="",O197=""),"Completar datos",IF(NOT(ISNUMBER(M197)),"Falta costo histórico","Revisar soporte"))))</x:f>
      </x:c>
      <x:c r="R197" s="9" t="n">
        <x:f>IF(B197="",0,IF(AND(D197="pagada",NOT(ISNUMBER(M197))),1,0))</x:f>
        <x:v>0</x:v>
      </x:c>
    </x:row>
    <x:row r="198" ht="22" customHeight="1">
      <x:c r="A198" s="11"/>
      <x:c r="B198" s="9"/>
      <x:c r="C198" s="9"/>
      <x:c r="D198" s="9"/>
      <x:c r="E198" s="9"/>
      <x:c r="F198" s="9"/>
      <x:c r="G198" s="9"/>
      <x:c r="H198" s="9"/>
      <x:c r="I198" s="13"/>
      <x:c r="J198" s="15"/>
      <x:c r="K198" s="15"/>
      <x:c r="L198" s="17" t="str">
        <x:f>IF(B198="","",IF(NOT(AND(ISNUMBER(J198),ISNUMBER(K198))),"",SUM(J198:K198)))</x:f>
      </x:c>
      <x:c r="M198" s="15"/>
      <x:c r="N198" s="17" t="str">
        <x:f>IF(OR(B198="",D198&lt;&gt;"pagada",NOT(ISNUMBER(J198)),NOT(ISNUMBER(M198))),"",J198-M198)</x:f>
      </x:c>
      <x:c r="O198" s="9"/>
      <x:c r="P198" s="9"/>
      <x:c r="Q198" s="1" t="str">
        <x:f>IF(B198="","",IF(COUNTIFS($B$7:$B$1006,B198,$C$7:$C$1006,C198)&gt;1,"ID duplicado",IF(OR(A198="",C198="",D198="",E198="",F198="",I198="",J198="",K198="",O198=""),"Completar datos",IF(NOT(ISNUMBER(M198)),"Falta costo histórico","Revisar soporte"))))</x:f>
      </x:c>
      <x:c r="R198" s="9" t="n">
        <x:f>IF(B198="",0,IF(AND(D198="pagada",NOT(ISNUMBER(M198))),1,0))</x:f>
        <x:v>0</x:v>
      </x:c>
    </x:row>
    <x:row r="199" ht="22" customHeight="1">
      <x:c r="A199" s="11"/>
      <x:c r="B199" s="9"/>
      <x:c r="C199" s="9"/>
      <x:c r="D199" s="9"/>
      <x:c r="E199" s="9"/>
      <x:c r="F199" s="9"/>
      <x:c r="G199" s="9"/>
      <x:c r="H199" s="9"/>
      <x:c r="I199" s="13"/>
      <x:c r="J199" s="15"/>
      <x:c r="K199" s="15"/>
      <x:c r="L199" s="17" t="str">
        <x:f>IF(B199="","",IF(NOT(AND(ISNUMBER(J199),ISNUMBER(K199))),"",SUM(J199:K199)))</x:f>
      </x:c>
      <x:c r="M199" s="15"/>
      <x:c r="N199" s="17" t="str">
        <x:f>IF(OR(B199="",D199&lt;&gt;"pagada",NOT(ISNUMBER(J199)),NOT(ISNUMBER(M199))),"",J199-M199)</x:f>
      </x:c>
      <x:c r="O199" s="9"/>
      <x:c r="P199" s="9"/>
      <x:c r="Q199" s="1" t="str">
        <x:f>IF(B199="","",IF(COUNTIFS($B$7:$B$1006,B199,$C$7:$C$1006,C199)&gt;1,"ID duplicado",IF(OR(A199="",C199="",D199="",E199="",F199="",I199="",J199="",K199="",O199=""),"Completar datos",IF(NOT(ISNUMBER(M199)),"Falta costo histórico","Revisar soporte"))))</x:f>
      </x:c>
      <x:c r="R199" s="9" t="n">
        <x:f>IF(B199="",0,IF(AND(D199="pagada",NOT(ISNUMBER(M199))),1,0))</x:f>
        <x:v>0</x:v>
      </x:c>
    </x:row>
    <x:row r="200" ht="22" customHeight="1">
      <x:c r="A200" s="11"/>
      <x:c r="B200" s="9"/>
      <x:c r="C200" s="9"/>
      <x:c r="D200" s="9"/>
      <x:c r="E200" s="9"/>
      <x:c r="F200" s="9"/>
      <x:c r="G200" s="9"/>
      <x:c r="H200" s="9"/>
      <x:c r="I200" s="13"/>
      <x:c r="J200" s="15"/>
      <x:c r="K200" s="15"/>
      <x:c r="L200" s="17" t="str">
        <x:f>IF(B200="","",IF(NOT(AND(ISNUMBER(J200),ISNUMBER(K200))),"",SUM(J200:K200)))</x:f>
      </x:c>
      <x:c r="M200" s="15"/>
      <x:c r="N200" s="17" t="str">
        <x:f>IF(OR(B200="",D200&lt;&gt;"pagada",NOT(ISNUMBER(J200)),NOT(ISNUMBER(M200))),"",J200-M200)</x:f>
      </x:c>
      <x:c r="O200" s="9"/>
      <x:c r="P200" s="9"/>
      <x:c r="Q200" s="1" t="str">
        <x:f>IF(B200="","",IF(COUNTIFS($B$7:$B$1006,B200,$C$7:$C$1006,C200)&gt;1,"ID duplicado",IF(OR(A200="",C200="",D200="",E200="",F200="",I200="",J200="",K200="",O200=""),"Completar datos",IF(NOT(ISNUMBER(M200)),"Falta costo histórico","Revisar soporte"))))</x:f>
      </x:c>
      <x:c r="R200" s="9" t="n">
        <x:f>IF(B200="",0,IF(AND(D200="pagada",NOT(ISNUMBER(M200))),1,0))</x:f>
        <x:v>0</x:v>
      </x:c>
    </x:row>
    <x:row r="201" ht="22" customHeight="1">
      <x:c r="A201" s="11"/>
      <x:c r="B201" s="9"/>
      <x:c r="C201" s="9"/>
      <x:c r="D201" s="9"/>
      <x:c r="E201" s="9"/>
      <x:c r="F201" s="9"/>
      <x:c r="G201" s="9"/>
      <x:c r="H201" s="9"/>
      <x:c r="I201" s="13"/>
      <x:c r="J201" s="15"/>
      <x:c r="K201" s="15"/>
      <x:c r="L201" s="17" t="str">
        <x:f>IF(B201="","",IF(NOT(AND(ISNUMBER(J201),ISNUMBER(K201))),"",SUM(J201:K201)))</x:f>
      </x:c>
      <x:c r="M201" s="15"/>
      <x:c r="N201" s="17" t="str">
        <x:f>IF(OR(B201="",D201&lt;&gt;"pagada",NOT(ISNUMBER(J201)),NOT(ISNUMBER(M201))),"",J201-M201)</x:f>
      </x:c>
      <x:c r="O201" s="9"/>
      <x:c r="P201" s="9"/>
      <x:c r="Q201" s="1" t="str">
        <x:f>IF(B201="","",IF(COUNTIFS($B$7:$B$1006,B201,$C$7:$C$1006,C201)&gt;1,"ID duplicado",IF(OR(A201="",C201="",D201="",E201="",F201="",I201="",J201="",K201="",O201=""),"Completar datos",IF(NOT(ISNUMBER(M201)),"Falta costo histórico","Revisar soporte"))))</x:f>
      </x:c>
      <x:c r="R201" s="9" t="n">
        <x:f>IF(B201="",0,IF(AND(D201="pagada",NOT(ISNUMBER(M201))),1,0))</x:f>
        <x:v>0</x:v>
      </x:c>
    </x:row>
    <x:row r="202" ht="22" customHeight="1">
      <x:c r="A202" s="11"/>
      <x:c r="B202" s="9"/>
      <x:c r="C202" s="9"/>
      <x:c r="D202" s="9"/>
      <x:c r="E202" s="9"/>
      <x:c r="F202" s="9"/>
      <x:c r="G202" s="9"/>
      <x:c r="H202" s="9"/>
      <x:c r="I202" s="13"/>
      <x:c r="J202" s="15"/>
      <x:c r="K202" s="15"/>
      <x:c r="L202" s="17" t="str">
        <x:f>IF(B202="","",IF(NOT(AND(ISNUMBER(J202),ISNUMBER(K202))),"",SUM(J202:K202)))</x:f>
      </x:c>
      <x:c r="M202" s="15"/>
      <x:c r="N202" s="17" t="str">
        <x:f>IF(OR(B202="",D202&lt;&gt;"pagada",NOT(ISNUMBER(J202)),NOT(ISNUMBER(M202))),"",J202-M202)</x:f>
      </x:c>
      <x:c r="O202" s="9"/>
      <x:c r="P202" s="9"/>
      <x:c r="Q202" s="1" t="str">
        <x:f>IF(B202="","",IF(COUNTIFS($B$7:$B$1006,B202,$C$7:$C$1006,C202)&gt;1,"ID duplicado",IF(OR(A202="",C202="",D202="",E202="",F202="",I202="",J202="",K202="",O202=""),"Completar datos",IF(NOT(ISNUMBER(M202)),"Falta costo histórico","Revisar soporte"))))</x:f>
      </x:c>
      <x:c r="R202" s="9" t="n">
        <x:f>IF(B202="",0,IF(AND(D202="pagada",NOT(ISNUMBER(M202))),1,0))</x:f>
        <x:v>0</x:v>
      </x:c>
    </x:row>
    <x:row r="203" ht="22" customHeight="1">
      <x:c r="A203" s="11"/>
      <x:c r="B203" s="9"/>
      <x:c r="C203" s="9"/>
      <x:c r="D203" s="9"/>
      <x:c r="E203" s="9"/>
      <x:c r="F203" s="9"/>
      <x:c r="G203" s="9"/>
      <x:c r="H203" s="9"/>
      <x:c r="I203" s="13"/>
      <x:c r="J203" s="15"/>
      <x:c r="K203" s="15"/>
      <x:c r="L203" s="17" t="str">
        <x:f>IF(B203="","",IF(NOT(AND(ISNUMBER(J203),ISNUMBER(K203))),"",SUM(J203:K203)))</x:f>
      </x:c>
      <x:c r="M203" s="15"/>
      <x:c r="N203" s="17" t="str">
        <x:f>IF(OR(B203="",D203&lt;&gt;"pagada",NOT(ISNUMBER(J203)),NOT(ISNUMBER(M203))),"",J203-M203)</x:f>
      </x:c>
      <x:c r="O203" s="9"/>
      <x:c r="P203" s="9"/>
      <x:c r="Q203" s="1" t="str">
        <x:f>IF(B203="","",IF(COUNTIFS($B$7:$B$1006,B203,$C$7:$C$1006,C203)&gt;1,"ID duplicado",IF(OR(A203="",C203="",D203="",E203="",F203="",I203="",J203="",K203="",O203=""),"Completar datos",IF(NOT(ISNUMBER(M203)),"Falta costo histórico","Revisar soporte"))))</x:f>
      </x:c>
      <x:c r="R203" s="9" t="n">
        <x:f>IF(B203="",0,IF(AND(D203="pagada",NOT(ISNUMBER(M203))),1,0))</x:f>
        <x:v>0</x:v>
      </x:c>
    </x:row>
    <x:row r="204" ht="22" customHeight="1">
      <x:c r="A204" s="11"/>
      <x:c r="B204" s="9"/>
      <x:c r="C204" s="9"/>
      <x:c r="D204" s="9"/>
      <x:c r="E204" s="9"/>
      <x:c r="F204" s="9"/>
      <x:c r="G204" s="9"/>
      <x:c r="H204" s="9"/>
      <x:c r="I204" s="13"/>
      <x:c r="J204" s="15"/>
      <x:c r="K204" s="15"/>
      <x:c r="L204" s="17" t="str">
        <x:f>IF(B204="","",IF(NOT(AND(ISNUMBER(J204),ISNUMBER(K204))),"",SUM(J204:K204)))</x:f>
      </x:c>
      <x:c r="M204" s="15"/>
      <x:c r="N204" s="17" t="str">
        <x:f>IF(OR(B204="",D204&lt;&gt;"pagada",NOT(ISNUMBER(J204)),NOT(ISNUMBER(M204))),"",J204-M204)</x:f>
      </x:c>
      <x:c r="O204" s="9"/>
      <x:c r="P204" s="9"/>
      <x:c r="Q204" s="1" t="str">
        <x:f>IF(B204="","",IF(COUNTIFS($B$7:$B$1006,B204,$C$7:$C$1006,C204)&gt;1,"ID duplicado",IF(OR(A204="",C204="",D204="",E204="",F204="",I204="",J204="",K204="",O204=""),"Completar datos",IF(NOT(ISNUMBER(M204)),"Falta costo histórico","Revisar soporte"))))</x:f>
      </x:c>
      <x:c r="R204" s="9" t="n">
        <x:f>IF(B204="",0,IF(AND(D204="pagada",NOT(ISNUMBER(M204))),1,0))</x:f>
        <x:v>0</x:v>
      </x:c>
    </x:row>
    <x:row r="205" ht="22" customHeight="1">
      <x:c r="A205" s="11"/>
      <x:c r="B205" s="9"/>
      <x:c r="C205" s="9"/>
      <x:c r="D205" s="9"/>
      <x:c r="E205" s="9"/>
      <x:c r="F205" s="9"/>
      <x:c r="G205" s="9"/>
      <x:c r="H205" s="9"/>
      <x:c r="I205" s="13"/>
      <x:c r="J205" s="15"/>
      <x:c r="K205" s="15"/>
      <x:c r="L205" s="17" t="str">
        <x:f>IF(B205="","",IF(NOT(AND(ISNUMBER(J205),ISNUMBER(K205))),"",SUM(J205:K205)))</x:f>
      </x:c>
      <x:c r="M205" s="15"/>
      <x:c r="N205" s="17" t="str">
        <x:f>IF(OR(B205="",D205&lt;&gt;"pagada",NOT(ISNUMBER(J205)),NOT(ISNUMBER(M205))),"",J205-M205)</x:f>
      </x:c>
      <x:c r="O205" s="9"/>
      <x:c r="P205" s="9"/>
      <x:c r="Q205" s="1" t="str">
        <x:f>IF(B205="","",IF(COUNTIFS($B$7:$B$1006,B205,$C$7:$C$1006,C205)&gt;1,"ID duplicado",IF(OR(A205="",C205="",D205="",E205="",F205="",I205="",J205="",K205="",O205=""),"Completar datos",IF(NOT(ISNUMBER(M205)),"Falta costo histórico","Revisar soporte"))))</x:f>
      </x:c>
      <x:c r="R205" s="9" t="n">
        <x:f>IF(B205="",0,IF(AND(D205="pagada",NOT(ISNUMBER(M205))),1,0))</x:f>
        <x:v>0</x:v>
      </x:c>
    </x:row>
    <x:row r="206" ht="22" customHeight="1">
      <x:c r="A206" s="11"/>
      <x:c r="B206" s="9"/>
      <x:c r="C206" s="9"/>
      <x:c r="D206" s="9"/>
      <x:c r="E206" s="9"/>
      <x:c r="F206" s="9"/>
      <x:c r="G206" s="9"/>
      <x:c r="H206" s="9"/>
      <x:c r="I206" s="13"/>
      <x:c r="J206" s="15"/>
      <x:c r="K206" s="15"/>
      <x:c r="L206" s="17" t="str">
        <x:f>IF(B206="","",IF(NOT(AND(ISNUMBER(J206),ISNUMBER(K206))),"",SUM(J206:K206)))</x:f>
      </x:c>
      <x:c r="M206" s="15"/>
      <x:c r="N206" s="17" t="str">
        <x:f>IF(OR(B206="",D206&lt;&gt;"pagada",NOT(ISNUMBER(J206)),NOT(ISNUMBER(M206))),"",J206-M206)</x:f>
      </x:c>
      <x:c r="O206" s="9"/>
      <x:c r="P206" s="9"/>
      <x:c r="Q206" s="1" t="str">
        <x:f>IF(B206="","",IF(COUNTIFS($B$7:$B$1006,B206,$C$7:$C$1006,C206)&gt;1,"ID duplicado",IF(OR(A206="",C206="",D206="",E206="",F206="",I206="",J206="",K206="",O206=""),"Completar datos",IF(NOT(ISNUMBER(M206)),"Falta costo histórico","Revisar soporte"))))</x:f>
      </x:c>
      <x:c r="R206" s="9" t="n">
        <x:f>IF(B206="",0,IF(AND(D206="pagada",NOT(ISNUMBER(M206))),1,0))</x:f>
        <x:v>0</x:v>
      </x:c>
    </x:row>
    <x:row r="207" ht="22" customHeight="1">
      <x:c r="A207" s="11"/>
      <x:c r="B207" s="9"/>
      <x:c r="C207" s="9"/>
      <x:c r="D207" s="9"/>
      <x:c r="E207" s="9"/>
      <x:c r="F207" s="9"/>
      <x:c r="G207" s="9"/>
      <x:c r="H207" s="9"/>
      <x:c r="I207" s="13"/>
      <x:c r="J207" s="15"/>
      <x:c r="K207" s="15"/>
      <x:c r="L207" s="17" t="str">
        <x:f>IF(B207="","",IF(NOT(AND(ISNUMBER(J207),ISNUMBER(K207))),"",SUM(J207:K207)))</x:f>
      </x:c>
      <x:c r="M207" s="15"/>
      <x:c r="N207" s="17" t="str">
        <x:f>IF(OR(B207="",D207&lt;&gt;"pagada",NOT(ISNUMBER(J207)),NOT(ISNUMBER(M207))),"",J207-M207)</x:f>
      </x:c>
      <x:c r="O207" s="9"/>
      <x:c r="P207" s="9"/>
      <x:c r="Q207" s="1" t="str">
        <x:f>IF(B207="","",IF(COUNTIFS($B$7:$B$1006,B207,$C$7:$C$1006,C207)&gt;1,"ID duplicado",IF(OR(A207="",C207="",D207="",E207="",F207="",I207="",J207="",K207="",O207=""),"Completar datos",IF(NOT(ISNUMBER(M207)),"Falta costo histórico","Revisar soporte"))))</x:f>
      </x:c>
      <x:c r="R207" s="9" t="n">
        <x:f>IF(B207="",0,IF(AND(D207="pagada",NOT(ISNUMBER(M207))),1,0))</x:f>
        <x:v>0</x:v>
      </x:c>
    </x:row>
    <x:row r="208" ht="22" customHeight="1">
      <x:c r="A208" s="11"/>
      <x:c r="B208" s="9"/>
      <x:c r="C208" s="9"/>
      <x:c r="D208" s="9"/>
      <x:c r="E208" s="9"/>
      <x:c r="F208" s="9"/>
      <x:c r="G208" s="9"/>
      <x:c r="H208" s="9"/>
      <x:c r="I208" s="13"/>
      <x:c r="J208" s="15"/>
      <x:c r="K208" s="15"/>
      <x:c r="L208" s="17" t="str">
        <x:f>IF(B208="","",IF(NOT(AND(ISNUMBER(J208),ISNUMBER(K208))),"",SUM(J208:K208)))</x:f>
      </x:c>
      <x:c r="M208" s="15"/>
      <x:c r="N208" s="17" t="str">
        <x:f>IF(OR(B208="",D208&lt;&gt;"pagada",NOT(ISNUMBER(J208)),NOT(ISNUMBER(M208))),"",J208-M208)</x:f>
      </x:c>
      <x:c r="O208" s="9"/>
      <x:c r="P208" s="9"/>
      <x:c r="Q208" s="1" t="str">
        <x:f>IF(B208="","",IF(COUNTIFS($B$7:$B$1006,B208,$C$7:$C$1006,C208)&gt;1,"ID duplicado",IF(OR(A208="",C208="",D208="",E208="",F208="",I208="",J208="",K208="",O208=""),"Completar datos",IF(NOT(ISNUMBER(M208)),"Falta costo histórico","Revisar soporte"))))</x:f>
      </x:c>
      <x:c r="R208" s="9" t="n">
        <x:f>IF(B208="",0,IF(AND(D208="pagada",NOT(ISNUMBER(M208))),1,0))</x:f>
        <x:v>0</x:v>
      </x:c>
    </x:row>
    <x:row r="209" ht="22" customHeight="1">
      <x:c r="A209" s="11"/>
      <x:c r="B209" s="9"/>
      <x:c r="C209" s="9"/>
      <x:c r="D209" s="9"/>
      <x:c r="E209" s="9"/>
      <x:c r="F209" s="9"/>
      <x:c r="G209" s="9"/>
      <x:c r="H209" s="9"/>
      <x:c r="I209" s="13"/>
      <x:c r="J209" s="15"/>
      <x:c r="K209" s="15"/>
      <x:c r="L209" s="17" t="str">
        <x:f>IF(B209="","",IF(NOT(AND(ISNUMBER(J209),ISNUMBER(K209))),"",SUM(J209:K209)))</x:f>
      </x:c>
      <x:c r="M209" s="15"/>
      <x:c r="N209" s="17" t="str">
        <x:f>IF(OR(B209="",D209&lt;&gt;"pagada",NOT(ISNUMBER(J209)),NOT(ISNUMBER(M209))),"",J209-M209)</x:f>
      </x:c>
      <x:c r="O209" s="9"/>
      <x:c r="P209" s="9"/>
      <x:c r="Q209" s="1" t="str">
        <x:f>IF(B209="","",IF(COUNTIFS($B$7:$B$1006,B209,$C$7:$C$1006,C209)&gt;1,"ID duplicado",IF(OR(A209="",C209="",D209="",E209="",F209="",I209="",J209="",K209="",O209=""),"Completar datos",IF(NOT(ISNUMBER(M209)),"Falta costo histórico","Revisar soporte"))))</x:f>
      </x:c>
      <x:c r="R209" s="9" t="n">
        <x:f>IF(B209="",0,IF(AND(D209="pagada",NOT(ISNUMBER(M209))),1,0))</x:f>
        <x:v>0</x:v>
      </x:c>
    </x:row>
    <x:row r="210" ht="22" customHeight="1">
      <x:c r="A210" s="11"/>
      <x:c r="B210" s="9"/>
      <x:c r="C210" s="9"/>
      <x:c r="D210" s="9"/>
      <x:c r="E210" s="9"/>
      <x:c r="F210" s="9"/>
      <x:c r="G210" s="9"/>
      <x:c r="H210" s="9"/>
      <x:c r="I210" s="13"/>
      <x:c r="J210" s="15"/>
      <x:c r="K210" s="15"/>
      <x:c r="L210" s="17" t="str">
        <x:f>IF(B210="","",IF(NOT(AND(ISNUMBER(J210),ISNUMBER(K210))),"",SUM(J210:K210)))</x:f>
      </x:c>
      <x:c r="M210" s="15"/>
      <x:c r="N210" s="17" t="str">
        <x:f>IF(OR(B210="",D210&lt;&gt;"pagada",NOT(ISNUMBER(J210)),NOT(ISNUMBER(M210))),"",J210-M210)</x:f>
      </x:c>
      <x:c r="O210" s="9"/>
      <x:c r="P210" s="9"/>
      <x:c r="Q210" s="1" t="str">
        <x:f>IF(B210="","",IF(COUNTIFS($B$7:$B$1006,B210,$C$7:$C$1006,C210)&gt;1,"ID duplicado",IF(OR(A210="",C210="",D210="",E210="",F210="",I210="",J210="",K210="",O210=""),"Completar datos",IF(NOT(ISNUMBER(M210)),"Falta costo histórico","Revisar soporte"))))</x:f>
      </x:c>
      <x:c r="R210" s="9" t="n">
        <x:f>IF(B210="",0,IF(AND(D210="pagada",NOT(ISNUMBER(M210))),1,0))</x:f>
        <x:v>0</x:v>
      </x:c>
    </x:row>
    <x:row r="211" ht="22" customHeight="1">
      <x:c r="A211" s="11"/>
      <x:c r="B211" s="9"/>
      <x:c r="C211" s="9"/>
      <x:c r="D211" s="9"/>
      <x:c r="E211" s="9"/>
      <x:c r="F211" s="9"/>
      <x:c r="G211" s="9"/>
      <x:c r="H211" s="9"/>
      <x:c r="I211" s="13"/>
      <x:c r="J211" s="15"/>
      <x:c r="K211" s="15"/>
      <x:c r="L211" s="17" t="str">
        <x:f>IF(B211="","",IF(NOT(AND(ISNUMBER(J211),ISNUMBER(K211))),"",SUM(J211:K211)))</x:f>
      </x:c>
      <x:c r="M211" s="15"/>
      <x:c r="N211" s="17" t="str">
        <x:f>IF(OR(B211="",D211&lt;&gt;"pagada",NOT(ISNUMBER(J211)),NOT(ISNUMBER(M211))),"",J211-M211)</x:f>
      </x:c>
      <x:c r="O211" s="9"/>
      <x:c r="P211" s="9"/>
      <x:c r="Q211" s="1" t="str">
        <x:f>IF(B211="","",IF(COUNTIFS($B$7:$B$1006,B211,$C$7:$C$1006,C211)&gt;1,"ID duplicado",IF(OR(A211="",C211="",D211="",E211="",F211="",I211="",J211="",K211="",O211=""),"Completar datos",IF(NOT(ISNUMBER(M211)),"Falta costo histórico","Revisar soporte"))))</x:f>
      </x:c>
      <x:c r="R211" s="9" t="n">
        <x:f>IF(B211="",0,IF(AND(D211="pagada",NOT(ISNUMBER(M211))),1,0))</x:f>
        <x:v>0</x:v>
      </x:c>
    </x:row>
    <x:row r="212" ht="22" customHeight="1">
      <x:c r="A212" s="11"/>
      <x:c r="B212" s="9"/>
      <x:c r="C212" s="9"/>
      <x:c r="D212" s="9"/>
      <x:c r="E212" s="9"/>
      <x:c r="F212" s="9"/>
      <x:c r="G212" s="9"/>
      <x:c r="H212" s="9"/>
      <x:c r="I212" s="13"/>
      <x:c r="J212" s="15"/>
      <x:c r="K212" s="15"/>
      <x:c r="L212" s="17" t="str">
        <x:f>IF(B212="","",IF(NOT(AND(ISNUMBER(J212),ISNUMBER(K212))),"",SUM(J212:K212)))</x:f>
      </x:c>
      <x:c r="M212" s="15"/>
      <x:c r="N212" s="17" t="str">
        <x:f>IF(OR(B212="",D212&lt;&gt;"pagada",NOT(ISNUMBER(J212)),NOT(ISNUMBER(M212))),"",J212-M212)</x:f>
      </x:c>
      <x:c r="O212" s="9"/>
      <x:c r="P212" s="9"/>
      <x:c r="Q212" s="1" t="str">
        <x:f>IF(B212="","",IF(COUNTIFS($B$7:$B$1006,B212,$C$7:$C$1006,C212)&gt;1,"ID duplicado",IF(OR(A212="",C212="",D212="",E212="",F212="",I212="",J212="",K212="",O212=""),"Completar datos",IF(NOT(ISNUMBER(M212)),"Falta costo histórico","Revisar soporte"))))</x:f>
      </x:c>
      <x:c r="R212" s="9" t="n">
        <x:f>IF(B212="",0,IF(AND(D212="pagada",NOT(ISNUMBER(M212))),1,0))</x:f>
        <x:v>0</x:v>
      </x:c>
    </x:row>
    <x:row r="213" ht="22" customHeight="1">
      <x:c r="A213" s="11"/>
      <x:c r="B213" s="9"/>
      <x:c r="C213" s="9"/>
      <x:c r="D213" s="9"/>
      <x:c r="E213" s="9"/>
      <x:c r="F213" s="9"/>
      <x:c r="G213" s="9"/>
      <x:c r="H213" s="9"/>
      <x:c r="I213" s="13"/>
      <x:c r="J213" s="15"/>
      <x:c r="K213" s="15"/>
      <x:c r="L213" s="17" t="str">
        <x:f>IF(B213="","",IF(NOT(AND(ISNUMBER(J213),ISNUMBER(K213))),"",SUM(J213:K213)))</x:f>
      </x:c>
      <x:c r="M213" s="15"/>
      <x:c r="N213" s="17" t="str">
        <x:f>IF(OR(B213="",D213&lt;&gt;"pagada",NOT(ISNUMBER(J213)),NOT(ISNUMBER(M213))),"",J213-M213)</x:f>
      </x:c>
      <x:c r="O213" s="9"/>
      <x:c r="P213" s="9"/>
      <x:c r="Q213" s="1" t="str">
        <x:f>IF(B213="","",IF(COUNTIFS($B$7:$B$1006,B213,$C$7:$C$1006,C213)&gt;1,"ID duplicado",IF(OR(A213="",C213="",D213="",E213="",F213="",I213="",J213="",K213="",O213=""),"Completar datos",IF(NOT(ISNUMBER(M213)),"Falta costo histórico","Revisar soporte"))))</x:f>
      </x:c>
      <x:c r="R213" s="9" t="n">
        <x:f>IF(B213="",0,IF(AND(D213="pagada",NOT(ISNUMBER(M213))),1,0))</x:f>
        <x:v>0</x:v>
      </x:c>
    </x:row>
    <x:row r="214" ht="22" customHeight="1">
      <x:c r="A214" s="11"/>
      <x:c r="B214" s="9"/>
      <x:c r="C214" s="9"/>
      <x:c r="D214" s="9"/>
      <x:c r="E214" s="9"/>
      <x:c r="F214" s="9"/>
      <x:c r="G214" s="9"/>
      <x:c r="H214" s="9"/>
      <x:c r="I214" s="13"/>
      <x:c r="J214" s="15"/>
      <x:c r="K214" s="15"/>
      <x:c r="L214" s="17" t="str">
        <x:f>IF(B214="","",IF(NOT(AND(ISNUMBER(J214),ISNUMBER(K214))),"",SUM(J214:K214)))</x:f>
      </x:c>
      <x:c r="M214" s="15"/>
      <x:c r="N214" s="17" t="str">
        <x:f>IF(OR(B214="",D214&lt;&gt;"pagada",NOT(ISNUMBER(J214)),NOT(ISNUMBER(M214))),"",J214-M214)</x:f>
      </x:c>
      <x:c r="O214" s="9"/>
      <x:c r="P214" s="9"/>
      <x:c r="Q214" s="1" t="str">
        <x:f>IF(B214="","",IF(COUNTIFS($B$7:$B$1006,B214,$C$7:$C$1006,C214)&gt;1,"ID duplicado",IF(OR(A214="",C214="",D214="",E214="",F214="",I214="",J214="",K214="",O214=""),"Completar datos",IF(NOT(ISNUMBER(M214)),"Falta costo histórico","Revisar soporte"))))</x:f>
      </x:c>
      <x:c r="R214" s="9" t="n">
        <x:f>IF(B214="",0,IF(AND(D214="pagada",NOT(ISNUMBER(M214))),1,0))</x:f>
        <x:v>0</x:v>
      </x:c>
    </x:row>
    <x:row r="215" ht="22" customHeight="1">
      <x:c r="A215" s="11"/>
      <x:c r="B215" s="9"/>
      <x:c r="C215" s="9"/>
      <x:c r="D215" s="9"/>
      <x:c r="E215" s="9"/>
      <x:c r="F215" s="9"/>
      <x:c r="G215" s="9"/>
      <x:c r="H215" s="9"/>
      <x:c r="I215" s="13"/>
      <x:c r="J215" s="15"/>
      <x:c r="K215" s="15"/>
      <x:c r="L215" s="17" t="str">
        <x:f>IF(B215="","",IF(NOT(AND(ISNUMBER(J215),ISNUMBER(K215))),"",SUM(J215:K215)))</x:f>
      </x:c>
      <x:c r="M215" s="15"/>
      <x:c r="N215" s="17" t="str">
        <x:f>IF(OR(B215="",D215&lt;&gt;"pagada",NOT(ISNUMBER(J215)),NOT(ISNUMBER(M215))),"",J215-M215)</x:f>
      </x:c>
      <x:c r="O215" s="9"/>
      <x:c r="P215" s="9"/>
      <x:c r="Q215" s="1" t="str">
        <x:f>IF(B215="","",IF(COUNTIFS($B$7:$B$1006,B215,$C$7:$C$1006,C215)&gt;1,"ID duplicado",IF(OR(A215="",C215="",D215="",E215="",F215="",I215="",J215="",K215="",O215=""),"Completar datos",IF(NOT(ISNUMBER(M215)),"Falta costo histórico","Revisar soporte"))))</x:f>
      </x:c>
      <x:c r="R215" s="9" t="n">
        <x:f>IF(B215="",0,IF(AND(D215="pagada",NOT(ISNUMBER(M215))),1,0))</x:f>
        <x:v>0</x:v>
      </x:c>
    </x:row>
    <x:row r="216" ht="22" customHeight="1">
      <x:c r="A216" s="11"/>
      <x:c r="B216" s="9"/>
      <x:c r="C216" s="9"/>
      <x:c r="D216" s="9"/>
      <x:c r="E216" s="9"/>
      <x:c r="F216" s="9"/>
      <x:c r="G216" s="9"/>
      <x:c r="H216" s="9"/>
      <x:c r="I216" s="13"/>
      <x:c r="J216" s="15"/>
      <x:c r="K216" s="15"/>
      <x:c r="L216" s="17" t="str">
        <x:f>IF(B216="","",IF(NOT(AND(ISNUMBER(J216),ISNUMBER(K216))),"",SUM(J216:K216)))</x:f>
      </x:c>
      <x:c r="M216" s="15"/>
      <x:c r="N216" s="17" t="str">
        <x:f>IF(OR(B216="",D216&lt;&gt;"pagada",NOT(ISNUMBER(J216)),NOT(ISNUMBER(M216))),"",J216-M216)</x:f>
      </x:c>
      <x:c r="O216" s="9"/>
      <x:c r="P216" s="9"/>
      <x:c r="Q216" s="1" t="str">
        <x:f>IF(B216="","",IF(COUNTIFS($B$7:$B$1006,B216,$C$7:$C$1006,C216)&gt;1,"ID duplicado",IF(OR(A216="",C216="",D216="",E216="",F216="",I216="",J216="",K216="",O216=""),"Completar datos",IF(NOT(ISNUMBER(M216)),"Falta costo histórico","Revisar soporte"))))</x:f>
      </x:c>
      <x:c r="R216" s="9" t="n">
        <x:f>IF(B216="",0,IF(AND(D216="pagada",NOT(ISNUMBER(M216))),1,0))</x:f>
        <x:v>0</x:v>
      </x:c>
    </x:row>
    <x:row r="217" ht="22" customHeight="1">
      <x:c r="A217" s="11"/>
      <x:c r="B217" s="9"/>
      <x:c r="C217" s="9"/>
      <x:c r="D217" s="9"/>
      <x:c r="E217" s="9"/>
      <x:c r="F217" s="9"/>
      <x:c r="G217" s="9"/>
      <x:c r="H217" s="9"/>
      <x:c r="I217" s="13"/>
      <x:c r="J217" s="15"/>
      <x:c r="K217" s="15"/>
      <x:c r="L217" s="17" t="str">
        <x:f>IF(B217="","",IF(NOT(AND(ISNUMBER(J217),ISNUMBER(K217))),"",SUM(J217:K217)))</x:f>
      </x:c>
      <x:c r="M217" s="15"/>
      <x:c r="N217" s="17" t="str">
        <x:f>IF(OR(B217="",D217&lt;&gt;"pagada",NOT(ISNUMBER(J217)),NOT(ISNUMBER(M217))),"",J217-M217)</x:f>
      </x:c>
      <x:c r="O217" s="9"/>
      <x:c r="P217" s="9"/>
      <x:c r="Q217" s="1" t="str">
        <x:f>IF(B217="","",IF(COUNTIFS($B$7:$B$1006,B217,$C$7:$C$1006,C217)&gt;1,"ID duplicado",IF(OR(A217="",C217="",D217="",E217="",F217="",I217="",J217="",K217="",O217=""),"Completar datos",IF(NOT(ISNUMBER(M217)),"Falta costo histórico","Revisar soporte"))))</x:f>
      </x:c>
      <x:c r="R217" s="9" t="n">
        <x:f>IF(B217="",0,IF(AND(D217="pagada",NOT(ISNUMBER(M217))),1,0))</x:f>
        <x:v>0</x:v>
      </x:c>
    </x:row>
    <x:row r="218" ht="22" customHeight="1">
      <x:c r="A218" s="11"/>
      <x:c r="B218" s="9"/>
      <x:c r="C218" s="9"/>
      <x:c r="D218" s="9"/>
      <x:c r="E218" s="9"/>
      <x:c r="F218" s="9"/>
      <x:c r="G218" s="9"/>
      <x:c r="H218" s="9"/>
      <x:c r="I218" s="13"/>
      <x:c r="J218" s="15"/>
      <x:c r="K218" s="15"/>
      <x:c r="L218" s="17" t="str">
        <x:f>IF(B218="","",IF(NOT(AND(ISNUMBER(J218),ISNUMBER(K218))),"",SUM(J218:K218)))</x:f>
      </x:c>
      <x:c r="M218" s="15"/>
      <x:c r="N218" s="17" t="str">
        <x:f>IF(OR(B218="",D218&lt;&gt;"pagada",NOT(ISNUMBER(J218)),NOT(ISNUMBER(M218))),"",J218-M218)</x:f>
      </x:c>
      <x:c r="O218" s="9"/>
      <x:c r="P218" s="9"/>
      <x:c r="Q218" s="1" t="str">
        <x:f>IF(B218="","",IF(COUNTIFS($B$7:$B$1006,B218,$C$7:$C$1006,C218)&gt;1,"ID duplicado",IF(OR(A218="",C218="",D218="",E218="",F218="",I218="",J218="",K218="",O218=""),"Completar datos",IF(NOT(ISNUMBER(M218)),"Falta costo histórico","Revisar soporte"))))</x:f>
      </x:c>
      <x:c r="R218" s="9" t="n">
        <x:f>IF(B218="",0,IF(AND(D218="pagada",NOT(ISNUMBER(M218))),1,0))</x:f>
        <x:v>0</x:v>
      </x:c>
    </x:row>
    <x:row r="219" ht="22" customHeight="1">
      <x:c r="A219" s="11"/>
      <x:c r="B219" s="9"/>
      <x:c r="C219" s="9"/>
      <x:c r="D219" s="9"/>
      <x:c r="E219" s="9"/>
      <x:c r="F219" s="9"/>
      <x:c r="G219" s="9"/>
      <x:c r="H219" s="9"/>
      <x:c r="I219" s="13"/>
      <x:c r="J219" s="15"/>
      <x:c r="K219" s="15"/>
      <x:c r="L219" s="17" t="str">
        <x:f>IF(B219="","",IF(NOT(AND(ISNUMBER(J219),ISNUMBER(K219))),"",SUM(J219:K219)))</x:f>
      </x:c>
      <x:c r="M219" s="15"/>
      <x:c r="N219" s="17" t="str">
        <x:f>IF(OR(B219="",D219&lt;&gt;"pagada",NOT(ISNUMBER(J219)),NOT(ISNUMBER(M219))),"",J219-M219)</x:f>
      </x:c>
      <x:c r="O219" s="9"/>
      <x:c r="P219" s="9"/>
      <x:c r="Q219" s="1" t="str">
        <x:f>IF(B219="","",IF(COUNTIFS($B$7:$B$1006,B219,$C$7:$C$1006,C219)&gt;1,"ID duplicado",IF(OR(A219="",C219="",D219="",E219="",F219="",I219="",J219="",K219="",O219=""),"Completar datos",IF(NOT(ISNUMBER(M219)),"Falta costo histórico","Revisar soporte"))))</x:f>
      </x:c>
      <x:c r="R219" s="9" t="n">
        <x:f>IF(B219="",0,IF(AND(D219="pagada",NOT(ISNUMBER(M219))),1,0))</x:f>
        <x:v>0</x:v>
      </x:c>
    </x:row>
    <x:row r="220" ht="22" customHeight="1">
      <x:c r="A220" s="11"/>
      <x:c r="B220" s="9"/>
      <x:c r="C220" s="9"/>
      <x:c r="D220" s="9"/>
      <x:c r="E220" s="9"/>
      <x:c r="F220" s="9"/>
      <x:c r="G220" s="9"/>
      <x:c r="H220" s="9"/>
      <x:c r="I220" s="13"/>
      <x:c r="J220" s="15"/>
      <x:c r="K220" s="15"/>
      <x:c r="L220" s="17" t="str">
        <x:f>IF(B220="","",IF(NOT(AND(ISNUMBER(J220),ISNUMBER(K220))),"",SUM(J220:K220)))</x:f>
      </x:c>
      <x:c r="M220" s="15"/>
      <x:c r="N220" s="17" t="str">
        <x:f>IF(OR(B220="",D220&lt;&gt;"pagada",NOT(ISNUMBER(J220)),NOT(ISNUMBER(M220))),"",J220-M220)</x:f>
      </x:c>
      <x:c r="O220" s="9"/>
      <x:c r="P220" s="9"/>
      <x:c r="Q220" s="1" t="str">
        <x:f>IF(B220="","",IF(COUNTIFS($B$7:$B$1006,B220,$C$7:$C$1006,C220)&gt;1,"ID duplicado",IF(OR(A220="",C220="",D220="",E220="",F220="",I220="",J220="",K220="",O220=""),"Completar datos",IF(NOT(ISNUMBER(M220)),"Falta costo histórico","Revisar soporte"))))</x:f>
      </x:c>
      <x:c r="R220" s="9" t="n">
        <x:f>IF(B220="",0,IF(AND(D220="pagada",NOT(ISNUMBER(M220))),1,0))</x:f>
        <x:v>0</x:v>
      </x:c>
    </x:row>
    <x:row r="221" ht="22" customHeight="1">
      <x:c r="A221" s="11"/>
      <x:c r="B221" s="9"/>
      <x:c r="C221" s="9"/>
      <x:c r="D221" s="9"/>
      <x:c r="E221" s="9"/>
      <x:c r="F221" s="9"/>
      <x:c r="G221" s="9"/>
      <x:c r="H221" s="9"/>
      <x:c r="I221" s="13"/>
      <x:c r="J221" s="15"/>
      <x:c r="K221" s="15"/>
      <x:c r="L221" s="17" t="str">
        <x:f>IF(B221="","",IF(NOT(AND(ISNUMBER(J221),ISNUMBER(K221))),"",SUM(J221:K221)))</x:f>
      </x:c>
      <x:c r="M221" s="15"/>
      <x:c r="N221" s="17" t="str">
        <x:f>IF(OR(B221="",D221&lt;&gt;"pagada",NOT(ISNUMBER(J221)),NOT(ISNUMBER(M221))),"",J221-M221)</x:f>
      </x:c>
      <x:c r="O221" s="9"/>
      <x:c r="P221" s="9"/>
      <x:c r="Q221" s="1" t="str">
        <x:f>IF(B221="","",IF(COUNTIFS($B$7:$B$1006,B221,$C$7:$C$1006,C221)&gt;1,"ID duplicado",IF(OR(A221="",C221="",D221="",E221="",F221="",I221="",J221="",K221="",O221=""),"Completar datos",IF(NOT(ISNUMBER(M221)),"Falta costo histórico","Revisar soporte"))))</x:f>
      </x:c>
      <x:c r="R221" s="9" t="n">
        <x:f>IF(B221="",0,IF(AND(D221="pagada",NOT(ISNUMBER(M221))),1,0))</x:f>
        <x:v>0</x:v>
      </x:c>
    </x:row>
    <x:row r="222" ht="22" customHeight="1">
      <x:c r="A222" s="11"/>
      <x:c r="B222" s="9"/>
      <x:c r="C222" s="9"/>
      <x:c r="D222" s="9"/>
      <x:c r="E222" s="9"/>
      <x:c r="F222" s="9"/>
      <x:c r="G222" s="9"/>
      <x:c r="H222" s="9"/>
      <x:c r="I222" s="13"/>
      <x:c r="J222" s="15"/>
      <x:c r="K222" s="15"/>
      <x:c r="L222" s="17" t="str">
        <x:f>IF(B222="","",IF(NOT(AND(ISNUMBER(J222),ISNUMBER(K222))),"",SUM(J222:K222)))</x:f>
      </x:c>
      <x:c r="M222" s="15"/>
      <x:c r="N222" s="17" t="str">
        <x:f>IF(OR(B222="",D222&lt;&gt;"pagada",NOT(ISNUMBER(J222)),NOT(ISNUMBER(M222))),"",J222-M222)</x:f>
      </x:c>
      <x:c r="O222" s="9"/>
      <x:c r="P222" s="9"/>
      <x:c r="Q222" s="1" t="str">
        <x:f>IF(B222="","",IF(COUNTIFS($B$7:$B$1006,B222,$C$7:$C$1006,C222)&gt;1,"ID duplicado",IF(OR(A222="",C222="",D222="",E222="",F222="",I222="",J222="",K222="",O222=""),"Completar datos",IF(NOT(ISNUMBER(M222)),"Falta costo histórico","Revisar soporte"))))</x:f>
      </x:c>
      <x:c r="R222" s="9" t="n">
        <x:f>IF(B222="",0,IF(AND(D222="pagada",NOT(ISNUMBER(M222))),1,0))</x:f>
        <x:v>0</x:v>
      </x:c>
    </x:row>
    <x:row r="223" ht="22" customHeight="1">
      <x:c r="A223" s="11"/>
      <x:c r="B223" s="9"/>
      <x:c r="C223" s="9"/>
      <x:c r="D223" s="9"/>
      <x:c r="E223" s="9"/>
      <x:c r="F223" s="9"/>
      <x:c r="G223" s="9"/>
      <x:c r="H223" s="9"/>
      <x:c r="I223" s="13"/>
      <x:c r="J223" s="15"/>
      <x:c r="K223" s="15"/>
      <x:c r="L223" s="17" t="str">
        <x:f>IF(B223="","",IF(NOT(AND(ISNUMBER(J223),ISNUMBER(K223))),"",SUM(J223:K223)))</x:f>
      </x:c>
      <x:c r="M223" s="15"/>
      <x:c r="N223" s="17" t="str">
        <x:f>IF(OR(B223="",D223&lt;&gt;"pagada",NOT(ISNUMBER(J223)),NOT(ISNUMBER(M223))),"",J223-M223)</x:f>
      </x:c>
      <x:c r="O223" s="9"/>
      <x:c r="P223" s="9"/>
      <x:c r="Q223" s="1" t="str">
        <x:f>IF(B223="","",IF(COUNTIFS($B$7:$B$1006,B223,$C$7:$C$1006,C223)&gt;1,"ID duplicado",IF(OR(A223="",C223="",D223="",E223="",F223="",I223="",J223="",K223="",O223=""),"Completar datos",IF(NOT(ISNUMBER(M223)),"Falta costo histórico","Revisar soporte"))))</x:f>
      </x:c>
      <x:c r="R223" s="9" t="n">
        <x:f>IF(B223="",0,IF(AND(D223="pagada",NOT(ISNUMBER(M223))),1,0))</x:f>
        <x:v>0</x:v>
      </x:c>
    </x:row>
    <x:row r="224" ht="22" customHeight="1">
      <x:c r="A224" s="11"/>
      <x:c r="B224" s="9"/>
      <x:c r="C224" s="9"/>
      <x:c r="D224" s="9"/>
      <x:c r="E224" s="9"/>
      <x:c r="F224" s="9"/>
      <x:c r="G224" s="9"/>
      <x:c r="H224" s="9"/>
      <x:c r="I224" s="13"/>
      <x:c r="J224" s="15"/>
      <x:c r="K224" s="15"/>
      <x:c r="L224" s="17" t="str">
        <x:f>IF(B224="","",IF(NOT(AND(ISNUMBER(J224),ISNUMBER(K224))),"",SUM(J224:K224)))</x:f>
      </x:c>
      <x:c r="M224" s="15"/>
      <x:c r="N224" s="17" t="str">
        <x:f>IF(OR(B224="",D224&lt;&gt;"pagada",NOT(ISNUMBER(J224)),NOT(ISNUMBER(M224))),"",J224-M224)</x:f>
      </x:c>
      <x:c r="O224" s="9"/>
      <x:c r="P224" s="9"/>
      <x:c r="Q224" s="1" t="str">
        <x:f>IF(B224="","",IF(COUNTIFS($B$7:$B$1006,B224,$C$7:$C$1006,C224)&gt;1,"ID duplicado",IF(OR(A224="",C224="",D224="",E224="",F224="",I224="",J224="",K224="",O224=""),"Completar datos",IF(NOT(ISNUMBER(M224)),"Falta costo histórico","Revisar soporte"))))</x:f>
      </x:c>
      <x:c r="R224" s="9" t="n">
        <x:f>IF(B224="",0,IF(AND(D224="pagada",NOT(ISNUMBER(M224))),1,0))</x:f>
        <x:v>0</x:v>
      </x:c>
    </x:row>
    <x:row r="225" ht="22" customHeight="1">
      <x:c r="A225" s="11"/>
      <x:c r="B225" s="9"/>
      <x:c r="C225" s="9"/>
      <x:c r="D225" s="9"/>
      <x:c r="E225" s="9"/>
      <x:c r="F225" s="9"/>
      <x:c r="G225" s="9"/>
      <x:c r="H225" s="9"/>
      <x:c r="I225" s="13"/>
      <x:c r="J225" s="15"/>
      <x:c r="K225" s="15"/>
      <x:c r="L225" s="17" t="str">
        <x:f>IF(B225="","",IF(NOT(AND(ISNUMBER(J225),ISNUMBER(K225))),"",SUM(J225:K225)))</x:f>
      </x:c>
      <x:c r="M225" s="15"/>
      <x:c r="N225" s="17" t="str">
        <x:f>IF(OR(B225="",D225&lt;&gt;"pagada",NOT(ISNUMBER(J225)),NOT(ISNUMBER(M225))),"",J225-M225)</x:f>
      </x:c>
      <x:c r="O225" s="9"/>
      <x:c r="P225" s="9"/>
      <x:c r="Q225" s="1" t="str">
        <x:f>IF(B225="","",IF(COUNTIFS($B$7:$B$1006,B225,$C$7:$C$1006,C225)&gt;1,"ID duplicado",IF(OR(A225="",C225="",D225="",E225="",F225="",I225="",J225="",K225="",O225=""),"Completar datos",IF(NOT(ISNUMBER(M225)),"Falta costo histórico","Revisar soporte"))))</x:f>
      </x:c>
      <x:c r="R225" s="9" t="n">
        <x:f>IF(B225="",0,IF(AND(D225="pagada",NOT(ISNUMBER(M225))),1,0))</x:f>
        <x:v>0</x:v>
      </x:c>
    </x:row>
    <x:row r="226" ht="22" customHeight="1">
      <x:c r="A226" s="11"/>
      <x:c r="B226" s="9"/>
      <x:c r="C226" s="9"/>
      <x:c r="D226" s="9"/>
      <x:c r="E226" s="9"/>
      <x:c r="F226" s="9"/>
      <x:c r="G226" s="9"/>
      <x:c r="H226" s="9"/>
      <x:c r="I226" s="13"/>
      <x:c r="J226" s="15"/>
      <x:c r="K226" s="15"/>
      <x:c r="L226" s="17" t="str">
        <x:f>IF(B226="","",IF(NOT(AND(ISNUMBER(J226),ISNUMBER(K226))),"",SUM(J226:K226)))</x:f>
      </x:c>
      <x:c r="M226" s="15"/>
      <x:c r="N226" s="17" t="str">
        <x:f>IF(OR(B226="",D226&lt;&gt;"pagada",NOT(ISNUMBER(J226)),NOT(ISNUMBER(M226))),"",J226-M226)</x:f>
      </x:c>
      <x:c r="O226" s="9"/>
      <x:c r="P226" s="9"/>
      <x:c r="Q226" s="1" t="str">
        <x:f>IF(B226="","",IF(COUNTIFS($B$7:$B$1006,B226,$C$7:$C$1006,C226)&gt;1,"ID duplicado",IF(OR(A226="",C226="",D226="",E226="",F226="",I226="",J226="",K226="",O226=""),"Completar datos",IF(NOT(ISNUMBER(M226)),"Falta costo histórico","Revisar soporte"))))</x:f>
      </x:c>
      <x:c r="R226" s="9" t="n">
        <x:f>IF(B226="",0,IF(AND(D226="pagada",NOT(ISNUMBER(M226))),1,0))</x:f>
        <x:v>0</x:v>
      </x:c>
    </x:row>
    <x:row r="227" ht="22" customHeight="1">
      <x:c r="A227" s="11"/>
      <x:c r="B227" s="9"/>
      <x:c r="C227" s="9"/>
      <x:c r="D227" s="9"/>
      <x:c r="E227" s="9"/>
      <x:c r="F227" s="9"/>
      <x:c r="G227" s="9"/>
      <x:c r="H227" s="9"/>
      <x:c r="I227" s="13"/>
      <x:c r="J227" s="15"/>
      <x:c r="K227" s="15"/>
      <x:c r="L227" s="17" t="str">
        <x:f>IF(B227="","",IF(NOT(AND(ISNUMBER(J227),ISNUMBER(K227))),"",SUM(J227:K227)))</x:f>
      </x:c>
      <x:c r="M227" s="15"/>
      <x:c r="N227" s="17" t="str">
        <x:f>IF(OR(B227="",D227&lt;&gt;"pagada",NOT(ISNUMBER(J227)),NOT(ISNUMBER(M227))),"",J227-M227)</x:f>
      </x:c>
      <x:c r="O227" s="9"/>
      <x:c r="P227" s="9"/>
      <x:c r="Q227" s="1" t="str">
        <x:f>IF(B227="","",IF(COUNTIFS($B$7:$B$1006,B227,$C$7:$C$1006,C227)&gt;1,"ID duplicado",IF(OR(A227="",C227="",D227="",E227="",F227="",I227="",J227="",K227="",O227=""),"Completar datos",IF(NOT(ISNUMBER(M227)),"Falta costo histórico","Revisar soporte"))))</x:f>
      </x:c>
      <x:c r="R227" s="9" t="n">
        <x:f>IF(B227="",0,IF(AND(D227="pagada",NOT(ISNUMBER(M227))),1,0))</x:f>
        <x:v>0</x:v>
      </x:c>
    </x:row>
    <x:row r="228" ht="22" customHeight="1">
      <x:c r="A228" s="11"/>
      <x:c r="B228" s="9"/>
      <x:c r="C228" s="9"/>
      <x:c r="D228" s="9"/>
      <x:c r="E228" s="9"/>
      <x:c r="F228" s="9"/>
      <x:c r="G228" s="9"/>
      <x:c r="H228" s="9"/>
      <x:c r="I228" s="13"/>
      <x:c r="J228" s="15"/>
      <x:c r="K228" s="15"/>
      <x:c r="L228" s="17" t="str">
        <x:f>IF(B228="","",IF(NOT(AND(ISNUMBER(J228),ISNUMBER(K228))),"",SUM(J228:K228)))</x:f>
      </x:c>
      <x:c r="M228" s="15"/>
      <x:c r="N228" s="17" t="str">
        <x:f>IF(OR(B228="",D228&lt;&gt;"pagada",NOT(ISNUMBER(J228)),NOT(ISNUMBER(M228))),"",J228-M228)</x:f>
      </x:c>
      <x:c r="O228" s="9"/>
      <x:c r="P228" s="9"/>
      <x:c r="Q228" s="1" t="str">
        <x:f>IF(B228="","",IF(COUNTIFS($B$7:$B$1006,B228,$C$7:$C$1006,C228)&gt;1,"ID duplicado",IF(OR(A228="",C228="",D228="",E228="",F228="",I228="",J228="",K228="",O228=""),"Completar datos",IF(NOT(ISNUMBER(M228)),"Falta costo histórico","Revisar soporte"))))</x:f>
      </x:c>
      <x:c r="R228" s="9" t="n">
        <x:f>IF(B228="",0,IF(AND(D228="pagada",NOT(ISNUMBER(M228))),1,0))</x:f>
        <x:v>0</x:v>
      </x:c>
    </x:row>
    <x:row r="229" ht="22" customHeight="1">
      <x:c r="A229" s="11"/>
      <x:c r="B229" s="9"/>
      <x:c r="C229" s="9"/>
      <x:c r="D229" s="9"/>
      <x:c r="E229" s="9"/>
      <x:c r="F229" s="9"/>
      <x:c r="G229" s="9"/>
      <x:c r="H229" s="9"/>
      <x:c r="I229" s="13"/>
      <x:c r="J229" s="15"/>
      <x:c r="K229" s="15"/>
      <x:c r="L229" s="17" t="str">
        <x:f>IF(B229="","",IF(NOT(AND(ISNUMBER(J229),ISNUMBER(K229))),"",SUM(J229:K229)))</x:f>
      </x:c>
      <x:c r="M229" s="15"/>
      <x:c r="N229" s="17" t="str">
        <x:f>IF(OR(B229="",D229&lt;&gt;"pagada",NOT(ISNUMBER(J229)),NOT(ISNUMBER(M229))),"",J229-M229)</x:f>
      </x:c>
      <x:c r="O229" s="9"/>
      <x:c r="P229" s="9"/>
      <x:c r="Q229" s="1" t="str">
        <x:f>IF(B229="","",IF(COUNTIFS($B$7:$B$1006,B229,$C$7:$C$1006,C229)&gt;1,"ID duplicado",IF(OR(A229="",C229="",D229="",E229="",F229="",I229="",J229="",K229="",O229=""),"Completar datos",IF(NOT(ISNUMBER(M229)),"Falta costo histórico","Revisar soporte"))))</x:f>
      </x:c>
      <x:c r="R229" s="9" t="n">
        <x:f>IF(B229="",0,IF(AND(D229="pagada",NOT(ISNUMBER(M229))),1,0))</x:f>
        <x:v>0</x:v>
      </x:c>
    </x:row>
    <x:row r="230" ht="22" customHeight="1">
      <x:c r="A230" s="11"/>
      <x:c r="B230" s="9"/>
      <x:c r="C230" s="9"/>
      <x:c r="D230" s="9"/>
      <x:c r="E230" s="9"/>
      <x:c r="F230" s="9"/>
      <x:c r="G230" s="9"/>
      <x:c r="H230" s="9"/>
      <x:c r="I230" s="13"/>
      <x:c r="J230" s="15"/>
      <x:c r="K230" s="15"/>
      <x:c r="L230" s="17" t="str">
        <x:f>IF(B230="","",IF(NOT(AND(ISNUMBER(J230),ISNUMBER(K230))),"",SUM(J230:K230)))</x:f>
      </x:c>
      <x:c r="M230" s="15"/>
      <x:c r="N230" s="17" t="str">
        <x:f>IF(OR(B230="",D230&lt;&gt;"pagada",NOT(ISNUMBER(J230)),NOT(ISNUMBER(M230))),"",J230-M230)</x:f>
      </x:c>
      <x:c r="O230" s="9"/>
      <x:c r="P230" s="9"/>
      <x:c r="Q230" s="1" t="str">
        <x:f>IF(B230="","",IF(COUNTIFS($B$7:$B$1006,B230,$C$7:$C$1006,C230)&gt;1,"ID duplicado",IF(OR(A230="",C230="",D230="",E230="",F230="",I230="",J230="",K230="",O230=""),"Completar datos",IF(NOT(ISNUMBER(M230)),"Falta costo histórico","Revisar soporte"))))</x:f>
      </x:c>
      <x:c r="R230" s="9" t="n">
        <x:f>IF(B230="",0,IF(AND(D230="pagada",NOT(ISNUMBER(M230))),1,0))</x:f>
        <x:v>0</x:v>
      </x:c>
    </x:row>
    <x:row r="231" ht="22" customHeight="1">
      <x:c r="A231" s="11"/>
      <x:c r="B231" s="9"/>
      <x:c r="C231" s="9"/>
      <x:c r="D231" s="9"/>
      <x:c r="E231" s="9"/>
      <x:c r="F231" s="9"/>
      <x:c r="G231" s="9"/>
      <x:c r="H231" s="9"/>
      <x:c r="I231" s="13"/>
      <x:c r="J231" s="15"/>
      <x:c r="K231" s="15"/>
      <x:c r="L231" s="17" t="str">
        <x:f>IF(B231="","",IF(NOT(AND(ISNUMBER(J231),ISNUMBER(K231))),"",SUM(J231:K231)))</x:f>
      </x:c>
      <x:c r="M231" s="15"/>
      <x:c r="N231" s="17" t="str">
        <x:f>IF(OR(B231="",D231&lt;&gt;"pagada",NOT(ISNUMBER(J231)),NOT(ISNUMBER(M231))),"",J231-M231)</x:f>
      </x:c>
      <x:c r="O231" s="9"/>
      <x:c r="P231" s="9"/>
      <x:c r="Q231" s="1" t="str">
        <x:f>IF(B231="","",IF(COUNTIFS($B$7:$B$1006,B231,$C$7:$C$1006,C231)&gt;1,"ID duplicado",IF(OR(A231="",C231="",D231="",E231="",F231="",I231="",J231="",K231="",O231=""),"Completar datos",IF(NOT(ISNUMBER(M231)),"Falta costo histórico","Revisar soporte"))))</x:f>
      </x:c>
      <x:c r="R231" s="9" t="n">
        <x:f>IF(B231="",0,IF(AND(D231="pagada",NOT(ISNUMBER(M231))),1,0))</x:f>
        <x:v>0</x:v>
      </x:c>
    </x:row>
    <x:row r="232" ht="22" customHeight="1">
      <x:c r="A232" s="11"/>
      <x:c r="B232" s="9"/>
      <x:c r="C232" s="9"/>
      <x:c r="D232" s="9"/>
      <x:c r="E232" s="9"/>
      <x:c r="F232" s="9"/>
      <x:c r="G232" s="9"/>
      <x:c r="H232" s="9"/>
      <x:c r="I232" s="13"/>
      <x:c r="J232" s="15"/>
      <x:c r="K232" s="15"/>
      <x:c r="L232" s="17" t="str">
        <x:f>IF(B232="","",IF(NOT(AND(ISNUMBER(J232),ISNUMBER(K232))),"",SUM(J232:K232)))</x:f>
      </x:c>
      <x:c r="M232" s="15"/>
      <x:c r="N232" s="17" t="str">
        <x:f>IF(OR(B232="",D232&lt;&gt;"pagada",NOT(ISNUMBER(J232)),NOT(ISNUMBER(M232))),"",J232-M232)</x:f>
      </x:c>
      <x:c r="O232" s="9"/>
      <x:c r="P232" s="9"/>
      <x:c r="Q232" s="1" t="str">
        <x:f>IF(B232="","",IF(COUNTIFS($B$7:$B$1006,B232,$C$7:$C$1006,C232)&gt;1,"ID duplicado",IF(OR(A232="",C232="",D232="",E232="",F232="",I232="",J232="",K232="",O232=""),"Completar datos",IF(NOT(ISNUMBER(M232)),"Falta costo histórico","Revisar soporte"))))</x:f>
      </x:c>
      <x:c r="R232" s="9" t="n">
        <x:f>IF(B232="",0,IF(AND(D232="pagada",NOT(ISNUMBER(M232))),1,0))</x:f>
        <x:v>0</x:v>
      </x:c>
    </x:row>
    <x:row r="233" ht="22" customHeight="1">
      <x:c r="A233" s="11"/>
      <x:c r="B233" s="9"/>
      <x:c r="C233" s="9"/>
      <x:c r="D233" s="9"/>
      <x:c r="E233" s="9"/>
      <x:c r="F233" s="9"/>
      <x:c r="G233" s="9"/>
      <x:c r="H233" s="9"/>
      <x:c r="I233" s="13"/>
      <x:c r="J233" s="15"/>
      <x:c r="K233" s="15"/>
      <x:c r="L233" s="17" t="str">
        <x:f>IF(B233="","",IF(NOT(AND(ISNUMBER(J233),ISNUMBER(K233))),"",SUM(J233:K233)))</x:f>
      </x:c>
      <x:c r="M233" s="15"/>
      <x:c r="N233" s="17" t="str">
        <x:f>IF(OR(B233="",D233&lt;&gt;"pagada",NOT(ISNUMBER(J233)),NOT(ISNUMBER(M233))),"",J233-M233)</x:f>
      </x:c>
      <x:c r="O233" s="9"/>
      <x:c r="P233" s="9"/>
      <x:c r="Q233" s="1" t="str">
        <x:f>IF(B233="","",IF(COUNTIFS($B$7:$B$1006,B233,$C$7:$C$1006,C233)&gt;1,"ID duplicado",IF(OR(A233="",C233="",D233="",E233="",F233="",I233="",J233="",K233="",O233=""),"Completar datos",IF(NOT(ISNUMBER(M233)),"Falta costo histórico","Revisar soporte"))))</x:f>
      </x:c>
      <x:c r="R233" s="9" t="n">
        <x:f>IF(B233="",0,IF(AND(D233="pagada",NOT(ISNUMBER(M233))),1,0))</x:f>
        <x:v>0</x:v>
      </x:c>
    </x:row>
    <x:row r="234" ht="22" customHeight="1">
      <x:c r="A234" s="11"/>
      <x:c r="B234" s="9"/>
      <x:c r="C234" s="9"/>
      <x:c r="D234" s="9"/>
      <x:c r="E234" s="9"/>
      <x:c r="F234" s="9"/>
      <x:c r="G234" s="9"/>
      <x:c r="H234" s="9"/>
      <x:c r="I234" s="13"/>
      <x:c r="J234" s="15"/>
      <x:c r="K234" s="15"/>
      <x:c r="L234" s="17" t="str">
        <x:f>IF(B234="","",IF(NOT(AND(ISNUMBER(J234),ISNUMBER(K234))),"",SUM(J234:K234)))</x:f>
      </x:c>
      <x:c r="M234" s="15"/>
      <x:c r="N234" s="17" t="str">
        <x:f>IF(OR(B234="",D234&lt;&gt;"pagada",NOT(ISNUMBER(J234)),NOT(ISNUMBER(M234))),"",J234-M234)</x:f>
      </x:c>
      <x:c r="O234" s="9"/>
      <x:c r="P234" s="9"/>
      <x:c r="Q234" s="1" t="str">
        <x:f>IF(B234="","",IF(COUNTIFS($B$7:$B$1006,B234,$C$7:$C$1006,C234)&gt;1,"ID duplicado",IF(OR(A234="",C234="",D234="",E234="",F234="",I234="",J234="",K234="",O234=""),"Completar datos",IF(NOT(ISNUMBER(M234)),"Falta costo histórico","Revisar soporte"))))</x:f>
      </x:c>
      <x:c r="R234" s="9" t="n">
        <x:f>IF(B234="",0,IF(AND(D234="pagada",NOT(ISNUMBER(M234))),1,0))</x:f>
        <x:v>0</x:v>
      </x:c>
    </x:row>
    <x:row r="235" ht="22" customHeight="1">
      <x:c r="A235" s="11"/>
      <x:c r="B235" s="9"/>
      <x:c r="C235" s="9"/>
      <x:c r="D235" s="9"/>
      <x:c r="E235" s="9"/>
      <x:c r="F235" s="9"/>
      <x:c r="G235" s="9"/>
      <x:c r="H235" s="9"/>
      <x:c r="I235" s="13"/>
      <x:c r="J235" s="15"/>
      <x:c r="K235" s="15"/>
      <x:c r="L235" s="17" t="str">
        <x:f>IF(B235="","",IF(NOT(AND(ISNUMBER(J235),ISNUMBER(K235))),"",SUM(J235:K235)))</x:f>
      </x:c>
      <x:c r="M235" s="15"/>
      <x:c r="N235" s="17" t="str">
        <x:f>IF(OR(B235="",D235&lt;&gt;"pagada",NOT(ISNUMBER(J235)),NOT(ISNUMBER(M235))),"",J235-M235)</x:f>
      </x:c>
      <x:c r="O235" s="9"/>
      <x:c r="P235" s="9"/>
      <x:c r="Q235" s="1" t="str">
        <x:f>IF(B235="","",IF(COUNTIFS($B$7:$B$1006,B235,$C$7:$C$1006,C235)&gt;1,"ID duplicado",IF(OR(A235="",C235="",D235="",E235="",F235="",I235="",J235="",K235="",O235=""),"Completar datos",IF(NOT(ISNUMBER(M235)),"Falta costo histórico","Revisar soporte"))))</x:f>
      </x:c>
      <x:c r="R235" s="9" t="n">
        <x:f>IF(B235="",0,IF(AND(D235="pagada",NOT(ISNUMBER(M235))),1,0))</x:f>
        <x:v>0</x:v>
      </x:c>
    </x:row>
    <x:row r="236" ht="22" customHeight="1">
      <x:c r="A236" s="11"/>
      <x:c r="B236" s="9"/>
      <x:c r="C236" s="9"/>
      <x:c r="D236" s="9"/>
      <x:c r="E236" s="9"/>
      <x:c r="F236" s="9"/>
      <x:c r="G236" s="9"/>
      <x:c r="H236" s="9"/>
      <x:c r="I236" s="13"/>
      <x:c r="J236" s="15"/>
      <x:c r="K236" s="15"/>
      <x:c r="L236" s="17" t="str">
        <x:f>IF(B236="","",IF(NOT(AND(ISNUMBER(J236),ISNUMBER(K236))),"",SUM(J236:K236)))</x:f>
      </x:c>
      <x:c r="M236" s="15"/>
      <x:c r="N236" s="17" t="str">
        <x:f>IF(OR(B236="",D236&lt;&gt;"pagada",NOT(ISNUMBER(J236)),NOT(ISNUMBER(M236))),"",J236-M236)</x:f>
      </x:c>
      <x:c r="O236" s="9"/>
      <x:c r="P236" s="9"/>
      <x:c r="Q236" s="1" t="str">
        <x:f>IF(B236="","",IF(COUNTIFS($B$7:$B$1006,B236,$C$7:$C$1006,C236)&gt;1,"ID duplicado",IF(OR(A236="",C236="",D236="",E236="",F236="",I236="",J236="",K236="",O236=""),"Completar datos",IF(NOT(ISNUMBER(M236)),"Falta costo histórico","Revisar soporte"))))</x:f>
      </x:c>
      <x:c r="R236" s="9" t="n">
        <x:f>IF(B236="",0,IF(AND(D236="pagada",NOT(ISNUMBER(M236))),1,0))</x:f>
        <x:v>0</x:v>
      </x:c>
    </x:row>
    <x:row r="237" ht="22" customHeight="1">
      <x:c r="A237" s="11"/>
      <x:c r="B237" s="9"/>
      <x:c r="C237" s="9"/>
      <x:c r="D237" s="9"/>
      <x:c r="E237" s="9"/>
      <x:c r="F237" s="9"/>
      <x:c r="G237" s="9"/>
      <x:c r="H237" s="9"/>
      <x:c r="I237" s="13"/>
      <x:c r="J237" s="15"/>
      <x:c r="K237" s="15"/>
      <x:c r="L237" s="17" t="str">
        <x:f>IF(B237="","",IF(NOT(AND(ISNUMBER(J237),ISNUMBER(K237))),"",SUM(J237:K237)))</x:f>
      </x:c>
      <x:c r="M237" s="15"/>
      <x:c r="N237" s="17" t="str">
        <x:f>IF(OR(B237="",D237&lt;&gt;"pagada",NOT(ISNUMBER(J237)),NOT(ISNUMBER(M237))),"",J237-M237)</x:f>
      </x:c>
      <x:c r="O237" s="9"/>
      <x:c r="P237" s="9"/>
      <x:c r="Q237" s="1" t="str">
        <x:f>IF(B237="","",IF(COUNTIFS($B$7:$B$1006,B237,$C$7:$C$1006,C237)&gt;1,"ID duplicado",IF(OR(A237="",C237="",D237="",E237="",F237="",I237="",J237="",K237="",O237=""),"Completar datos",IF(NOT(ISNUMBER(M237)),"Falta costo histórico","Revisar soporte"))))</x:f>
      </x:c>
      <x:c r="R237" s="9" t="n">
        <x:f>IF(B237="",0,IF(AND(D237="pagada",NOT(ISNUMBER(M237))),1,0))</x:f>
        <x:v>0</x:v>
      </x:c>
    </x:row>
    <x:row r="238" ht="22" customHeight="1">
      <x:c r="A238" s="11"/>
      <x:c r="B238" s="9"/>
      <x:c r="C238" s="9"/>
      <x:c r="D238" s="9"/>
      <x:c r="E238" s="9"/>
      <x:c r="F238" s="9"/>
      <x:c r="G238" s="9"/>
      <x:c r="H238" s="9"/>
      <x:c r="I238" s="13"/>
      <x:c r="J238" s="15"/>
      <x:c r="K238" s="15"/>
      <x:c r="L238" s="17" t="str">
        <x:f>IF(B238="","",IF(NOT(AND(ISNUMBER(J238),ISNUMBER(K238))),"",SUM(J238:K238)))</x:f>
      </x:c>
      <x:c r="M238" s="15"/>
      <x:c r="N238" s="17" t="str">
        <x:f>IF(OR(B238="",D238&lt;&gt;"pagada",NOT(ISNUMBER(J238)),NOT(ISNUMBER(M238))),"",J238-M238)</x:f>
      </x:c>
      <x:c r="O238" s="9"/>
      <x:c r="P238" s="9"/>
      <x:c r="Q238" s="1" t="str">
        <x:f>IF(B238="","",IF(COUNTIFS($B$7:$B$1006,B238,$C$7:$C$1006,C238)&gt;1,"ID duplicado",IF(OR(A238="",C238="",D238="",E238="",F238="",I238="",J238="",K238="",O238=""),"Completar datos",IF(NOT(ISNUMBER(M238)),"Falta costo histórico","Revisar soporte"))))</x:f>
      </x:c>
      <x:c r="R238" s="9" t="n">
        <x:f>IF(B238="",0,IF(AND(D238="pagada",NOT(ISNUMBER(M238))),1,0))</x:f>
        <x:v>0</x:v>
      </x:c>
    </x:row>
    <x:row r="239" ht="22" customHeight="1">
      <x:c r="A239" s="11"/>
      <x:c r="B239" s="9"/>
      <x:c r="C239" s="9"/>
      <x:c r="D239" s="9"/>
      <x:c r="E239" s="9"/>
      <x:c r="F239" s="9"/>
      <x:c r="G239" s="9"/>
      <x:c r="H239" s="9"/>
      <x:c r="I239" s="13"/>
      <x:c r="J239" s="15"/>
      <x:c r="K239" s="15"/>
      <x:c r="L239" s="17" t="str">
        <x:f>IF(B239="","",IF(NOT(AND(ISNUMBER(J239),ISNUMBER(K239))),"",SUM(J239:K239)))</x:f>
      </x:c>
      <x:c r="M239" s="15"/>
      <x:c r="N239" s="17" t="str">
        <x:f>IF(OR(B239="",D239&lt;&gt;"pagada",NOT(ISNUMBER(J239)),NOT(ISNUMBER(M239))),"",J239-M239)</x:f>
      </x:c>
      <x:c r="O239" s="9"/>
      <x:c r="P239" s="9"/>
      <x:c r="Q239" s="1" t="str">
        <x:f>IF(B239="","",IF(COUNTIFS($B$7:$B$1006,B239,$C$7:$C$1006,C239)&gt;1,"ID duplicado",IF(OR(A239="",C239="",D239="",E239="",F239="",I239="",J239="",K239="",O239=""),"Completar datos",IF(NOT(ISNUMBER(M239)),"Falta costo histórico","Revisar soporte"))))</x:f>
      </x:c>
      <x:c r="R239" s="9" t="n">
        <x:f>IF(B239="",0,IF(AND(D239="pagada",NOT(ISNUMBER(M239))),1,0))</x:f>
        <x:v>0</x:v>
      </x:c>
    </x:row>
    <x:row r="240" ht="22" customHeight="1">
      <x:c r="A240" s="11"/>
      <x:c r="B240" s="9"/>
      <x:c r="C240" s="9"/>
      <x:c r="D240" s="9"/>
      <x:c r="E240" s="9"/>
      <x:c r="F240" s="9"/>
      <x:c r="G240" s="9"/>
      <x:c r="H240" s="9"/>
      <x:c r="I240" s="13"/>
      <x:c r="J240" s="15"/>
      <x:c r="K240" s="15"/>
      <x:c r="L240" s="17" t="str">
        <x:f>IF(B240="","",IF(NOT(AND(ISNUMBER(J240),ISNUMBER(K240))),"",SUM(J240:K240)))</x:f>
      </x:c>
      <x:c r="M240" s="15"/>
      <x:c r="N240" s="17" t="str">
        <x:f>IF(OR(B240="",D240&lt;&gt;"pagada",NOT(ISNUMBER(J240)),NOT(ISNUMBER(M240))),"",J240-M240)</x:f>
      </x:c>
      <x:c r="O240" s="9"/>
      <x:c r="P240" s="9"/>
      <x:c r="Q240" s="1" t="str">
        <x:f>IF(B240="","",IF(COUNTIFS($B$7:$B$1006,B240,$C$7:$C$1006,C240)&gt;1,"ID duplicado",IF(OR(A240="",C240="",D240="",E240="",F240="",I240="",J240="",K240="",O240=""),"Completar datos",IF(NOT(ISNUMBER(M240)),"Falta costo histórico","Revisar soporte"))))</x:f>
      </x:c>
      <x:c r="R240" s="9" t="n">
        <x:f>IF(B240="",0,IF(AND(D240="pagada",NOT(ISNUMBER(M240))),1,0))</x:f>
        <x:v>0</x:v>
      </x:c>
    </x:row>
    <x:row r="241" ht="22" customHeight="1">
      <x:c r="A241" s="11"/>
      <x:c r="B241" s="9"/>
      <x:c r="C241" s="9"/>
      <x:c r="D241" s="9"/>
      <x:c r="E241" s="9"/>
      <x:c r="F241" s="9"/>
      <x:c r="G241" s="9"/>
      <x:c r="H241" s="9"/>
      <x:c r="I241" s="13"/>
      <x:c r="J241" s="15"/>
      <x:c r="K241" s="15"/>
      <x:c r="L241" s="17" t="str">
        <x:f>IF(B241="","",IF(NOT(AND(ISNUMBER(J241),ISNUMBER(K241))),"",SUM(J241:K241)))</x:f>
      </x:c>
      <x:c r="M241" s="15"/>
      <x:c r="N241" s="17" t="str">
        <x:f>IF(OR(B241="",D241&lt;&gt;"pagada",NOT(ISNUMBER(J241)),NOT(ISNUMBER(M241))),"",J241-M241)</x:f>
      </x:c>
      <x:c r="O241" s="9"/>
      <x:c r="P241" s="9"/>
      <x:c r="Q241" s="1" t="str">
        <x:f>IF(B241="","",IF(COUNTIFS($B$7:$B$1006,B241,$C$7:$C$1006,C241)&gt;1,"ID duplicado",IF(OR(A241="",C241="",D241="",E241="",F241="",I241="",J241="",K241="",O241=""),"Completar datos",IF(NOT(ISNUMBER(M241)),"Falta costo histórico","Revisar soporte"))))</x:f>
      </x:c>
      <x:c r="R241" s="9" t="n">
        <x:f>IF(B241="",0,IF(AND(D241="pagada",NOT(ISNUMBER(M241))),1,0))</x:f>
        <x:v>0</x:v>
      </x:c>
    </x:row>
    <x:row r="242" ht="22" customHeight="1">
      <x:c r="A242" s="11"/>
      <x:c r="B242" s="9"/>
      <x:c r="C242" s="9"/>
      <x:c r="D242" s="9"/>
      <x:c r="E242" s="9"/>
      <x:c r="F242" s="9"/>
      <x:c r="G242" s="9"/>
      <x:c r="H242" s="9"/>
      <x:c r="I242" s="13"/>
      <x:c r="J242" s="15"/>
      <x:c r="K242" s="15"/>
      <x:c r="L242" s="17" t="str">
        <x:f>IF(B242="","",IF(NOT(AND(ISNUMBER(J242),ISNUMBER(K242))),"",SUM(J242:K242)))</x:f>
      </x:c>
      <x:c r="M242" s="15"/>
      <x:c r="N242" s="17" t="str">
        <x:f>IF(OR(B242="",D242&lt;&gt;"pagada",NOT(ISNUMBER(J242)),NOT(ISNUMBER(M242))),"",J242-M242)</x:f>
      </x:c>
      <x:c r="O242" s="9"/>
      <x:c r="P242" s="9"/>
      <x:c r="Q242" s="1" t="str">
        <x:f>IF(B242="","",IF(COUNTIFS($B$7:$B$1006,B242,$C$7:$C$1006,C242)&gt;1,"ID duplicado",IF(OR(A242="",C242="",D242="",E242="",F242="",I242="",J242="",K242="",O242=""),"Completar datos",IF(NOT(ISNUMBER(M242)),"Falta costo histórico","Revisar soporte"))))</x:f>
      </x:c>
      <x:c r="R242" s="9" t="n">
        <x:f>IF(B242="",0,IF(AND(D242="pagada",NOT(ISNUMBER(M242))),1,0))</x:f>
        <x:v>0</x:v>
      </x:c>
    </x:row>
    <x:row r="243" ht="22" customHeight="1">
      <x:c r="A243" s="11"/>
      <x:c r="B243" s="9"/>
      <x:c r="C243" s="9"/>
      <x:c r="D243" s="9"/>
      <x:c r="E243" s="9"/>
      <x:c r="F243" s="9"/>
      <x:c r="G243" s="9"/>
      <x:c r="H243" s="9"/>
      <x:c r="I243" s="13"/>
      <x:c r="J243" s="15"/>
      <x:c r="K243" s="15"/>
      <x:c r="L243" s="17" t="str">
        <x:f>IF(B243="","",IF(NOT(AND(ISNUMBER(J243),ISNUMBER(K243))),"",SUM(J243:K243)))</x:f>
      </x:c>
      <x:c r="M243" s="15"/>
      <x:c r="N243" s="17" t="str">
        <x:f>IF(OR(B243="",D243&lt;&gt;"pagada",NOT(ISNUMBER(J243)),NOT(ISNUMBER(M243))),"",J243-M243)</x:f>
      </x:c>
      <x:c r="O243" s="9"/>
      <x:c r="P243" s="9"/>
      <x:c r="Q243" s="1" t="str">
        <x:f>IF(B243="","",IF(COUNTIFS($B$7:$B$1006,B243,$C$7:$C$1006,C243)&gt;1,"ID duplicado",IF(OR(A243="",C243="",D243="",E243="",F243="",I243="",J243="",K243="",O243=""),"Completar datos",IF(NOT(ISNUMBER(M243)),"Falta costo histórico","Revisar soporte"))))</x:f>
      </x:c>
      <x:c r="R243" s="9" t="n">
        <x:f>IF(B243="",0,IF(AND(D243="pagada",NOT(ISNUMBER(M243))),1,0))</x:f>
        <x:v>0</x:v>
      </x:c>
    </x:row>
    <x:row r="244" ht="22" customHeight="1">
      <x:c r="A244" s="11"/>
      <x:c r="B244" s="9"/>
      <x:c r="C244" s="9"/>
      <x:c r="D244" s="9"/>
      <x:c r="E244" s="9"/>
      <x:c r="F244" s="9"/>
      <x:c r="G244" s="9"/>
      <x:c r="H244" s="9"/>
      <x:c r="I244" s="13"/>
      <x:c r="J244" s="15"/>
      <x:c r="K244" s="15"/>
      <x:c r="L244" s="17" t="str">
        <x:f>IF(B244="","",IF(NOT(AND(ISNUMBER(J244),ISNUMBER(K244))),"",SUM(J244:K244)))</x:f>
      </x:c>
      <x:c r="M244" s="15"/>
      <x:c r="N244" s="17" t="str">
        <x:f>IF(OR(B244="",D244&lt;&gt;"pagada",NOT(ISNUMBER(J244)),NOT(ISNUMBER(M244))),"",J244-M244)</x:f>
      </x:c>
      <x:c r="O244" s="9"/>
      <x:c r="P244" s="9"/>
      <x:c r="Q244" s="1" t="str">
        <x:f>IF(B244="","",IF(COUNTIFS($B$7:$B$1006,B244,$C$7:$C$1006,C244)&gt;1,"ID duplicado",IF(OR(A244="",C244="",D244="",E244="",F244="",I244="",J244="",K244="",O244=""),"Completar datos",IF(NOT(ISNUMBER(M244)),"Falta costo histórico","Revisar soporte"))))</x:f>
      </x:c>
      <x:c r="R244" s="9" t="n">
        <x:f>IF(B244="",0,IF(AND(D244="pagada",NOT(ISNUMBER(M244))),1,0))</x:f>
        <x:v>0</x:v>
      </x:c>
    </x:row>
    <x:row r="245" ht="22" customHeight="1">
      <x:c r="A245" s="11"/>
      <x:c r="B245" s="9"/>
      <x:c r="C245" s="9"/>
      <x:c r="D245" s="9"/>
      <x:c r="E245" s="9"/>
      <x:c r="F245" s="9"/>
      <x:c r="G245" s="9"/>
      <x:c r="H245" s="9"/>
      <x:c r="I245" s="13"/>
      <x:c r="J245" s="15"/>
      <x:c r="K245" s="15"/>
      <x:c r="L245" s="17" t="str">
        <x:f>IF(B245="","",IF(NOT(AND(ISNUMBER(J245),ISNUMBER(K245))),"",SUM(J245:K245)))</x:f>
      </x:c>
      <x:c r="M245" s="15"/>
      <x:c r="N245" s="17" t="str">
        <x:f>IF(OR(B245="",D245&lt;&gt;"pagada",NOT(ISNUMBER(J245)),NOT(ISNUMBER(M245))),"",J245-M245)</x:f>
      </x:c>
      <x:c r="O245" s="9"/>
      <x:c r="P245" s="9"/>
      <x:c r="Q245" s="1" t="str">
        <x:f>IF(B245="","",IF(COUNTIFS($B$7:$B$1006,B245,$C$7:$C$1006,C245)&gt;1,"ID duplicado",IF(OR(A245="",C245="",D245="",E245="",F245="",I245="",J245="",K245="",O245=""),"Completar datos",IF(NOT(ISNUMBER(M245)),"Falta costo histórico","Revisar soporte"))))</x:f>
      </x:c>
      <x:c r="R245" s="9" t="n">
        <x:f>IF(B245="",0,IF(AND(D245="pagada",NOT(ISNUMBER(M245))),1,0))</x:f>
        <x:v>0</x:v>
      </x:c>
    </x:row>
    <x:row r="246" ht="22" customHeight="1">
      <x:c r="A246" s="11"/>
      <x:c r="B246" s="9"/>
      <x:c r="C246" s="9"/>
      <x:c r="D246" s="9"/>
      <x:c r="E246" s="9"/>
      <x:c r="F246" s="9"/>
      <x:c r="G246" s="9"/>
      <x:c r="H246" s="9"/>
      <x:c r="I246" s="13"/>
      <x:c r="J246" s="15"/>
      <x:c r="K246" s="15"/>
      <x:c r="L246" s="17" t="str">
        <x:f>IF(B246="","",IF(NOT(AND(ISNUMBER(J246),ISNUMBER(K246))),"",SUM(J246:K246)))</x:f>
      </x:c>
      <x:c r="M246" s="15"/>
      <x:c r="N246" s="17" t="str">
        <x:f>IF(OR(B246="",D246&lt;&gt;"pagada",NOT(ISNUMBER(J246)),NOT(ISNUMBER(M246))),"",J246-M246)</x:f>
      </x:c>
      <x:c r="O246" s="9"/>
      <x:c r="P246" s="9"/>
      <x:c r="Q246" s="1" t="str">
        <x:f>IF(B246="","",IF(COUNTIFS($B$7:$B$1006,B246,$C$7:$C$1006,C246)&gt;1,"ID duplicado",IF(OR(A246="",C246="",D246="",E246="",F246="",I246="",J246="",K246="",O246=""),"Completar datos",IF(NOT(ISNUMBER(M246)),"Falta costo histórico","Revisar soporte"))))</x:f>
      </x:c>
      <x:c r="R246" s="9" t="n">
        <x:f>IF(B246="",0,IF(AND(D246="pagada",NOT(ISNUMBER(M246))),1,0))</x:f>
        <x:v>0</x:v>
      </x:c>
    </x:row>
    <x:row r="247" ht="22" customHeight="1">
      <x:c r="A247" s="11"/>
      <x:c r="B247" s="9"/>
      <x:c r="C247" s="9"/>
      <x:c r="D247" s="9"/>
      <x:c r="E247" s="9"/>
      <x:c r="F247" s="9"/>
      <x:c r="G247" s="9"/>
      <x:c r="H247" s="9"/>
      <x:c r="I247" s="13"/>
      <x:c r="J247" s="15"/>
      <x:c r="K247" s="15"/>
      <x:c r="L247" s="17" t="str">
        <x:f>IF(B247="","",IF(NOT(AND(ISNUMBER(J247),ISNUMBER(K247))),"",SUM(J247:K247)))</x:f>
      </x:c>
      <x:c r="M247" s="15"/>
      <x:c r="N247" s="17" t="str">
        <x:f>IF(OR(B247="",D247&lt;&gt;"pagada",NOT(ISNUMBER(J247)),NOT(ISNUMBER(M247))),"",J247-M247)</x:f>
      </x:c>
      <x:c r="O247" s="9"/>
      <x:c r="P247" s="9"/>
      <x:c r="Q247" s="1" t="str">
        <x:f>IF(B247="","",IF(COUNTIFS($B$7:$B$1006,B247,$C$7:$C$1006,C247)&gt;1,"ID duplicado",IF(OR(A247="",C247="",D247="",E247="",F247="",I247="",J247="",K247="",O247=""),"Completar datos",IF(NOT(ISNUMBER(M247)),"Falta costo histórico","Revisar soporte"))))</x:f>
      </x:c>
      <x:c r="R247" s="9" t="n">
        <x:f>IF(B247="",0,IF(AND(D247="pagada",NOT(ISNUMBER(M247))),1,0))</x:f>
        <x:v>0</x:v>
      </x:c>
    </x:row>
    <x:row r="248" ht="22" customHeight="1">
      <x:c r="A248" s="11"/>
      <x:c r="B248" s="9"/>
      <x:c r="C248" s="9"/>
      <x:c r="D248" s="9"/>
      <x:c r="E248" s="9"/>
      <x:c r="F248" s="9"/>
      <x:c r="G248" s="9"/>
      <x:c r="H248" s="9"/>
      <x:c r="I248" s="13"/>
      <x:c r="J248" s="15"/>
      <x:c r="K248" s="15"/>
      <x:c r="L248" s="17" t="str">
        <x:f>IF(B248="","",IF(NOT(AND(ISNUMBER(J248),ISNUMBER(K248))),"",SUM(J248:K248)))</x:f>
      </x:c>
      <x:c r="M248" s="15"/>
      <x:c r="N248" s="17" t="str">
        <x:f>IF(OR(B248="",D248&lt;&gt;"pagada",NOT(ISNUMBER(J248)),NOT(ISNUMBER(M248))),"",J248-M248)</x:f>
      </x:c>
      <x:c r="O248" s="9"/>
      <x:c r="P248" s="9"/>
      <x:c r="Q248" s="1" t="str">
        <x:f>IF(B248="","",IF(COUNTIFS($B$7:$B$1006,B248,$C$7:$C$1006,C248)&gt;1,"ID duplicado",IF(OR(A248="",C248="",D248="",E248="",F248="",I248="",J248="",K248="",O248=""),"Completar datos",IF(NOT(ISNUMBER(M248)),"Falta costo histórico","Revisar soporte"))))</x:f>
      </x:c>
      <x:c r="R248" s="9" t="n">
        <x:f>IF(B248="",0,IF(AND(D248="pagada",NOT(ISNUMBER(M248))),1,0))</x:f>
        <x:v>0</x:v>
      </x:c>
    </x:row>
    <x:row r="249" ht="22" customHeight="1">
      <x:c r="A249" s="11"/>
      <x:c r="B249" s="9"/>
      <x:c r="C249" s="9"/>
      <x:c r="D249" s="9"/>
      <x:c r="E249" s="9"/>
      <x:c r="F249" s="9"/>
      <x:c r="G249" s="9"/>
      <x:c r="H249" s="9"/>
      <x:c r="I249" s="13"/>
      <x:c r="J249" s="15"/>
      <x:c r="K249" s="15"/>
      <x:c r="L249" s="17" t="str">
        <x:f>IF(B249="","",IF(NOT(AND(ISNUMBER(J249),ISNUMBER(K249))),"",SUM(J249:K249)))</x:f>
      </x:c>
      <x:c r="M249" s="15"/>
      <x:c r="N249" s="17" t="str">
        <x:f>IF(OR(B249="",D249&lt;&gt;"pagada",NOT(ISNUMBER(J249)),NOT(ISNUMBER(M249))),"",J249-M249)</x:f>
      </x:c>
      <x:c r="O249" s="9"/>
      <x:c r="P249" s="9"/>
      <x:c r="Q249" s="1" t="str">
        <x:f>IF(B249="","",IF(COUNTIFS($B$7:$B$1006,B249,$C$7:$C$1006,C249)&gt;1,"ID duplicado",IF(OR(A249="",C249="",D249="",E249="",F249="",I249="",J249="",K249="",O249=""),"Completar datos",IF(NOT(ISNUMBER(M249)),"Falta costo histórico","Revisar soporte"))))</x:f>
      </x:c>
      <x:c r="R249" s="9" t="n">
        <x:f>IF(B249="",0,IF(AND(D249="pagada",NOT(ISNUMBER(M249))),1,0))</x:f>
        <x:v>0</x:v>
      </x:c>
    </x:row>
    <x:row r="250" ht="22" customHeight="1">
      <x:c r="A250" s="11"/>
      <x:c r="B250" s="9"/>
      <x:c r="C250" s="9"/>
      <x:c r="D250" s="9"/>
      <x:c r="E250" s="9"/>
      <x:c r="F250" s="9"/>
      <x:c r="G250" s="9"/>
      <x:c r="H250" s="9"/>
      <x:c r="I250" s="13"/>
      <x:c r="J250" s="15"/>
      <x:c r="K250" s="15"/>
      <x:c r="L250" s="17" t="str">
        <x:f>IF(B250="","",IF(NOT(AND(ISNUMBER(J250),ISNUMBER(K250))),"",SUM(J250:K250)))</x:f>
      </x:c>
      <x:c r="M250" s="15"/>
      <x:c r="N250" s="17" t="str">
        <x:f>IF(OR(B250="",D250&lt;&gt;"pagada",NOT(ISNUMBER(J250)),NOT(ISNUMBER(M250))),"",J250-M250)</x:f>
      </x:c>
      <x:c r="O250" s="9"/>
      <x:c r="P250" s="9"/>
      <x:c r="Q250" s="1" t="str">
        <x:f>IF(B250="","",IF(COUNTIFS($B$7:$B$1006,B250,$C$7:$C$1006,C250)&gt;1,"ID duplicado",IF(OR(A250="",C250="",D250="",E250="",F250="",I250="",J250="",K250="",O250=""),"Completar datos",IF(NOT(ISNUMBER(M250)),"Falta costo histórico","Revisar soporte"))))</x:f>
      </x:c>
      <x:c r="R250" s="9" t="n">
        <x:f>IF(B250="",0,IF(AND(D250="pagada",NOT(ISNUMBER(M250))),1,0))</x:f>
        <x:v>0</x:v>
      </x:c>
    </x:row>
    <x:row r="251" ht="22" customHeight="1">
      <x:c r="A251" s="11"/>
      <x:c r="B251" s="9"/>
      <x:c r="C251" s="9"/>
      <x:c r="D251" s="9"/>
      <x:c r="E251" s="9"/>
      <x:c r="F251" s="9"/>
      <x:c r="G251" s="9"/>
      <x:c r="H251" s="9"/>
      <x:c r="I251" s="13"/>
      <x:c r="J251" s="15"/>
      <x:c r="K251" s="15"/>
      <x:c r="L251" s="17" t="str">
        <x:f>IF(B251="","",IF(NOT(AND(ISNUMBER(J251),ISNUMBER(K251))),"",SUM(J251:K251)))</x:f>
      </x:c>
      <x:c r="M251" s="15"/>
      <x:c r="N251" s="17" t="str">
        <x:f>IF(OR(B251="",D251&lt;&gt;"pagada",NOT(ISNUMBER(J251)),NOT(ISNUMBER(M251))),"",J251-M251)</x:f>
      </x:c>
      <x:c r="O251" s="9"/>
      <x:c r="P251" s="9"/>
      <x:c r="Q251" s="1" t="str">
        <x:f>IF(B251="","",IF(COUNTIFS($B$7:$B$1006,B251,$C$7:$C$1006,C251)&gt;1,"ID duplicado",IF(OR(A251="",C251="",D251="",E251="",F251="",I251="",J251="",K251="",O251=""),"Completar datos",IF(NOT(ISNUMBER(M251)),"Falta costo histórico","Revisar soporte"))))</x:f>
      </x:c>
      <x:c r="R251" s="9" t="n">
        <x:f>IF(B251="",0,IF(AND(D251="pagada",NOT(ISNUMBER(M251))),1,0))</x:f>
        <x:v>0</x:v>
      </x:c>
    </x:row>
    <x:row r="252" ht="22" customHeight="1">
      <x:c r="A252" s="11"/>
      <x:c r="B252" s="9"/>
      <x:c r="C252" s="9"/>
      <x:c r="D252" s="9"/>
      <x:c r="E252" s="9"/>
      <x:c r="F252" s="9"/>
      <x:c r="G252" s="9"/>
      <x:c r="H252" s="9"/>
      <x:c r="I252" s="13"/>
      <x:c r="J252" s="15"/>
      <x:c r="K252" s="15"/>
      <x:c r="L252" s="17" t="str">
        <x:f>IF(B252="","",IF(NOT(AND(ISNUMBER(J252),ISNUMBER(K252))),"",SUM(J252:K252)))</x:f>
      </x:c>
      <x:c r="M252" s="15"/>
      <x:c r="N252" s="17" t="str">
        <x:f>IF(OR(B252="",D252&lt;&gt;"pagada",NOT(ISNUMBER(J252)),NOT(ISNUMBER(M252))),"",J252-M252)</x:f>
      </x:c>
      <x:c r="O252" s="9"/>
      <x:c r="P252" s="9"/>
      <x:c r="Q252" s="1" t="str">
        <x:f>IF(B252="","",IF(COUNTIFS($B$7:$B$1006,B252,$C$7:$C$1006,C252)&gt;1,"ID duplicado",IF(OR(A252="",C252="",D252="",E252="",F252="",I252="",J252="",K252="",O252=""),"Completar datos",IF(NOT(ISNUMBER(M252)),"Falta costo histórico","Revisar soporte"))))</x:f>
      </x:c>
      <x:c r="R252" s="9" t="n">
        <x:f>IF(B252="",0,IF(AND(D252="pagada",NOT(ISNUMBER(M252))),1,0))</x:f>
        <x:v>0</x:v>
      </x:c>
    </x:row>
    <x:row r="253" ht="22" customHeight="1">
      <x:c r="A253" s="11"/>
      <x:c r="B253" s="9"/>
      <x:c r="C253" s="9"/>
      <x:c r="D253" s="9"/>
      <x:c r="E253" s="9"/>
      <x:c r="F253" s="9"/>
      <x:c r="G253" s="9"/>
      <x:c r="H253" s="9"/>
      <x:c r="I253" s="13"/>
      <x:c r="J253" s="15"/>
      <x:c r="K253" s="15"/>
      <x:c r="L253" s="17" t="str">
        <x:f>IF(B253="","",IF(NOT(AND(ISNUMBER(J253),ISNUMBER(K253))),"",SUM(J253:K253)))</x:f>
      </x:c>
      <x:c r="M253" s="15"/>
      <x:c r="N253" s="17" t="str">
        <x:f>IF(OR(B253="",D253&lt;&gt;"pagada",NOT(ISNUMBER(J253)),NOT(ISNUMBER(M253))),"",J253-M253)</x:f>
      </x:c>
      <x:c r="O253" s="9"/>
      <x:c r="P253" s="9"/>
      <x:c r="Q253" s="1" t="str">
        <x:f>IF(B253="","",IF(COUNTIFS($B$7:$B$1006,B253,$C$7:$C$1006,C253)&gt;1,"ID duplicado",IF(OR(A253="",C253="",D253="",E253="",F253="",I253="",J253="",K253="",O253=""),"Completar datos",IF(NOT(ISNUMBER(M253)),"Falta costo histórico","Revisar soporte"))))</x:f>
      </x:c>
      <x:c r="R253" s="9" t="n">
        <x:f>IF(B253="",0,IF(AND(D253="pagada",NOT(ISNUMBER(M253))),1,0))</x:f>
        <x:v>0</x:v>
      </x:c>
    </x:row>
    <x:row r="254" ht="22" customHeight="1">
      <x:c r="A254" s="11"/>
      <x:c r="B254" s="9"/>
      <x:c r="C254" s="9"/>
      <x:c r="D254" s="9"/>
      <x:c r="E254" s="9"/>
      <x:c r="F254" s="9"/>
      <x:c r="G254" s="9"/>
      <x:c r="H254" s="9"/>
      <x:c r="I254" s="13"/>
      <x:c r="J254" s="15"/>
      <x:c r="K254" s="15"/>
      <x:c r="L254" s="17" t="str">
        <x:f>IF(B254="","",IF(NOT(AND(ISNUMBER(J254),ISNUMBER(K254))),"",SUM(J254:K254)))</x:f>
      </x:c>
      <x:c r="M254" s="15"/>
      <x:c r="N254" s="17" t="str">
        <x:f>IF(OR(B254="",D254&lt;&gt;"pagada",NOT(ISNUMBER(J254)),NOT(ISNUMBER(M254))),"",J254-M254)</x:f>
      </x:c>
      <x:c r="O254" s="9"/>
      <x:c r="P254" s="9"/>
      <x:c r="Q254" s="1" t="str">
        <x:f>IF(B254="","",IF(COUNTIFS($B$7:$B$1006,B254,$C$7:$C$1006,C254)&gt;1,"ID duplicado",IF(OR(A254="",C254="",D254="",E254="",F254="",I254="",J254="",K254="",O254=""),"Completar datos",IF(NOT(ISNUMBER(M254)),"Falta costo histórico","Revisar soporte"))))</x:f>
      </x:c>
      <x:c r="R254" s="9" t="n">
        <x:f>IF(B254="",0,IF(AND(D254="pagada",NOT(ISNUMBER(M254))),1,0))</x:f>
        <x:v>0</x:v>
      </x:c>
    </x:row>
    <x:row r="255" ht="22" customHeight="1">
      <x:c r="A255" s="11"/>
      <x:c r="B255" s="9"/>
      <x:c r="C255" s="9"/>
      <x:c r="D255" s="9"/>
      <x:c r="E255" s="9"/>
      <x:c r="F255" s="9"/>
      <x:c r="G255" s="9"/>
      <x:c r="H255" s="9"/>
      <x:c r="I255" s="13"/>
      <x:c r="J255" s="15"/>
      <x:c r="K255" s="15"/>
      <x:c r="L255" s="17" t="str">
        <x:f>IF(B255="","",IF(NOT(AND(ISNUMBER(J255),ISNUMBER(K255))),"",SUM(J255:K255)))</x:f>
      </x:c>
      <x:c r="M255" s="15"/>
      <x:c r="N255" s="17" t="str">
        <x:f>IF(OR(B255="",D255&lt;&gt;"pagada",NOT(ISNUMBER(J255)),NOT(ISNUMBER(M255))),"",J255-M255)</x:f>
      </x:c>
      <x:c r="O255" s="9"/>
      <x:c r="P255" s="9"/>
      <x:c r="Q255" s="1" t="str">
        <x:f>IF(B255="","",IF(COUNTIFS($B$7:$B$1006,B255,$C$7:$C$1006,C255)&gt;1,"ID duplicado",IF(OR(A255="",C255="",D255="",E255="",F255="",I255="",J255="",K255="",O255=""),"Completar datos",IF(NOT(ISNUMBER(M255)),"Falta costo histórico","Revisar soporte"))))</x:f>
      </x:c>
      <x:c r="R255" s="9" t="n">
        <x:f>IF(B255="",0,IF(AND(D255="pagada",NOT(ISNUMBER(M255))),1,0))</x:f>
        <x:v>0</x:v>
      </x:c>
    </x:row>
    <x:row r="256" ht="22" customHeight="1">
      <x:c r="A256" s="11"/>
      <x:c r="B256" s="9"/>
      <x:c r="C256" s="9"/>
      <x:c r="D256" s="9"/>
      <x:c r="E256" s="9"/>
      <x:c r="F256" s="9"/>
      <x:c r="G256" s="9"/>
      <x:c r="H256" s="9"/>
      <x:c r="I256" s="13"/>
      <x:c r="J256" s="15"/>
      <x:c r="K256" s="15"/>
      <x:c r="L256" s="17" t="str">
        <x:f>IF(B256="","",IF(NOT(AND(ISNUMBER(J256),ISNUMBER(K256))),"",SUM(J256:K256)))</x:f>
      </x:c>
      <x:c r="M256" s="15"/>
      <x:c r="N256" s="17" t="str">
        <x:f>IF(OR(B256="",D256&lt;&gt;"pagada",NOT(ISNUMBER(J256)),NOT(ISNUMBER(M256))),"",J256-M256)</x:f>
      </x:c>
      <x:c r="O256" s="9"/>
      <x:c r="P256" s="9"/>
      <x:c r="Q256" s="1" t="str">
        <x:f>IF(B256="","",IF(COUNTIFS($B$7:$B$1006,B256,$C$7:$C$1006,C256)&gt;1,"ID duplicado",IF(OR(A256="",C256="",D256="",E256="",F256="",I256="",J256="",K256="",O256=""),"Completar datos",IF(NOT(ISNUMBER(M256)),"Falta costo histórico","Revisar soporte"))))</x:f>
      </x:c>
      <x:c r="R256" s="9" t="n">
        <x:f>IF(B256="",0,IF(AND(D256="pagada",NOT(ISNUMBER(M256))),1,0))</x:f>
        <x:v>0</x:v>
      </x:c>
    </x:row>
    <x:row r="257" ht="22" customHeight="1">
      <x:c r="A257" s="11"/>
      <x:c r="B257" s="9"/>
      <x:c r="C257" s="9"/>
      <x:c r="D257" s="9"/>
      <x:c r="E257" s="9"/>
      <x:c r="F257" s="9"/>
      <x:c r="G257" s="9"/>
      <x:c r="H257" s="9"/>
      <x:c r="I257" s="13"/>
      <x:c r="J257" s="15"/>
      <x:c r="K257" s="15"/>
      <x:c r="L257" s="17" t="str">
        <x:f>IF(B257="","",IF(NOT(AND(ISNUMBER(J257),ISNUMBER(K257))),"",SUM(J257:K257)))</x:f>
      </x:c>
      <x:c r="M257" s="15"/>
      <x:c r="N257" s="17" t="str">
        <x:f>IF(OR(B257="",D257&lt;&gt;"pagada",NOT(ISNUMBER(J257)),NOT(ISNUMBER(M257))),"",J257-M257)</x:f>
      </x:c>
      <x:c r="O257" s="9"/>
      <x:c r="P257" s="9"/>
      <x:c r="Q257" s="1" t="str">
        <x:f>IF(B257="","",IF(COUNTIFS($B$7:$B$1006,B257,$C$7:$C$1006,C257)&gt;1,"ID duplicado",IF(OR(A257="",C257="",D257="",E257="",F257="",I257="",J257="",K257="",O257=""),"Completar datos",IF(NOT(ISNUMBER(M257)),"Falta costo histórico","Revisar soporte"))))</x:f>
      </x:c>
      <x:c r="R257" s="9" t="n">
        <x:f>IF(B257="",0,IF(AND(D257="pagada",NOT(ISNUMBER(M257))),1,0))</x:f>
        <x:v>0</x:v>
      </x:c>
    </x:row>
    <x:row r="258" ht="22" customHeight="1">
      <x:c r="A258" s="11"/>
      <x:c r="B258" s="9"/>
      <x:c r="C258" s="9"/>
      <x:c r="D258" s="9"/>
      <x:c r="E258" s="9"/>
      <x:c r="F258" s="9"/>
      <x:c r="G258" s="9"/>
      <x:c r="H258" s="9"/>
      <x:c r="I258" s="13"/>
      <x:c r="J258" s="15"/>
      <x:c r="K258" s="15"/>
      <x:c r="L258" s="17" t="str">
        <x:f>IF(B258="","",IF(NOT(AND(ISNUMBER(J258),ISNUMBER(K258))),"",SUM(J258:K258)))</x:f>
      </x:c>
      <x:c r="M258" s="15"/>
      <x:c r="N258" s="17" t="str">
        <x:f>IF(OR(B258="",D258&lt;&gt;"pagada",NOT(ISNUMBER(J258)),NOT(ISNUMBER(M258))),"",J258-M258)</x:f>
      </x:c>
      <x:c r="O258" s="9"/>
      <x:c r="P258" s="9"/>
      <x:c r="Q258" s="1" t="str">
        <x:f>IF(B258="","",IF(COUNTIFS($B$7:$B$1006,B258,$C$7:$C$1006,C258)&gt;1,"ID duplicado",IF(OR(A258="",C258="",D258="",E258="",F258="",I258="",J258="",K258="",O258=""),"Completar datos",IF(NOT(ISNUMBER(M258)),"Falta costo histórico","Revisar soporte"))))</x:f>
      </x:c>
      <x:c r="R258" s="9" t="n">
        <x:f>IF(B258="",0,IF(AND(D258="pagada",NOT(ISNUMBER(M258))),1,0))</x:f>
        <x:v>0</x:v>
      </x:c>
    </x:row>
    <x:row r="259" ht="22" customHeight="1">
      <x:c r="A259" s="11"/>
      <x:c r="B259" s="9"/>
      <x:c r="C259" s="9"/>
      <x:c r="D259" s="9"/>
      <x:c r="E259" s="9"/>
      <x:c r="F259" s="9"/>
      <x:c r="G259" s="9"/>
      <x:c r="H259" s="9"/>
      <x:c r="I259" s="13"/>
      <x:c r="J259" s="15"/>
      <x:c r="K259" s="15"/>
      <x:c r="L259" s="17" t="str">
        <x:f>IF(B259="","",IF(NOT(AND(ISNUMBER(J259),ISNUMBER(K259))),"",SUM(J259:K259)))</x:f>
      </x:c>
      <x:c r="M259" s="15"/>
      <x:c r="N259" s="17" t="str">
        <x:f>IF(OR(B259="",D259&lt;&gt;"pagada",NOT(ISNUMBER(J259)),NOT(ISNUMBER(M259))),"",J259-M259)</x:f>
      </x:c>
      <x:c r="O259" s="9"/>
      <x:c r="P259" s="9"/>
      <x:c r="Q259" s="1" t="str">
        <x:f>IF(B259="","",IF(COUNTIFS($B$7:$B$1006,B259,$C$7:$C$1006,C259)&gt;1,"ID duplicado",IF(OR(A259="",C259="",D259="",E259="",F259="",I259="",J259="",K259="",O259=""),"Completar datos",IF(NOT(ISNUMBER(M259)),"Falta costo histórico","Revisar soporte"))))</x:f>
      </x:c>
      <x:c r="R259" s="9" t="n">
        <x:f>IF(B259="",0,IF(AND(D259="pagada",NOT(ISNUMBER(M259))),1,0))</x:f>
        <x:v>0</x:v>
      </x:c>
    </x:row>
    <x:row r="260" ht="22" customHeight="1">
      <x:c r="A260" s="11"/>
      <x:c r="B260" s="9"/>
      <x:c r="C260" s="9"/>
      <x:c r="D260" s="9"/>
      <x:c r="E260" s="9"/>
      <x:c r="F260" s="9"/>
      <x:c r="G260" s="9"/>
      <x:c r="H260" s="9"/>
      <x:c r="I260" s="13"/>
      <x:c r="J260" s="15"/>
      <x:c r="K260" s="15"/>
      <x:c r="L260" s="17" t="str">
        <x:f>IF(B260="","",IF(NOT(AND(ISNUMBER(J260),ISNUMBER(K260))),"",SUM(J260:K260)))</x:f>
      </x:c>
      <x:c r="M260" s="15"/>
      <x:c r="N260" s="17" t="str">
        <x:f>IF(OR(B260="",D260&lt;&gt;"pagada",NOT(ISNUMBER(J260)),NOT(ISNUMBER(M260))),"",J260-M260)</x:f>
      </x:c>
      <x:c r="O260" s="9"/>
      <x:c r="P260" s="9"/>
      <x:c r="Q260" s="1" t="str">
        <x:f>IF(B260="","",IF(COUNTIFS($B$7:$B$1006,B260,$C$7:$C$1006,C260)&gt;1,"ID duplicado",IF(OR(A260="",C260="",D260="",E260="",F260="",I260="",J260="",K260="",O260=""),"Completar datos",IF(NOT(ISNUMBER(M260)),"Falta costo histórico","Revisar soporte"))))</x:f>
      </x:c>
      <x:c r="R260" s="9" t="n">
        <x:f>IF(B260="",0,IF(AND(D260="pagada",NOT(ISNUMBER(M260))),1,0))</x:f>
        <x:v>0</x:v>
      </x:c>
    </x:row>
    <x:row r="261" ht="22" customHeight="1">
      <x:c r="A261" s="11"/>
      <x:c r="B261" s="9"/>
      <x:c r="C261" s="9"/>
      <x:c r="D261" s="9"/>
      <x:c r="E261" s="9"/>
      <x:c r="F261" s="9"/>
      <x:c r="G261" s="9"/>
      <x:c r="H261" s="9"/>
      <x:c r="I261" s="13"/>
      <x:c r="J261" s="15"/>
      <x:c r="K261" s="15"/>
      <x:c r="L261" s="17" t="str">
        <x:f>IF(B261="","",IF(NOT(AND(ISNUMBER(J261),ISNUMBER(K261))),"",SUM(J261:K261)))</x:f>
      </x:c>
      <x:c r="M261" s="15"/>
      <x:c r="N261" s="17" t="str">
        <x:f>IF(OR(B261="",D261&lt;&gt;"pagada",NOT(ISNUMBER(J261)),NOT(ISNUMBER(M261))),"",J261-M261)</x:f>
      </x:c>
      <x:c r="O261" s="9"/>
      <x:c r="P261" s="9"/>
      <x:c r="Q261" s="1" t="str">
        <x:f>IF(B261="","",IF(COUNTIFS($B$7:$B$1006,B261,$C$7:$C$1006,C261)&gt;1,"ID duplicado",IF(OR(A261="",C261="",D261="",E261="",F261="",I261="",J261="",K261="",O261=""),"Completar datos",IF(NOT(ISNUMBER(M261)),"Falta costo histórico","Revisar soporte"))))</x:f>
      </x:c>
      <x:c r="R261" s="9" t="n">
        <x:f>IF(B261="",0,IF(AND(D261="pagada",NOT(ISNUMBER(M261))),1,0))</x:f>
        <x:v>0</x:v>
      </x:c>
    </x:row>
    <x:row r="262" ht="22" customHeight="1">
      <x:c r="A262" s="11"/>
      <x:c r="B262" s="9"/>
      <x:c r="C262" s="9"/>
      <x:c r="D262" s="9"/>
      <x:c r="E262" s="9"/>
      <x:c r="F262" s="9"/>
      <x:c r="G262" s="9"/>
      <x:c r="H262" s="9"/>
      <x:c r="I262" s="13"/>
      <x:c r="J262" s="15"/>
      <x:c r="K262" s="15"/>
      <x:c r="L262" s="17" t="str">
        <x:f>IF(B262="","",IF(NOT(AND(ISNUMBER(J262),ISNUMBER(K262))),"",SUM(J262:K262)))</x:f>
      </x:c>
      <x:c r="M262" s="15"/>
      <x:c r="N262" s="17" t="str">
        <x:f>IF(OR(B262="",D262&lt;&gt;"pagada",NOT(ISNUMBER(J262)),NOT(ISNUMBER(M262))),"",J262-M262)</x:f>
      </x:c>
      <x:c r="O262" s="9"/>
      <x:c r="P262" s="9"/>
      <x:c r="Q262" s="1" t="str">
        <x:f>IF(B262="","",IF(COUNTIFS($B$7:$B$1006,B262,$C$7:$C$1006,C262)&gt;1,"ID duplicado",IF(OR(A262="",C262="",D262="",E262="",F262="",I262="",J262="",K262="",O262=""),"Completar datos",IF(NOT(ISNUMBER(M262)),"Falta costo histórico","Revisar soporte"))))</x:f>
      </x:c>
      <x:c r="R262" s="9" t="n">
        <x:f>IF(B262="",0,IF(AND(D262="pagada",NOT(ISNUMBER(M262))),1,0))</x:f>
        <x:v>0</x:v>
      </x:c>
    </x:row>
    <x:row r="263" ht="22" customHeight="1">
      <x:c r="A263" s="11"/>
      <x:c r="B263" s="9"/>
      <x:c r="C263" s="9"/>
      <x:c r="D263" s="9"/>
      <x:c r="E263" s="9"/>
      <x:c r="F263" s="9"/>
      <x:c r="G263" s="9"/>
      <x:c r="H263" s="9"/>
      <x:c r="I263" s="13"/>
      <x:c r="J263" s="15"/>
      <x:c r="K263" s="15"/>
      <x:c r="L263" s="17" t="str">
        <x:f>IF(B263="","",IF(NOT(AND(ISNUMBER(J263),ISNUMBER(K263))),"",SUM(J263:K263)))</x:f>
      </x:c>
      <x:c r="M263" s="15"/>
      <x:c r="N263" s="17" t="str">
        <x:f>IF(OR(B263="",D263&lt;&gt;"pagada",NOT(ISNUMBER(J263)),NOT(ISNUMBER(M263))),"",J263-M263)</x:f>
      </x:c>
      <x:c r="O263" s="9"/>
      <x:c r="P263" s="9"/>
      <x:c r="Q263" s="1" t="str">
        <x:f>IF(B263="","",IF(COUNTIFS($B$7:$B$1006,B263,$C$7:$C$1006,C263)&gt;1,"ID duplicado",IF(OR(A263="",C263="",D263="",E263="",F263="",I263="",J263="",K263="",O263=""),"Completar datos",IF(NOT(ISNUMBER(M263)),"Falta costo histórico","Revisar soporte"))))</x:f>
      </x:c>
      <x:c r="R263" s="9" t="n">
        <x:f>IF(B263="",0,IF(AND(D263="pagada",NOT(ISNUMBER(M263))),1,0))</x:f>
        <x:v>0</x:v>
      </x:c>
    </x:row>
    <x:row r="264" ht="22" customHeight="1">
      <x:c r="A264" s="11"/>
      <x:c r="B264" s="9"/>
      <x:c r="C264" s="9"/>
      <x:c r="D264" s="9"/>
      <x:c r="E264" s="9"/>
      <x:c r="F264" s="9"/>
      <x:c r="G264" s="9"/>
      <x:c r="H264" s="9"/>
      <x:c r="I264" s="13"/>
      <x:c r="J264" s="15"/>
      <x:c r="K264" s="15"/>
      <x:c r="L264" s="17" t="str">
        <x:f>IF(B264="","",IF(NOT(AND(ISNUMBER(J264),ISNUMBER(K264))),"",SUM(J264:K264)))</x:f>
      </x:c>
      <x:c r="M264" s="15"/>
      <x:c r="N264" s="17" t="str">
        <x:f>IF(OR(B264="",D264&lt;&gt;"pagada",NOT(ISNUMBER(J264)),NOT(ISNUMBER(M264))),"",J264-M264)</x:f>
      </x:c>
      <x:c r="O264" s="9"/>
      <x:c r="P264" s="9"/>
      <x:c r="Q264" s="1" t="str">
        <x:f>IF(B264="","",IF(COUNTIFS($B$7:$B$1006,B264,$C$7:$C$1006,C264)&gt;1,"ID duplicado",IF(OR(A264="",C264="",D264="",E264="",F264="",I264="",J264="",K264="",O264=""),"Completar datos",IF(NOT(ISNUMBER(M264)),"Falta costo histórico","Revisar soporte"))))</x:f>
      </x:c>
      <x:c r="R264" s="9" t="n">
        <x:f>IF(B264="",0,IF(AND(D264="pagada",NOT(ISNUMBER(M264))),1,0))</x:f>
        <x:v>0</x:v>
      </x:c>
    </x:row>
    <x:row r="265" ht="22" customHeight="1">
      <x:c r="A265" s="11"/>
      <x:c r="B265" s="9"/>
      <x:c r="C265" s="9"/>
      <x:c r="D265" s="9"/>
      <x:c r="E265" s="9"/>
      <x:c r="F265" s="9"/>
      <x:c r="G265" s="9"/>
      <x:c r="H265" s="9"/>
      <x:c r="I265" s="13"/>
      <x:c r="J265" s="15"/>
      <x:c r="K265" s="15"/>
      <x:c r="L265" s="17" t="str">
        <x:f>IF(B265="","",IF(NOT(AND(ISNUMBER(J265),ISNUMBER(K265))),"",SUM(J265:K265)))</x:f>
      </x:c>
      <x:c r="M265" s="15"/>
      <x:c r="N265" s="17" t="str">
        <x:f>IF(OR(B265="",D265&lt;&gt;"pagada",NOT(ISNUMBER(J265)),NOT(ISNUMBER(M265))),"",J265-M265)</x:f>
      </x:c>
      <x:c r="O265" s="9"/>
      <x:c r="P265" s="9"/>
      <x:c r="Q265" s="1" t="str">
        <x:f>IF(B265="","",IF(COUNTIFS($B$7:$B$1006,B265,$C$7:$C$1006,C265)&gt;1,"ID duplicado",IF(OR(A265="",C265="",D265="",E265="",F265="",I265="",J265="",K265="",O265=""),"Completar datos",IF(NOT(ISNUMBER(M265)),"Falta costo histórico","Revisar soporte"))))</x:f>
      </x:c>
      <x:c r="R265" s="9" t="n">
        <x:f>IF(B265="",0,IF(AND(D265="pagada",NOT(ISNUMBER(M265))),1,0))</x:f>
        <x:v>0</x:v>
      </x:c>
    </x:row>
    <x:row r="266" ht="22" customHeight="1">
      <x:c r="A266" s="11"/>
      <x:c r="B266" s="9"/>
      <x:c r="C266" s="9"/>
      <x:c r="D266" s="9"/>
      <x:c r="E266" s="9"/>
      <x:c r="F266" s="9"/>
      <x:c r="G266" s="9"/>
      <x:c r="H266" s="9"/>
      <x:c r="I266" s="13"/>
      <x:c r="J266" s="15"/>
      <x:c r="K266" s="15"/>
      <x:c r="L266" s="17" t="str">
        <x:f>IF(B266="","",IF(NOT(AND(ISNUMBER(J266),ISNUMBER(K266))),"",SUM(J266:K266)))</x:f>
      </x:c>
      <x:c r="M266" s="15"/>
      <x:c r="N266" s="17" t="str">
        <x:f>IF(OR(B266="",D266&lt;&gt;"pagada",NOT(ISNUMBER(J266)),NOT(ISNUMBER(M266))),"",J266-M266)</x:f>
      </x:c>
      <x:c r="O266" s="9"/>
      <x:c r="P266" s="9"/>
      <x:c r="Q266" s="1" t="str">
        <x:f>IF(B266="","",IF(COUNTIFS($B$7:$B$1006,B266,$C$7:$C$1006,C266)&gt;1,"ID duplicado",IF(OR(A266="",C266="",D266="",E266="",F266="",I266="",J266="",K266="",O266=""),"Completar datos",IF(NOT(ISNUMBER(M266)),"Falta costo histórico","Revisar soporte"))))</x:f>
      </x:c>
      <x:c r="R266" s="9" t="n">
        <x:f>IF(B266="",0,IF(AND(D266="pagada",NOT(ISNUMBER(M266))),1,0))</x:f>
        <x:v>0</x:v>
      </x:c>
    </x:row>
    <x:row r="267" ht="22" customHeight="1">
      <x:c r="A267" s="11"/>
      <x:c r="B267" s="9"/>
      <x:c r="C267" s="9"/>
      <x:c r="D267" s="9"/>
      <x:c r="E267" s="9"/>
      <x:c r="F267" s="9"/>
      <x:c r="G267" s="9"/>
      <x:c r="H267" s="9"/>
      <x:c r="I267" s="13"/>
      <x:c r="J267" s="15"/>
      <x:c r="K267" s="15"/>
      <x:c r="L267" s="17" t="str">
        <x:f>IF(B267="","",IF(NOT(AND(ISNUMBER(J267),ISNUMBER(K267))),"",SUM(J267:K267)))</x:f>
      </x:c>
      <x:c r="M267" s="15"/>
      <x:c r="N267" s="17" t="str">
        <x:f>IF(OR(B267="",D267&lt;&gt;"pagada",NOT(ISNUMBER(J267)),NOT(ISNUMBER(M267))),"",J267-M267)</x:f>
      </x:c>
      <x:c r="O267" s="9"/>
      <x:c r="P267" s="9"/>
      <x:c r="Q267" s="1" t="str">
        <x:f>IF(B267="","",IF(COUNTIFS($B$7:$B$1006,B267,$C$7:$C$1006,C267)&gt;1,"ID duplicado",IF(OR(A267="",C267="",D267="",E267="",F267="",I267="",J267="",K267="",O267=""),"Completar datos",IF(NOT(ISNUMBER(M267)),"Falta costo histórico","Revisar soporte"))))</x:f>
      </x:c>
      <x:c r="R267" s="9" t="n">
        <x:f>IF(B267="",0,IF(AND(D267="pagada",NOT(ISNUMBER(M267))),1,0))</x:f>
        <x:v>0</x:v>
      </x:c>
    </x:row>
    <x:row r="268" ht="22" customHeight="1">
      <x:c r="A268" s="11"/>
      <x:c r="B268" s="9"/>
      <x:c r="C268" s="9"/>
      <x:c r="D268" s="9"/>
      <x:c r="E268" s="9"/>
      <x:c r="F268" s="9"/>
      <x:c r="G268" s="9"/>
      <x:c r="H268" s="9"/>
      <x:c r="I268" s="13"/>
      <x:c r="J268" s="15"/>
      <x:c r="K268" s="15"/>
      <x:c r="L268" s="17" t="str">
        <x:f>IF(B268="","",IF(NOT(AND(ISNUMBER(J268),ISNUMBER(K268))),"",SUM(J268:K268)))</x:f>
      </x:c>
      <x:c r="M268" s="15"/>
      <x:c r="N268" s="17" t="str">
        <x:f>IF(OR(B268="",D268&lt;&gt;"pagada",NOT(ISNUMBER(J268)),NOT(ISNUMBER(M268))),"",J268-M268)</x:f>
      </x:c>
      <x:c r="O268" s="9"/>
      <x:c r="P268" s="9"/>
      <x:c r="Q268" s="1" t="str">
        <x:f>IF(B268="","",IF(COUNTIFS($B$7:$B$1006,B268,$C$7:$C$1006,C268)&gt;1,"ID duplicado",IF(OR(A268="",C268="",D268="",E268="",F268="",I268="",J268="",K268="",O268=""),"Completar datos",IF(NOT(ISNUMBER(M268)),"Falta costo histórico","Revisar soporte"))))</x:f>
      </x:c>
      <x:c r="R268" s="9" t="n">
        <x:f>IF(B268="",0,IF(AND(D268="pagada",NOT(ISNUMBER(M268))),1,0))</x:f>
        <x:v>0</x:v>
      </x:c>
    </x:row>
    <x:row r="269" ht="22" customHeight="1">
      <x:c r="A269" s="11"/>
      <x:c r="B269" s="9"/>
      <x:c r="C269" s="9"/>
      <x:c r="D269" s="9"/>
      <x:c r="E269" s="9"/>
      <x:c r="F269" s="9"/>
      <x:c r="G269" s="9"/>
      <x:c r="H269" s="9"/>
      <x:c r="I269" s="13"/>
      <x:c r="J269" s="15"/>
      <x:c r="K269" s="15"/>
      <x:c r="L269" s="17" t="str">
        <x:f>IF(B269="","",IF(NOT(AND(ISNUMBER(J269),ISNUMBER(K269))),"",SUM(J269:K269)))</x:f>
      </x:c>
      <x:c r="M269" s="15"/>
      <x:c r="N269" s="17" t="str">
        <x:f>IF(OR(B269="",D269&lt;&gt;"pagada",NOT(ISNUMBER(J269)),NOT(ISNUMBER(M269))),"",J269-M269)</x:f>
      </x:c>
      <x:c r="O269" s="9"/>
      <x:c r="P269" s="9"/>
      <x:c r="Q269" s="1" t="str">
        <x:f>IF(B269="","",IF(COUNTIFS($B$7:$B$1006,B269,$C$7:$C$1006,C269)&gt;1,"ID duplicado",IF(OR(A269="",C269="",D269="",E269="",F269="",I269="",J269="",K269="",O269=""),"Completar datos",IF(NOT(ISNUMBER(M269)),"Falta costo histórico","Revisar soporte"))))</x:f>
      </x:c>
      <x:c r="R269" s="9" t="n">
        <x:f>IF(B269="",0,IF(AND(D269="pagada",NOT(ISNUMBER(M269))),1,0))</x:f>
        <x:v>0</x:v>
      </x:c>
    </x:row>
    <x:row r="270" ht="22" customHeight="1">
      <x:c r="A270" s="11"/>
      <x:c r="B270" s="9"/>
      <x:c r="C270" s="9"/>
      <x:c r="D270" s="9"/>
      <x:c r="E270" s="9"/>
      <x:c r="F270" s="9"/>
      <x:c r="G270" s="9"/>
      <x:c r="H270" s="9"/>
      <x:c r="I270" s="13"/>
      <x:c r="J270" s="15"/>
      <x:c r="K270" s="15"/>
      <x:c r="L270" s="17" t="str">
        <x:f>IF(B270="","",IF(NOT(AND(ISNUMBER(J270),ISNUMBER(K270))),"",SUM(J270:K270)))</x:f>
      </x:c>
      <x:c r="M270" s="15"/>
      <x:c r="N270" s="17" t="str">
        <x:f>IF(OR(B270="",D270&lt;&gt;"pagada",NOT(ISNUMBER(J270)),NOT(ISNUMBER(M270))),"",J270-M270)</x:f>
      </x:c>
      <x:c r="O270" s="9"/>
      <x:c r="P270" s="9"/>
      <x:c r="Q270" s="1" t="str">
        <x:f>IF(B270="","",IF(COUNTIFS($B$7:$B$1006,B270,$C$7:$C$1006,C270)&gt;1,"ID duplicado",IF(OR(A270="",C270="",D270="",E270="",F270="",I270="",J270="",K270="",O270=""),"Completar datos",IF(NOT(ISNUMBER(M270)),"Falta costo histórico","Revisar soporte"))))</x:f>
      </x:c>
      <x:c r="R270" s="9" t="n">
        <x:f>IF(B270="",0,IF(AND(D270="pagada",NOT(ISNUMBER(M270))),1,0))</x:f>
        <x:v>0</x:v>
      </x:c>
    </x:row>
    <x:row r="271" ht="22" customHeight="1">
      <x:c r="A271" s="11"/>
      <x:c r="B271" s="9"/>
      <x:c r="C271" s="9"/>
      <x:c r="D271" s="9"/>
      <x:c r="E271" s="9"/>
      <x:c r="F271" s="9"/>
      <x:c r="G271" s="9"/>
      <x:c r="H271" s="9"/>
      <x:c r="I271" s="13"/>
      <x:c r="J271" s="15"/>
      <x:c r="K271" s="15"/>
      <x:c r="L271" s="17" t="str">
        <x:f>IF(B271="","",IF(NOT(AND(ISNUMBER(J271),ISNUMBER(K271))),"",SUM(J271:K271)))</x:f>
      </x:c>
      <x:c r="M271" s="15"/>
      <x:c r="N271" s="17" t="str">
        <x:f>IF(OR(B271="",D271&lt;&gt;"pagada",NOT(ISNUMBER(J271)),NOT(ISNUMBER(M271))),"",J271-M271)</x:f>
      </x:c>
      <x:c r="O271" s="9"/>
      <x:c r="P271" s="9"/>
      <x:c r="Q271" s="1" t="str">
        <x:f>IF(B271="","",IF(COUNTIFS($B$7:$B$1006,B271,$C$7:$C$1006,C271)&gt;1,"ID duplicado",IF(OR(A271="",C271="",D271="",E271="",F271="",I271="",J271="",K271="",O271=""),"Completar datos",IF(NOT(ISNUMBER(M271)),"Falta costo histórico","Revisar soporte"))))</x:f>
      </x:c>
      <x:c r="R271" s="9" t="n">
        <x:f>IF(B271="",0,IF(AND(D271="pagada",NOT(ISNUMBER(M271))),1,0))</x:f>
        <x:v>0</x:v>
      </x:c>
    </x:row>
    <x:row r="272" ht="22" customHeight="1">
      <x:c r="A272" s="11"/>
      <x:c r="B272" s="9"/>
      <x:c r="C272" s="9"/>
      <x:c r="D272" s="9"/>
      <x:c r="E272" s="9"/>
      <x:c r="F272" s="9"/>
      <x:c r="G272" s="9"/>
      <x:c r="H272" s="9"/>
      <x:c r="I272" s="13"/>
      <x:c r="J272" s="15"/>
      <x:c r="K272" s="15"/>
      <x:c r="L272" s="17" t="str">
        <x:f>IF(B272="","",IF(NOT(AND(ISNUMBER(J272),ISNUMBER(K272))),"",SUM(J272:K272)))</x:f>
      </x:c>
      <x:c r="M272" s="15"/>
      <x:c r="N272" s="17" t="str">
        <x:f>IF(OR(B272="",D272&lt;&gt;"pagada",NOT(ISNUMBER(J272)),NOT(ISNUMBER(M272))),"",J272-M272)</x:f>
      </x:c>
      <x:c r="O272" s="9"/>
      <x:c r="P272" s="9"/>
      <x:c r="Q272" s="1" t="str">
        <x:f>IF(B272="","",IF(COUNTIFS($B$7:$B$1006,B272,$C$7:$C$1006,C272)&gt;1,"ID duplicado",IF(OR(A272="",C272="",D272="",E272="",F272="",I272="",J272="",K272="",O272=""),"Completar datos",IF(NOT(ISNUMBER(M272)),"Falta costo histórico","Revisar soporte"))))</x:f>
      </x:c>
      <x:c r="R272" s="9" t="n">
        <x:f>IF(B272="",0,IF(AND(D272="pagada",NOT(ISNUMBER(M272))),1,0))</x:f>
        <x:v>0</x:v>
      </x:c>
    </x:row>
    <x:row r="273" ht="22" customHeight="1">
      <x:c r="A273" s="11"/>
      <x:c r="B273" s="9"/>
      <x:c r="C273" s="9"/>
      <x:c r="D273" s="9"/>
      <x:c r="E273" s="9"/>
      <x:c r="F273" s="9"/>
      <x:c r="G273" s="9"/>
      <x:c r="H273" s="9"/>
      <x:c r="I273" s="13"/>
      <x:c r="J273" s="15"/>
      <x:c r="K273" s="15"/>
      <x:c r="L273" s="17" t="str">
        <x:f>IF(B273="","",IF(NOT(AND(ISNUMBER(J273),ISNUMBER(K273))),"",SUM(J273:K273)))</x:f>
      </x:c>
      <x:c r="M273" s="15"/>
      <x:c r="N273" s="17" t="str">
        <x:f>IF(OR(B273="",D273&lt;&gt;"pagada",NOT(ISNUMBER(J273)),NOT(ISNUMBER(M273))),"",J273-M273)</x:f>
      </x:c>
      <x:c r="O273" s="9"/>
      <x:c r="P273" s="9"/>
      <x:c r="Q273" s="1" t="str">
        <x:f>IF(B273="","",IF(COUNTIFS($B$7:$B$1006,B273,$C$7:$C$1006,C273)&gt;1,"ID duplicado",IF(OR(A273="",C273="",D273="",E273="",F273="",I273="",J273="",K273="",O273=""),"Completar datos",IF(NOT(ISNUMBER(M273)),"Falta costo histórico","Revisar soporte"))))</x:f>
      </x:c>
      <x:c r="R273" s="9" t="n">
        <x:f>IF(B273="",0,IF(AND(D273="pagada",NOT(ISNUMBER(M273))),1,0))</x:f>
        <x:v>0</x:v>
      </x:c>
    </x:row>
    <x:row r="274" ht="22" customHeight="1">
      <x:c r="A274" s="11"/>
      <x:c r="B274" s="9"/>
      <x:c r="C274" s="9"/>
      <x:c r="D274" s="9"/>
      <x:c r="E274" s="9"/>
      <x:c r="F274" s="9"/>
      <x:c r="G274" s="9"/>
      <x:c r="H274" s="9"/>
      <x:c r="I274" s="13"/>
      <x:c r="J274" s="15"/>
      <x:c r="K274" s="15"/>
      <x:c r="L274" s="17" t="str">
        <x:f>IF(B274="","",IF(NOT(AND(ISNUMBER(J274),ISNUMBER(K274))),"",SUM(J274:K274)))</x:f>
      </x:c>
      <x:c r="M274" s="15"/>
      <x:c r="N274" s="17" t="str">
        <x:f>IF(OR(B274="",D274&lt;&gt;"pagada",NOT(ISNUMBER(J274)),NOT(ISNUMBER(M274))),"",J274-M274)</x:f>
      </x:c>
      <x:c r="O274" s="9"/>
      <x:c r="P274" s="9"/>
      <x:c r="Q274" s="1" t="str">
        <x:f>IF(B274="","",IF(COUNTIFS($B$7:$B$1006,B274,$C$7:$C$1006,C274)&gt;1,"ID duplicado",IF(OR(A274="",C274="",D274="",E274="",F274="",I274="",J274="",K274="",O274=""),"Completar datos",IF(NOT(ISNUMBER(M274)),"Falta costo histórico","Revisar soporte"))))</x:f>
      </x:c>
      <x:c r="R274" s="9" t="n">
        <x:f>IF(B274="",0,IF(AND(D274="pagada",NOT(ISNUMBER(M274))),1,0))</x:f>
        <x:v>0</x:v>
      </x:c>
    </x:row>
    <x:row r="275" ht="22" customHeight="1">
      <x:c r="A275" s="11"/>
      <x:c r="B275" s="9"/>
      <x:c r="C275" s="9"/>
      <x:c r="D275" s="9"/>
      <x:c r="E275" s="9"/>
      <x:c r="F275" s="9"/>
      <x:c r="G275" s="9"/>
      <x:c r="H275" s="9"/>
      <x:c r="I275" s="13"/>
      <x:c r="J275" s="15"/>
      <x:c r="K275" s="15"/>
      <x:c r="L275" s="17" t="str">
        <x:f>IF(B275="","",IF(NOT(AND(ISNUMBER(J275),ISNUMBER(K275))),"",SUM(J275:K275)))</x:f>
      </x:c>
      <x:c r="M275" s="15"/>
      <x:c r="N275" s="17" t="str">
        <x:f>IF(OR(B275="",D275&lt;&gt;"pagada",NOT(ISNUMBER(J275)),NOT(ISNUMBER(M275))),"",J275-M275)</x:f>
      </x:c>
      <x:c r="O275" s="9"/>
      <x:c r="P275" s="9"/>
      <x:c r="Q275" s="1" t="str">
        <x:f>IF(B275="","",IF(COUNTIFS($B$7:$B$1006,B275,$C$7:$C$1006,C275)&gt;1,"ID duplicado",IF(OR(A275="",C275="",D275="",E275="",F275="",I275="",J275="",K275="",O275=""),"Completar datos",IF(NOT(ISNUMBER(M275)),"Falta costo histórico","Revisar soporte"))))</x:f>
      </x:c>
      <x:c r="R275" s="9" t="n">
        <x:f>IF(B275="",0,IF(AND(D275="pagada",NOT(ISNUMBER(M275))),1,0))</x:f>
        <x:v>0</x:v>
      </x:c>
    </x:row>
    <x:row r="276" ht="22" customHeight="1">
      <x:c r="A276" s="11"/>
      <x:c r="B276" s="9"/>
      <x:c r="C276" s="9"/>
      <x:c r="D276" s="9"/>
      <x:c r="E276" s="9"/>
      <x:c r="F276" s="9"/>
      <x:c r="G276" s="9"/>
      <x:c r="H276" s="9"/>
      <x:c r="I276" s="13"/>
      <x:c r="J276" s="15"/>
      <x:c r="K276" s="15"/>
      <x:c r="L276" s="17" t="str">
        <x:f>IF(B276="","",IF(NOT(AND(ISNUMBER(J276),ISNUMBER(K276))),"",SUM(J276:K276)))</x:f>
      </x:c>
      <x:c r="M276" s="15"/>
      <x:c r="N276" s="17" t="str">
        <x:f>IF(OR(B276="",D276&lt;&gt;"pagada",NOT(ISNUMBER(J276)),NOT(ISNUMBER(M276))),"",J276-M276)</x:f>
      </x:c>
      <x:c r="O276" s="9"/>
      <x:c r="P276" s="9"/>
      <x:c r="Q276" s="1" t="str">
        <x:f>IF(B276="","",IF(COUNTIFS($B$7:$B$1006,B276,$C$7:$C$1006,C276)&gt;1,"ID duplicado",IF(OR(A276="",C276="",D276="",E276="",F276="",I276="",J276="",K276="",O276=""),"Completar datos",IF(NOT(ISNUMBER(M276)),"Falta costo histórico","Revisar soporte"))))</x:f>
      </x:c>
      <x:c r="R276" s="9" t="n">
        <x:f>IF(B276="",0,IF(AND(D276="pagada",NOT(ISNUMBER(M276))),1,0))</x:f>
        <x:v>0</x:v>
      </x:c>
    </x:row>
    <x:row r="277" ht="22" customHeight="1">
      <x:c r="A277" s="11"/>
      <x:c r="B277" s="9"/>
      <x:c r="C277" s="9"/>
      <x:c r="D277" s="9"/>
      <x:c r="E277" s="9"/>
      <x:c r="F277" s="9"/>
      <x:c r="G277" s="9"/>
      <x:c r="H277" s="9"/>
      <x:c r="I277" s="13"/>
      <x:c r="J277" s="15"/>
      <x:c r="K277" s="15"/>
      <x:c r="L277" s="17" t="str">
        <x:f>IF(B277="","",IF(NOT(AND(ISNUMBER(J277),ISNUMBER(K277))),"",SUM(J277:K277)))</x:f>
      </x:c>
      <x:c r="M277" s="15"/>
      <x:c r="N277" s="17" t="str">
        <x:f>IF(OR(B277="",D277&lt;&gt;"pagada",NOT(ISNUMBER(J277)),NOT(ISNUMBER(M277))),"",J277-M277)</x:f>
      </x:c>
      <x:c r="O277" s="9"/>
      <x:c r="P277" s="9"/>
      <x:c r="Q277" s="1" t="str">
        <x:f>IF(B277="","",IF(COUNTIFS($B$7:$B$1006,B277,$C$7:$C$1006,C277)&gt;1,"ID duplicado",IF(OR(A277="",C277="",D277="",E277="",F277="",I277="",J277="",K277="",O277=""),"Completar datos",IF(NOT(ISNUMBER(M277)),"Falta costo histórico","Revisar soporte"))))</x:f>
      </x:c>
      <x:c r="R277" s="9" t="n">
        <x:f>IF(B277="",0,IF(AND(D277="pagada",NOT(ISNUMBER(M277))),1,0))</x:f>
        <x:v>0</x:v>
      </x:c>
    </x:row>
    <x:row r="278" ht="22" customHeight="1">
      <x:c r="A278" s="11"/>
      <x:c r="B278" s="9"/>
      <x:c r="C278" s="9"/>
      <x:c r="D278" s="9"/>
      <x:c r="E278" s="9"/>
      <x:c r="F278" s="9"/>
      <x:c r="G278" s="9"/>
      <x:c r="H278" s="9"/>
      <x:c r="I278" s="13"/>
      <x:c r="J278" s="15"/>
      <x:c r="K278" s="15"/>
      <x:c r="L278" s="17" t="str">
        <x:f>IF(B278="","",IF(NOT(AND(ISNUMBER(J278),ISNUMBER(K278))),"",SUM(J278:K278)))</x:f>
      </x:c>
      <x:c r="M278" s="15"/>
      <x:c r="N278" s="17" t="str">
        <x:f>IF(OR(B278="",D278&lt;&gt;"pagada",NOT(ISNUMBER(J278)),NOT(ISNUMBER(M278))),"",J278-M278)</x:f>
      </x:c>
      <x:c r="O278" s="9"/>
      <x:c r="P278" s="9"/>
      <x:c r="Q278" s="1" t="str">
        <x:f>IF(B278="","",IF(COUNTIFS($B$7:$B$1006,B278,$C$7:$C$1006,C278)&gt;1,"ID duplicado",IF(OR(A278="",C278="",D278="",E278="",F278="",I278="",J278="",K278="",O278=""),"Completar datos",IF(NOT(ISNUMBER(M278)),"Falta costo histórico","Revisar soporte"))))</x:f>
      </x:c>
      <x:c r="R278" s="9" t="n">
        <x:f>IF(B278="",0,IF(AND(D278="pagada",NOT(ISNUMBER(M278))),1,0))</x:f>
        <x:v>0</x:v>
      </x:c>
    </x:row>
    <x:row r="279" ht="22" customHeight="1">
      <x:c r="A279" s="11"/>
      <x:c r="B279" s="9"/>
      <x:c r="C279" s="9"/>
      <x:c r="D279" s="9"/>
      <x:c r="E279" s="9"/>
      <x:c r="F279" s="9"/>
      <x:c r="G279" s="9"/>
      <x:c r="H279" s="9"/>
      <x:c r="I279" s="13"/>
      <x:c r="J279" s="15"/>
      <x:c r="K279" s="15"/>
      <x:c r="L279" s="17" t="str">
        <x:f>IF(B279="","",IF(NOT(AND(ISNUMBER(J279),ISNUMBER(K279))),"",SUM(J279:K279)))</x:f>
      </x:c>
      <x:c r="M279" s="15"/>
      <x:c r="N279" s="17" t="str">
        <x:f>IF(OR(B279="",D279&lt;&gt;"pagada",NOT(ISNUMBER(J279)),NOT(ISNUMBER(M279))),"",J279-M279)</x:f>
      </x:c>
      <x:c r="O279" s="9"/>
      <x:c r="P279" s="9"/>
      <x:c r="Q279" s="1" t="str">
        <x:f>IF(B279="","",IF(COUNTIFS($B$7:$B$1006,B279,$C$7:$C$1006,C279)&gt;1,"ID duplicado",IF(OR(A279="",C279="",D279="",E279="",F279="",I279="",J279="",K279="",O279=""),"Completar datos",IF(NOT(ISNUMBER(M279)),"Falta costo histórico","Revisar soporte"))))</x:f>
      </x:c>
      <x:c r="R279" s="9" t="n">
        <x:f>IF(B279="",0,IF(AND(D279="pagada",NOT(ISNUMBER(M279))),1,0))</x:f>
        <x:v>0</x:v>
      </x:c>
    </x:row>
    <x:row r="280" ht="22" customHeight="1">
      <x:c r="A280" s="11"/>
      <x:c r="B280" s="9"/>
      <x:c r="C280" s="9"/>
      <x:c r="D280" s="9"/>
      <x:c r="E280" s="9"/>
      <x:c r="F280" s="9"/>
      <x:c r="G280" s="9"/>
      <x:c r="H280" s="9"/>
      <x:c r="I280" s="13"/>
      <x:c r="J280" s="15"/>
      <x:c r="K280" s="15"/>
      <x:c r="L280" s="17" t="str">
        <x:f>IF(B280="","",IF(NOT(AND(ISNUMBER(J280),ISNUMBER(K280))),"",SUM(J280:K280)))</x:f>
      </x:c>
      <x:c r="M280" s="15"/>
      <x:c r="N280" s="17" t="str">
        <x:f>IF(OR(B280="",D280&lt;&gt;"pagada",NOT(ISNUMBER(J280)),NOT(ISNUMBER(M280))),"",J280-M280)</x:f>
      </x:c>
      <x:c r="O280" s="9"/>
      <x:c r="P280" s="9"/>
      <x:c r="Q280" s="1" t="str">
        <x:f>IF(B280="","",IF(COUNTIFS($B$7:$B$1006,B280,$C$7:$C$1006,C280)&gt;1,"ID duplicado",IF(OR(A280="",C280="",D280="",E280="",F280="",I280="",J280="",K280="",O280=""),"Completar datos",IF(NOT(ISNUMBER(M280)),"Falta costo histórico","Revisar soporte"))))</x:f>
      </x:c>
      <x:c r="R280" s="9" t="n">
        <x:f>IF(B280="",0,IF(AND(D280="pagada",NOT(ISNUMBER(M280))),1,0))</x:f>
        <x:v>0</x:v>
      </x:c>
    </x:row>
    <x:row r="281" ht="22" customHeight="1">
      <x:c r="A281" s="11"/>
      <x:c r="B281" s="9"/>
      <x:c r="C281" s="9"/>
      <x:c r="D281" s="9"/>
      <x:c r="E281" s="9"/>
      <x:c r="F281" s="9"/>
      <x:c r="G281" s="9"/>
      <x:c r="H281" s="9"/>
      <x:c r="I281" s="13"/>
      <x:c r="J281" s="15"/>
      <x:c r="K281" s="15"/>
      <x:c r="L281" s="17" t="str">
        <x:f>IF(B281="","",IF(NOT(AND(ISNUMBER(J281),ISNUMBER(K281))),"",SUM(J281:K281)))</x:f>
      </x:c>
      <x:c r="M281" s="15"/>
      <x:c r="N281" s="17" t="str">
        <x:f>IF(OR(B281="",D281&lt;&gt;"pagada",NOT(ISNUMBER(J281)),NOT(ISNUMBER(M281))),"",J281-M281)</x:f>
      </x:c>
      <x:c r="O281" s="9"/>
      <x:c r="P281" s="9"/>
      <x:c r="Q281" s="1" t="str">
        <x:f>IF(B281="","",IF(COUNTIFS($B$7:$B$1006,B281,$C$7:$C$1006,C281)&gt;1,"ID duplicado",IF(OR(A281="",C281="",D281="",E281="",F281="",I281="",J281="",K281="",O281=""),"Completar datos",IF(NOT(ISNUMBER(M281)),"Falta costo histórico","Revisar soporte"))))</x:f>
      </x:c>
      <x:c r="R281" s="9" t="n">
        <x:f>IF(B281="",0,IF(AND(D281="pagada",NOT(ISNUMBER(M281))),1,0))</x:f>
        <x:v>0</x:v>
      </x:c>
    </x:row>
    <x:row r="282" ht="22" customHeight="1">
      <x:c r="A282" s="11"/>
      <x:c r="B282" s="9"/>
      <x:c r="C282" s="9"/>
      <x:c r="D282" s="9"/>
      <x:c r="E282" s="9"/>
      <x:c r="F282" s="9"/>
      <x:c r="G282" s="9"/>
      <x:c r="H282" s="9"/>
      <x:c r="I282" s="13"/>
      <x:c r="J282" s="15"/>
      <x:c r="K282" s="15"/>
      <x:c r="L282" s="17" t="str">
        <x:f>IF(B282="","",IF(NOT(AND(ISNUMBER(J282),ISNUMBER(K282))),"",SUM(J282:K282)))</x:f>
      </x:c>
      <x:c r="M282" s="15"/>
      <x:c r="N282" s="17" t="str">
        <x:f>IF(OR(B282="",D282&lt;&gt;"pagada",NOT(ISNUMBER(J282)),NOT(ISNUMBER(M282))),"",J282-M282)</x:f>
      </x:c>
      <x:c r="O282" s="9"/>
      <x:c r="P282" s="9"/>
      <x:c r="Q282" s="1" t="str">
        <x:f>IF(B282="","",IF(COUNTIFS($B$7:$B$1006,B282,$C$7:$C$1006,C282)&gt;1,"ID duplicado",IF(OR(A282="",C282="",D282="",E282="",F282="",I282="",J282="",K282="",O282=""),"Completar datos",IF(NOT(ISNUMBER(M282)),"Falta costo histórico","Revisar soporte"))))</x:f>
      </x:c>
      <x:c r="R282" s="9" t="n">
        <x:f>IF(B282="",0,IF(AND(D282="pagada",NOT(ISNUMBER(M282))),1,0))</x:f>
        <x:v>0</x:v>
      </x:c>
    </x:row>
    <x:row r="283" ht="22" customHeight="1">
      <x:c r="A283" s="11"/>
      <x:c r="B283" s="9"/>
      <x:c r="C283" s="9"/>
      <x:c r="D283" s="9"/>
      <x:c r="E283" s="9"/>
      <x:c r="F283" s="9"/>
      <x:c r="G283" s="9"/>
      <x:c r="H283" s="9"/>
      <x:c r="I283" s="13"/>
      <x:c r="J283" s="15"/>
      <x:c r="K283" s="15"/>
      <x:c r="L283" s="17" t="str">
        <x:f>IF(B283="","",IF(NOT(AND(ISNUMBER(J283),ISNUMBER(K283))),"",SUM(J283:K283)))</x:f>
      </x:c>
      <x:c r="M283" s="15"/>
      <x:c r="N283" s="17" t="str">
        <x:f>IF(OR(B283="",D283&lt;&gt;"pagada",NOT(ISNUMBER(J283)),NOT(ISNUMBER(M283))),"",J283-M283)</x:f>
      </x:c>
      <x:c r="O283" s="9"/>
      <x:c r="P283" s="9"/>
      <x:c r="Q283" s="1" t="str">
        <x:f>IF(B283="","",IF(COUNTIFS($B$7:$B$1006,B283,$C$7:$C$1006,C283)&gt;1,"ID duplicado",IF(OR(A283="",C283="",D283="",E283="",F283="",I283="",J283="",K283="",O283=""),"Completar datos",IF(NOT(ISNUMBER(M283)),"Falta costo histórico","Revisar soporte"))))</x:f>
      </x:c>
      <x:c r="R283" s="9" t="n">
        <x:f>IF(B283="",0,IF(AND(D283="pagada",NOT(ISNUMBER(M283))),1,0))</x:f>
        <x:v>0</x:v>
      </x:c>
    </x:row>
    <x:row r="284" ht="22" customHeight="1">
      <x:c r="A284" s="11"/>
      <x:c r="B284" s="9"/>
      <x:c r="C284" s="9"/>
      <x:c r="D284" s="9"/>
      <x:c r="E284" s="9"/>
      <x:c r="F284" s="9"/>
      <x:c r="G284" s="9"/>
      <x:c r="H284" s="9"/>
      <x:c r="I284" s="13"/>
      <x:c r="J284" s="15"/>
      <x:c r="K284" s="15"/>
      <x:c r="L284" s="17" t="str">
        <x:f>IF(B284="","",IF(NOT(AND(ISNUMBER(J284),ISNUMBER(K284))),"",SUM(J284:K284)))</x:f>
      </x:c>
      <x:c r="M284" s="15"/>
      <x:c r="N284" s="17" t="str">
        <x:f>IF(OR(B284="",D284&lt;&gt;"pagada",NOT(ISNUMBER(J284)),NOT(ISNUMBER(M284))),"",J284-M284)</x:f>
      </x:c>
      <x:c r="O284" s="9"/>
      <x:c r="P284" s="9"/>
      <x:c r="Q284" s="1" t="str">
        <x:f>IF(B284="","",IF(COUNTIFS($B$7:$B$1006,B284,$C$7:$C$1006,C284)&gt;1,"ID duplicado",IF(OR(A284="",C284="",D284="",E284="",F284="",I284="",J284="",K284="",O284=""),"Completar datos",IF(NOT(ISNUMBER(M284)),"Falta costo histórico","Revisar soporte"))))</x:f>
      </x:c>
      <x:c r="R284" s="9" t="n">
        <x:f>IF(B284="",0,IF(AND(D284="pagada",NOT(ISNUMBER(M284))),1,0))</x:f>
        <x:v>0</x:v>
      </x:c>
    </x:row>
    <x:row r="285" ht="22" customHeight="1">
      <x:c r="A285" s="11"/>
      <x:c r="B285" s="9"/>
      <x:c r="C285" s="9"/>
      <x:c r="D285" s="9"/>
      <x:c r="E285" s="9"/>
      <x:c r="F285" s="9"/>
      <x:c r="G285" s="9"/>
      <x:c r="H285" s="9"/>
      <x:c r="I285" s="13"/>
      <x:c r="J285" s="15"/>
      <x:c r="K285" s="15"/>
      <x:c r="L285" s="17" t="str">
        <x:f>IF(B285="","",IF(NOT(AND(ISNUMBER(J285),ISNUMBER(K285))),"",SUM(J285:K285)))</x:f>
      </x:c>
      <x:c r="M285" s="15"/>
      <x:c r="N285" s="17" t="str">
        <x:f>IF(OR(B285="",D285&lt;&gt;"pagada",NOT(ISNUMBER(J285)),NOT(ISNUMBER(M285))),"",J285-M285)</x:f>
      </x:c>
      <x:c r="O285" s="9"/>
      <x:c r="P285" s="9"/>
      <x:c r="Q285" s="1" t="str">
        <x:f>IF(B285="","",IF(COUNTIFS($B$7:$B$1006,B285,$C$7:$C$1006,C285)&gt;1,"ID duplicado",IF(OR(A285="",C285="",D285="",E285="",F285="",I285="",J285="",K285="",O285=""),"Completar datos",IF(NOT(ISNUMBER(M285)),"Falta costo histórico","Revisar soporte"))))</x:f>
      </x:c>
      <x:c r="R285" s="9" t="n">
        <x:f>IF(B285="",0,IF(AND(D285="pagada",NOT(ISNUMBER(M285))),1,0))</x:f>
        <x:v>0</x:v>
      </x:c>
    </x:row>
    <x:row r="286" ht="22" customHeight="1">
      <x:c r="A286" s="11"/>
      <x:c r="B286" s="9"/>
      <x:c r="C286" s="9"/>
      <x:c r="D286" s="9"/>
      <x:c r="E286" s="9"/>
      <x:c r="F286" s="9"/>
      <x:c r="G286" s="9"/>
      <x:c r="H286" s="9"/>
      <x:c r="I286" s="13"/>
      <x:c r="J286" s="15"/>
      <x:c r="K286" s="15"/>
      <x:c r="L286" s="17" t="str">
        <x:f>IF(B286="","",IF(NOT(AND(ISNUMBER(J286),ISNUMBER(K286))),"",SUM(J286:K286)))</x:f>
      </x:c>
      <x:c r="M286" s="15"/>
      <x:c r="N286" s="17" t="str">
        <x:f>IF(OR(B286="",D286&lt;&gt;"pagada",NOT(ISNUMBER(J286)),NOT(ISNUMBER(M286))),"",J286-M286)</x:f>
      </x:c>
      <x:c r="O286" s="9"/>
      <x:c r="P286" s="9"/>
      <x:c r="Q286" s="1" t="str">
        <x:f>IF(B286="","",IF(COUNTIFS($B$7:$B$1006,B286,$C$7:$C$1006,C286)&gt;1,"ID duplicado",IF(OR(A286="",C286="",D286="",E286="",F286="",I286="",J286="",K286="",O286=""),"Completar datos",IF(NOT(ISNUMBER(M286)),"Falta costo histórico","Revisar soporte"))))</x:f>
      </x:c>
      <x:c r="R286" s="9" t="n">
        <x:f>IF(B286="",0,IF(AND(D286="pagada",NOT(ISNUMBER(M286))),1,0))</x:f>
        <x:v>0</x:v>
      </x:c>
    </x:row>
    <x:row r="287" ht="22" customHeight="1">
      <x:c r="A287" s="11"/>
      <x:c r="B287" s="9"/>
      <x:c r="C287" s="9"/>
      <x:c r="D287" s="9"/>
      <x:c r="E287" s="9"/>
      <x:c r="F287" s="9"/>
      <x:c r="G287" s="9"/>
      <x:c r="H287" s="9"/>
      <x:c r="I287" s="13"/>
      <x:c r="J287" s="15"/>
      <x:c r="K287" s="15"/>
      <x:c r="L287" s="17" t="str">
        <x:f>IF(B287="","",IF(NOT(AND(ISNUMBER(J287),ISNUMBER(K287))),"",SUM(J287:K287)))</x:f>
      </x:c>
      <x:c r="M287" s="15"/>
      <x:c r="N287" s="17" t="str">
        <x:f>IF(OR(B287="",D287&lt;&gt;"pagada",NOT(ISNUMBER(J287)),NOT(ISNUMBER(M287))),"",J287-M287)</x:f>
      </x:c>
      <x:c r="O287" s="9"/>
      <x:c r="P287" s="9"/>
      <x:c r="Q287" s="1" t="str">
        <x:f>IF(B287="","",IF(COUNTIFS($B$7:$B$1006,B287,$C$7:$C$1006,C287)&gt;1,"ID duplicado",IF(OR(A287="",C287="",D287="",E287="",F287="",I287="",J287="",K287="",O287=""),"Completar datos",IF(NOT(ISNUMBER(M287)),"Falta costo histórico","Revisar soporte"))))</x:f>
      </x:c>
      <x:c r="R287" s="9" t="n">
        <x:f>IF(B287="",0,IF(AND(D287="pagada",NOT(ISNUMBER(M287))),1,0))</x:f>
        <x:v>0</x:v>
      </x:c>
    </x:row>
    <x:row r="288" ht="22" customHeight="1">
      <x:c r="A288" s="11"/>
      <x:c r="B288" s="9"/>
      <x:c r="C288" s="9"/>
      <x:c r="D288" s="9"/>
      <x:c r="E288" s="9"/>
      <x:c r="F288" s="9"/>
      <x:c r="G288" s="9"/>
      <x:c r="H288" s="9"/>
      <x:c r="I288" s="13"/>
      <x:c r="J288" s="15"/>
      <x:c r="K288" s="15"/>
      <x:c r="L288" s="17" t="str">
        <x:f>IF(B288="","",IF(NOT(AND(ISNUMBER(J288),ISNUMBER(K288))),"",SUM(J288:K288)))</x:f>
      </x:c>
      <x:c r="M288" s="15"/>
      <x:c r="N288" s="17" t="str">
        <x:f>IF(OR(B288="",D288&lt;&gt;"pagada",NOT(ISNUMBER(J288)),NOT(ISNUMBER(M288))),"",J288-M288)</x:f>
      </x:c>
      <x:c r="O288" s="9"/>
      <x:c r="P288" s="9"/>
      <x:c r="Q288" s="1" t="str">
        <x:f>IF(B288="","",IF(COUNTIFS($B$7:$B$1006,B288,$C$7:$C$1006,C288)&gt;1,"ID duplicado",IF(OR(A288="",C288="",D288="",E288="",F288="",I288="",J288="",K288="",O288=""),"Completar datos",IF(NOT(ISNUMBER(M288)),"Falta costo histórico","Revisar soporte"))))</x:f>
      </x:c>
      <x:c r="R288" s="9" t="n">
        <x:f>IF(B288="",0,IF(AND(D288="pagada",NOT(ISNUMBER(M288))),1,0))</x:f>
        <x:v>0</x:v>
      </x:c>
    </x:row>
    <x:row r="289" ht="22" customHeight="1">
      <x:c r="A289" s="11"/>
      <x:c r="B289" s="9"/>
      <x:c r="C289" s="9"/>
      <x:c r="D289" s="9"/>
      <x:c r="E289" s="9"/>
      <x:c r="F289" s="9"/>
      <x:c r="G289" s="9"/>
      <x:c r="H289" s="9"/>
      <x:c r="I289" s="13"/>
      <x:c r="J289" s="15"/>
      <x:c r="K289" s="15"/>
      <x:c r="L289" s="17" t="str">
        <x:f>IF(B289="","",IF(NOT(AND(ISNUMBER(J289),ISNUMBER(K289))),"",SUM(J289:K289)))</x:f>
      </x:c>
      <x:c r="M289" s="15"/>
      <x:c r="N289" s="17" t="str">
        <x:f>IF(OR(B289="",D289&lt;&gt;"pagada",NOT(ISNUMBER(J289)),NOT(ISNUMBER(M289))),"",J289-M289)</x:f>
      </x:c>
      <x:c r="O289" s="9"/>
      <x:c r="P289" s="9"/>
      <x:c r="Q289" s="1" t="str">
        <x:f>IF(B289="","",IF(COUNTIFS($B$7:$B$1006,B289,$C$7:$C$1006,C289)&gt;1,"ID duplicado",IF(OR(A289="",C289="",D289="",E289="",F289="",I289="",J289="",K289="",O289=""),"Completar datos",IF(NOT(ISNUMBER(M289)),"Falta costo histórico","Revisar soporte"))))</x:f>
      </x:c>
      <x:c r="R289" s="9" t="n">
        <x:f>IF(B289="",0,IF(AND(D289="pagada",NOT(ISNUMBER(M289))),1,0))</x:f>
        <x:v>0</x:v>
      </x:c>
    </x:row>
    <x:row r="290" ht="22" customHeight="1">
      <x:c r="A290" s="11"/>
      <x:c r="B290" s="9"/>
      <x:c r="C290" s="9"/>
      <x:c r="D290" s="9"/>
      <x:c r="E290" s="9"/>
      <x:c r="F290" s="9"/>
      <x:c r="G290" s="9"/>
      <x:c r="H290" s="9"/>
      <x:c r="I290" s="13"/>
      <x:c r="J290" s="15"/>
      <x:c r="K290" s="15"/>
      <x:c r="L290" s="17" t="str">
        <x:f>IF(B290="","",IF(NOT(AND(ISNUMBER(J290),ISNUMBER(K290))),"",SUM(J290:K290)))</x:f>
      </x:c>
      <x:c r="M290" s="15"/>
      <x:c r="N290" s="17" t="str">
        <x:f>IF(OR(B290="",D290&lt;&gt;"pagada",NOT(ISNUMBER(J290)),NOT(ISNUMBER(M290))),"",J290-M290)</x:f>
      </x:c>
      <x:c r="O290" s="9"/>
      <x:c r="P290" s="9"/>
      <x:c r="Q290" s="1" t="str">
        <x:f>IF(B290="","",IF(COUNTIFS($B$7:$B$1006,B290,$C$7:$C$1006,C290)&gt;1,"ID duplicado",IF(OR(A290="",C290="",D290="",E290="",F290="",I290="",J290="",K290="",O290=""),"Completar datos",IF(NOT(ISNUMBER(M290)),"Falta costo histórico","Revisar soporte"))))</x:f>
      </x:c>
      <x:c r="R290" s="9" t="n">
        <x:f>IF(B290="",0,IF(AND(D290="pagada",NOT(ISNUMBER(M290))),1,0))</x:f>
        <x:v>0</x:v>
      </x:c>
    </x:row>
    <x:row r="291" ht="22" customHeight="1">
      <x:c r="A291" s="11"/>
      <x:c r="B291" s="9"/>
      <x:c r="C291" s="9"/>
      <x:c r="D291" s="9"/>
      <x:c r="E291" s="9"/>
      <x:c r="F291" s="9"/>
      <x:c r="G291" s="9"/>
      <x:c r="H291" s="9"/>
      <x:c r="I291" s="13"/>
      <x:c r="J291" s="15"/>
      <x:c r="K291" s="15"/>
      <x:c r="L291" s="17" t="str">
        <x:f>IF(B291="","",IF(NOT(AND(ISNUMBER(J291),ISNUMBER(K291))),"",SUM(J291:K291)))</x:f>
      </x:c>
      <x:c r="M291" s="15"/>
      <x:c r="N291" s="17" t="str">
        <x:f>IF(OR(B291="",D291&lt;&gt;"pagada",NOT(ISNUMBER(J291)),NOT(ISNUMBER(M291))),"",J291-M291)</x:f>
      </x:c>
      <x:c r="O291" s="9"/>
      <x:c r="P291" s="9"/>
      <x:c r="Q291" s="1" t="str">
        <x:f>IF(B291="","",IF(COUNTIFS($B$7:$B$1006,B291,$C$7:$C$1006,C291)&gt;1,"ID duplicado",IF(OR(A291="",C291="",D291="",E291="",F291="",I291="",J291="",K291="",O291=""),"Completar datos",IF(NOT(ISNUMBER(M291)),"Falta costo histórico","Revisar soporte"))))</x:f>
      </x:c>
      <x:c r="R291" s="9" t="n">
        <x:f>IF(B291="",0,IF(AND(D291="pagada",NOT(ISNUMBER(M291))),1,0))</x:f>
        <x:v>0</x:v>
      </x:c>
    </x:row>
    <x:row r="292" ht="22" customHeight="1">
      <x:c r="A292" s="11"/>
      <x:c r="B292" s="9"/>
      <x:c r="C292" s="9"/>
      <x:c r="D292" s="9"/>
      <x:c r="E292" s="9"/>
      <x:c r="F292" s="9"/>
      <x:c r="G292" s="9"/>
      <x:c r="H292" s="9"/>
      <x:c r="I292" s="13"/>
      <x:c r="J292" s="15"/>
      <x:c r="K292" s="15"/>
      <x:c r="L292" s="17" t="str">
        <x:f>IF(B292="","",IF(NOT(AND(ISNUMBER(J292),ISNUMBER(K292))),"",SUM(J292:K292)))</x:f>
      </x:c>
      <x:c r="M292" s="15"/>
      <x:c r="N292" s="17" t="str">
        <x:f>IF(OR(B292="",D292&lt;&gt;"pagada",NOT(ISNUMBER(J292)),NOT(ISNUMBER(M292))),"",J292-M292)</x:f>
      </x:c>
      <x:c r="O292" s="9"/>
      <x:c r="P292" s="9"/>
      <x:c r="Q292" s="1" t="str">
        <x:f>IF(B292="","",IF(COUNTIFS($B$7:$B$1006,B292,$C$7:$C$1006,C292)&gt;1,"ID duplicado",IF(OR(A292="",C292="",D292="",E292="",F292="",I292="",J292="",K292="",O292=""),"Completar datos",IF(NOT(ISNUMBER(M292)),"Falta costo histórico","Revisar soporte"))))</x:f>
      </x:c>
      <x:c r="R292" s="9" t="n">
        <x:f>IF(B292="",0,IF(AND(D292="pagada",NOT(ISNUMBER(M292))),1,0))</x:f>
        <x:v>0</x:v>
      </x:c>
    </x:row>
    <x:row r="293" ht="22" customHeight="1">
      <x:c r="A293" s="11"/>
      <x:c r="B293" s="9"/>
      <x:c r="C293" s="9"/>
      <x:c r="D293" s="9"/>
      <x:c r="E293" s="9"/>
      <x:c r="F293" s="9"/>
      <x:c r="G293" s="9"/>
      <x:c r="H293" s="9"/>
      <x:c r="I293" s="13"/>
      <x:c r="J293" s="15"/>
      <x:c r="K293" s="15"/>
      <x:c r="L293" s="17" t="str">
        <x:f>IF(B293="","",IF(NOT(AND(ISNUMBER(J293),ISNUMBER(K293))),"",SUM(J293:K293)))</x:f>
      </x:c>
      <x:c r="M293" s="15"/>
      <x:c r="N293" s="17" t="str">
        <x:f>IF(OR(B293="",D293&lt;&gt;"pagada",NOT(ISNUMBER(J293)),NOT(ISNUMBER(M293))),"",J293-M293)</x:f>
      </x:c>
      <x:c r="O293" s="9"/>
      <x:c r="P293" s="9"/>
      <x:c r="Q293" s="1" t="str">
        <x:f>IF(B293="","",IF(COUNTIFS($B$7:$B$1006,B293,$C$7:$C$1006,C293)&gt;1,"ID duplicado",IF(OR(A293="",C293="",D293="",E293="",F293="",I293="",J293="",K293="",O293=""),"Completar datos",IF(NOT(ISNUMBER(M293)),"Falta costo histórico","Revisar soporte"))))</x:f>
      </x:c>
      <x:c r="R293" s="9" t="n">
        <x:f>IF(B293="",0,IF(AND(D293="pagada",NOT(ISNUMBER(M293))),1,0))</x:f>
        <x:v>0</x:v>
      </x:c>
    </x:row>
    <x:row r="294" ht="22" customHeight="1">
      <x:c r="A294" s="11"/>
      <x:c r="B294" s="9"/>
      <x:c r="C294" s="9"/>
      <x:c r="D294" s="9"/>
      <x:c r="E294" s="9"/>
      <x:c r="F294" s="9"/>
      <x:c r="G294" s="9"/>
      <x:c r="H294" s="9"/>
      <x:c r="I294" s="13"/>
      <x:c r="J294" s="15"/>
      <x:c r="K294" s="15"/>
      <x:c r="L294" s="17" t="str">
        <x:f>IF(B294="","",IF(NOT(AND(ISNUMBER(J294),ISNUMBER(K294))),"",SUM(J294:K294)))</x:f>
      </x:c>
      <x:c r="M294" s="15"/>
      <x:c r="N294" s="17" t="str">
        <x:f>IF(OR(B294="",D294&lt;&gt;"pagada",NOT(ISNUMBER(J294)),NOT(ISNUMBER(M294))),"",J294-M294)</x:f>
      </x:c>
      <x:c r="O294" s="9"/>
      <x:c r="P294" s="9"/>
      <x:c r="Q294" s="1" t="str">
        <x:f>IF(B294="","",IF(COUNTIFS($B$7:$B$1006,B294,$C$7:$C$1006,C294)&gt;1,"ID duplicado",IF(OR(A294="",C294="",D294="",E294="",F294="",I294="",J294="",K294="",O294=""),"Completar datos",IF(NOT(ISNUMBER(M294)),"Falta costo histórico","Revisar soporte"))))</x:f>
      </x:c>
      <x:c r="R294" s="9" t="n">
        <x:f>IF(B294="",0,IF(AND(D294="pagada",NOT(ISNUMBER(M294))),1,0))</x:f>
        <x:v>0</x:v>
      </x:c>
    </x:row>
    <x:row r="295" ht="22" customHeight="1">
      <x:c r="A295" s="11"/>
      <x:c r="B295" s="9"/>
      <x:c r="C295" s="9"/>
      <x:c r="D295" s="9"/>
      <x:c r="E295" s="9"/>
      <x:c r="F295" s="9"/>
      <x:c r="G295" s="9"/>
      <x:c r="H295" s="9"/>
      <x:c r="I295" s="13"/>
      <x:c r="J295" s="15"/>
      <x:c r="K295" s="15"/>
      <x:c r="L295" s="17" t="str">
        <x:f>IF(B295="","",IF(NOT(AND(ISNUMBER(J295),ISNUMBER(K295))),"",SUM(J295:K295)))</x:f>
      </x:c>
      <x:c r="M295" s="15"/>
      <x:c r="N295" s="17" t="str">
        <x:f>IF(OR(B295="",D295&lt;&gt;"pagada",NOT(ISNUMBER(J295)),NOT(ISNUMBER(M295))),"",J295-M295)</x:f>
      </x:c>
      <x:c r="O295" s="9"/>
      <x:c r="P295" s="9"/>
      <x:c r="Q295" s="1" t="str">
        <x:f>IF(B295="","",IF(COUNTIFS($B$7:$B$1006,B295,$C$7:$C$1006,C295)&gt;1,"ID duplicado",IF(OR(A295="",C295="",D295="",E295="",F295="",I295="",J295="",K295="",O295=""),"Completar datos",IF(NOT(ISNUMBER(M295)),"Falta costo histórico","Revisar soporte"))))</x:f>
      </x:c>
      <x:c r="R295" s="9" t="n">
        <x:f>IF(B295="",0,IF(AND(D295="pagada",NOT(ISNUMBER(M295))),1,0))</x:f>
        <x:v>0</x:v>
      </x:c>
    </x:row>
    <x:row r="296" ht="22" customHeight="1">
      <x:c r="A296" s="11"/>
      <x:c r="B296" s="9"/>
      <x:c r="C296" s="9"/>
      <x:c r="D296" s="9"/>
      <x:c r="E296" s="9"/>
      <x:c r="F296" s="9"/>
      <x:c r="G296" s="9"/>
      <x:c r="H296" s="9"/>
      <x:c r="I296" s="13"/>
      <x:c r="J296" s="15"/>
      <x:c r="K296" s="15"/>
      <x:c r="L296" s="17" t="str">
        <x:f>IF(B296="","",IF(NOT(AND(ISNUMBER(J296),ISNUMBER(K296))),"",SUM(J296:K296)))</x:f>
      </x:c>
      <x:c r="M296" s="15"/>
      <x:c r="N296" s="17" t="str">
        <x:f>IF(OR(B296="",D296&lt;&gt;"pagada",NOT(ISNUMBER(J296)),NOT(ISNUMBER(M296))),"",J296-M296)</x:f>
      </x:c>
      <x:c r="O296" s="9"/>
      <x:c r="P296" s="9"/>
      <x:c r="Q296" s="1" t="str">
        <x:f>IF(B296="","",IF(COUNTIFS($B$7:$B$1006,B296,$C$7:$C$1006,C296)&gt;1,"ID duplicado",IF(OR(A296="",C296="",D296="",E296="",F296="",I296="",J296="",K296="",O296=""),"Completar datos",IF(NOT(ISNUMBER(M296)),"Falta costo histórico","Revisar soporte"))))</x:f>
      </x:c>
      <x:c r="R296" s="9" t="n">
        <x:f>IF(B296="",0,IF(AND(D296="pagada",NOT(ISNUMBER(M296))),1,0))</x:f>
        <x:v>0</x:v>
      </x:c>
    </x:row>
    <x:row r="297" ht="22" customHeight="1">
      <x:c r="A297" s="11"/>
      <x:c r="B297" s="9"/>
      <x:c r="C297" s="9"/>
      <x:c r="D297" s="9"/>
      <x:c r="E297" s="9"/>
      <x:c r="F297" s="9"/>
      <x:c r="G297" s="9"/>
      <x:c r="H297" s="9"/>
      <x:c r="I297" s="13"/>
      <x:c r="J297" s="15"/>
      <x:c r="K297" s="15"/>
      <x:c r="L297" s="17" t="str">
        <x:f>IF(B297="","",IF(NOT(AND(ISNUMBER(J297),ISNUMBER(K297))),"",SUM(J297:K297)))</x:f>
      </x:c>
      <x:c r="M297" s="15"/>
      <x:c r="N297" s="17" t="str">
        <x:f>IF(OR(B297="",D297&lt;&gt;"pagada",NOT(ISNUMBER(J297)),NOT(ISNUMBER(M297))),"",J297-M297)</x:f>
      </x:c>
      <x:c r="O297" s="9"/>
      <x:c r="P297" s="9"/>
      <x:c r="Q297" s="1" t="str">
        <x:f>IF(B297="","",IF(COUNTIFS($B$7:$B$1006,B297,$C$7:$C$1006,C297)&gt;1,"ID duplicado",IF(OR(A297="",C297="",D297="",E297="",F297="",I297="",J297="",K297="",O297=""),"Completar datos",IF(NOT(ISNUMBER(M297)),"Falta costo histórico","Revisar soporte"))))</x:f>
      </x:c>
      <x:c r="R297" s="9" t="n">
        <x:f>IF(B297="",0,IF(AND(D297="pagada",NOT(ISNUMBER(M297))),1,0))</x:f>
        <x:v>0</x:v>
      </x:c>
    </x:row>
    <x:row r="298" ht="22" customHeight="1">
      <x:c r="A298" s="11"/>
      <x:c r="B298" s="9"/>
      <x:c r="C298" s="9"/>
      <x:c r="D298" s="9"/>
      <x:c r="E298" s="9"/>
      <x:c r="F298" s="9"/>
      <x:c r="G298" s="9"/>
      <x:c r="H298" s="9"/>
      <x:c r="I298" s="13"/>
      <x:c r="J298" s="15"/>
      <x:c r="K298" s="15"/>
      <x:c r="L298" s="17" t="str">
        <x:f>IF(B298="","",IF(NOT(AND(ISNUMBER(J298),ISNUMBER(K298))),"",SUM(J298:K298)))</x:f>
      </x:c>
      <x:c r="M298" s="15"/>
      <x:c r="N298" s="17" t="str">
        <x:f>IF(OR(B298="",D298&lt;&gt;"pagada",NOT(ISNUMBER(J298)),NOT(ISNUMBER(M298))),"",J298-M298)</x:f>
      </x:c>
      <x:c r="O298" s="9"/>
      <x:c r="P298" s="9"/>
      <x:c r="Q298" s="1" t="str">
        <x:f>IF(B298="","",IF(COUNTIFS($B$7:$B$1006,B298,$C$7:$C$1006,C298)&gt;1,"ID duplicado",IF(OR(A298="",C298="",D298="",E298="",F298="",I298="",J298="",K298="",O298=""),"Completar datos",IF(NOT(ISNUMBER(M298)),"Falta costo histórico","Revisar soporte"))))</x:f>
      </x:c>
      <x:c r="R298" s="9" t="n">
        <x:f>IF(B298="",0,IF(AND(D298="pagada",NOT(ISNUMBER(M298))),1,0))</x:f>
        <x:v>0</x:v>
      </x:c>
    </x:row>
    <x:row r="299" ht="22" customHeight="1">
      <x:c r="A299" s="11"/>
      <x:c r="B299" s="9"/>
      <x:c r="C299" s="9"/>
      <x:c r="D299" s="9"/>
      <x:c r="E299" s="9"/>
      <x:c r="F299" s="9"/>
      <x:c r="G299" s="9"/>
      <x:c r="H299" s="9"/>
      <x:c r="I299" s="13"/>
      <x:c r="J299" s="15"/>
      <x:c r="K299" s="15"/>
      <x:c r="L299" s="17" t="str">
        <x:f>IF(B299="","",IF(NOT(AND(ISNUMBER(J299),ISNUMBER(K299))),"",SUM(J299:K299)))</x:f>
      </x:c>
      <x:c r="M299" s="15"/>
      <x:c r="N299" s="17" t="str">
        <x:f>IF(OR(B299="",D299&lt;&gt;"pagada",NOT(ISNUMBER(J299)),NOT(ISNUMBER(M299))),"",J299-M299)</x:f>
      </x:c>
      <x:c r="O299" s="9"/>
      <x:c r="P299" s="9"/>
      <x:c r="Q299" s="1" t="str">
        <x:f>IF(B299="","",IF(COUNTIFS($B$7:$B$1006,B299,$C$7:$C$1006,C299)&gt;1,"ID duplicado",IF(OR(A299="",C299="",D299="",E299="",F299="",I299="",J299="",K299="",O299=""),"Completar datos",IF(NOT(ISNUMBER(M299)),"Falta costo histórico","Revisar soporte"))))</x:f>
      </x:c>
      <x:c r="R299" s="9" t="n">
        <x:f>IF(B299="",0,IF(AND(D299="pagada",NOT(ISNUMBER(M299))),1,0))</x:f>
        <x:v>0</x:v>
      </x:c>
    </x:row>
    <x:row r="300" ht="22" customHeight="1">
      <x:c r="A300" s="11"/>
      <x:c r="B300" s="9"/>
      <x:c r="C300" s="9"/>
      <x:c r="D300" s="9"/>
      <x:c r="E300" s="9"/>
      <x:c r="F300" s="9"/>
      <x:c r="G300" s="9"/>
      <x:c r="H300" s="9"/>
      <x:c r="I300" s="13"/>
      <x:c r="J300" s="15"/>
      <x:c r="K300" s="15"/>
      <x:c r="L300" s="17" t="str">
        <x:f>IF(B300="","",IF(NOT(AND(ISNUMBER(J300),ISNUMBER(K300))),"",SUM(J300:K300)))</x:f>
      </x:c>
      <x:c r="M300" s="15"/>
      <x:c r="N300" s="17" t="str">
        <x:f>IF(OR(B300="",D300&lt;&gt;"pagada",NOT(ISNUMBER(J300)),NOT(ISNUMBER(M300))),"",J300-M300)</x:f>
      </x:c>
      <x:c r="O300" s="9"/>
      <x:c r="P300" s="9"/>
      <x:c r="Q300" s="1" t="str">
        <x:f>IF(B300="","",IF(COUNTIFS($B$7:$B$1006,B300,$C$7:$C$1006,C300)&gt;1,"ID duplicado",IF(OR(A300="",C300="",D300="",E300="",F300="",I300="",J300="",K300="",O300=""),"Completar datos",IF(NOT(ISNUMBER(M300)),"Falta costo histórico","Revisar soporte"))))</x:f>
      </x:c>
      <x:c r="R300" s="9" t="n">
        <x:f>IF(B300="",0,IF(AND(D300="pagada",NOT(ISNUMBER(M300))),1,0))</x:f>
        <x:v>0</x:v>
      </x:c>
    </x:row>
    <x:row r="301" ht="22" customHeight="1">
      <x:c r="A301" s="11"/>
      <x:c r="B301" s="9"/>
      <x:c r="C301" s="9"/>
      <x:c r="D301" s="9"/>
      <x:c r="E301" s="9"/>
      <x:c r="F301" s="9"/>
      <x:c r="G301" s="9"/>
      <x:c r="H301" s="9"/>
      <x:c r="I301" s="13"/>
      <x:c r="J301" s="15"/>
      <x:c r="K301" s="15"/>
      <x:c r="L301" s="17" t="str">
        <x:f>IF(B301="","",IF(NOT(AND(ISNUMBER(J301),ISNUMBER(K301))),"",SUM(J301:K301)))</x:f>
      </x:c>
      <x:c r="M301" s="15"/>
      <x:c r="N301" s="17" t="str">
        <x:f>IF(OR(B301="",D301&lt;&gt;"pagada",NOT(ISNUMBER(J301)),NOT(ISNUMBER(M301))),"",J301-M301)</x:f>
      </x:c>
      <x:c r="O301" s="9"/>
      <x:c r="P301" s="9"/>
      <x:c r="Q301" s="1" t="str">
        <x:f>IF(B301="","",IF(COUNTIFS($B$7:$B$1006,B301,$C$7:$C$1006,C301)&gt;1,"ID duplicado",IF(OR(A301="",C301="",D301="",E301="",F301="",I301="",J301="",K301="",O301=""),"Completar datos",IF(NOT(ISNUMBER(M301)),"Falta costo histórico","Revisar soporte"))))</x:f>
      </x:c>
      <x:c r="R301" s="9" t="n">
        <x:f>IF(B301="",0,IF(AND(D301="pagada",NOT(ISNUMBER(M301))),1,0))</x:f>
        <x:v>0</x:v>
      </x:c>
    </x:row>
    <x:row r="302" ht="22" customHeight="1">
      <x:c r="A302" s="11"/>
      <x:c r="B302" s="9"/>
      <x:c r="C302" s="9"/>
      <x:c r="D302" s="9"/>
      <x:c r="E302" s="9"/>
      <x:c r="F302" s="9"/>
      <x:c r="G302" s="9"/>
      <x:c r="H302" s="9"/>
      <x:c r="I302" s="13"/>
      <x:c r="J302" s="15"/>
      <x:c r="K302" s="15"/>
      <x:c r="L302" s="17" t="str">
        <x:f>IF(B302="","",IF(NOT(AND(ISNUMBER(J302),ISNUMBER(K302))),"",SUM(J302:K302)))</x:f>
      </x:c>
      <x:c r="M302" s="15"/>
      <x:c r="N302" s="17" t="str">
        <x:f>IF(OR(B302="",D302&lt;&gt;"pagada",NOT(ISNUMBER(J302)),NOT(ISNUMBER(M302))),"",J302-M302)</x:f>
      </x:c>
      <x:c r="O302" s="9"/>
      <x:c r="P302" s="9"/>
      <x:c r="Q302" s="1" t="str">
        <x:f>IF(B302="","",IF(COUNTIFS($B$7:$B$1006,B302,$C$7:$C$1006,C302)&gt;1,"ID duplicado",IF(OR(A302="",C302="",D302="",E302="",F302="",I302="",J302="",K302="",O302=""),"Completar datos",IF(NOT(ISNUMBER(M302)),"Falta costo histórico","Revisar soporte"))))</x:f>
      </x:c>
      <x:c r="R302" s="9" t="n">
        <x:f>IF(B302="",0,IF(AND(D302="pagada",NOT(ISNUMBER(M302))),1,0))</x:f>
        <x:v>0</x:v>
      </x:c>
    </x:row>
    <x:row r="303" ht="22" customHeight="1">
      <x:c r="A303" s="11"/>
      <x:c r="B303" s="9"/>
      <x:c r="C303" s="9"/>
      <x:c r="D303" s="9"/>
      <x:c r="E303" s="9"/>
      <x:c r="F303" s="9"/>
      <x:c r="G303" s="9"/>
      <x:c r="H303" s="9"/>
      <x:c r="I303" s="13"/>
      <x:c r="J303" s="15"/>
      <x:c r="K303" s="15"/>
      <x:c r="L303" s="17" t="str">
        <x:f>IF(B303="","",IF(NOT(AND(ISNUMBER(J303),ISNUMBER(K303))),"",SUM(J303:K303)))</x:f>
      </x:c>
      <x:c r="M303" s="15"/>
      <x:c r="N303" s="17" t="str">
        <x:f>IF(OR(B303="",D303&lt;&gt;"pagada",NOT(ISNUMBER(J303)),NOT(ISNUMBER(M303))),"",J303-M303)</x:f>
      </x:c>
      <x:c r="O303" s="9"/>
      <x:c r="P303" s="9"/>
      <x:c r="Q303" s="1" t="str">
        <x:f>IF(B303="","",IF(COUNTIFS($B$7:$B$1006,B303,$C$7:$C$1006,C303)&gt;1,"ID duplicado",IF(OR(A303="",C303="",D303="",E303="",F303="",I303="",J303="",K303="",O303=""),"Completar datos",IF(NOT(ISNUMBER(M303)),"Falta costo histórico","Revisar soporte"))))</x:f>
      </x:c>
      <x:c r="R303" s="9" t="n">
        <x:f>IF(B303="",0,IF(AND(D303="pagada",NOT(ISNUMBER(M303))),1,0))</x:f>
        <x:v>0</x:v>
      </x:c>
    </x:row>
    <x:row r="304" ht="22" customHeight="1">
      <x:c r="A304" s="11"/>
      <x:c r="B304" s="9"/>
      <x:c r="C304" s="9"/>
      <x:c r="D304" s="9"/>
      <x:c r="E304" s="9"/>
      <x:c r="F304" s="9"/>
      <x:c r="G304" s="9"/>
      <x:c r="H304" s="9"/>
      <x:c r="I304" s="13"/>
      <x:c r="J304" s="15"/>
      <x:c r="K304" s="15"/>
      <x:c r="L304" s="17" t="str">
        <x:f>IF(B304="","",IF(NOT(AND(ISNUMBER(J304),ISNUMBER(K304))),"",SUM(J304:K304)))</x:f>
      </x:c>
      <x:c r="M304" s="15"/>
      <x:c r="N304" s="17" t="str">
        <x:f>IF(OR(B304="",D304&lt;&gt;"pagada",NOT(ISNUMBER(J304)),NOT(ISNUMBER(M304))),"",J304-M304)</x:f>
      </x:c>
      <x:c r="O304" s="9"/>
      <x:c r="P304" s="9"/>
      <x:c r="Q304" s="1" t="str">
        <x:f>IF(B304="","",IF(COUNTIFS($B$7:$B$1006,B304,$C$7:$C$1006,C304)&gt;1,"ID duplicado",IF(OR(A304="",C304="",D304="",E304="",F304="",I304="",J304="",K304="",O304=""),"Completar datos",IF(NOT(ISNUMBER(M304)),"Falta costo histórico","Revisar soporte"))))</x:f>
      </x:c>
      <x:c r="R304" s="9" t="n">
        <x:f>IF(B304="",0,IF(AND(D304="pagada",NOT(ISNUMBER(M304))),1,0))</x:f>
        <x:v>0</x:v>
      </x:c>
    </x:row>
    <x:row r="305" ht="22" customHeight="1">
      <x:c r="A305" s="11"/>
      <x:c r="B305" s="9"/>
      <x:c r="C305" s="9"/>
      <x:c r="D305" s="9"/>
      <x:c r="E305" s="9"/>
      <x:c r="F305" s="9"/>
      <x:c r="G305" s="9"/>
      <x:c r="H305" s="9"/>
      <x:c r="I305" s="13"/>
      <x:c r="J305" s="15"/>
      <x:c r="K305" s="15"/>
      <x:c r="L305" s="17" t="str">
        <x:f>IF(B305="","",IF(NOT(AND(ISNUMBER(J305),ISNUMBER(K305))),"",SUM(J305:K305)))</x:f>
      </x:c>
      <x:c r="M305" s="15"/>
      <x:c r="N305" s="17" t="str">
        <x:f>IF(OR(B305="",D305&lt;&gt;"pagada",NOT(ISNUMBER(J305)),NOT(ISNUMBER(M305))),"",J305-M305)</x:f>
      </x:c>
      <x:c r="O305" s="9"/>
      <x:c r="P305" s="9"/>
      <x:c r="Q305" s="1" t="str">
        <x:f>IF(B305="","",IF(COUNTIFS($B$7:$B$1006,B305,$C$7:$C$1006,C305)&gt;1,"ID duplicado",IF(OR(A305="",C305="",D305="",E305="",F305="",I305="",J305="",K305="",O305=""),"Completar datos",IF(NOT(ISNUMBER(M305)),"Falta costo histórico","Revisar soporte"))))</x:f>
      </x:c>
      <x:c r="R305" s="9" t="n">
        <x:f>IF(B305="",0,IF(AND(D305="pagada",NOT(ISNUMBER(M305))),1,0))</x:f>
        <x:v>0</x:v>
      </x:c>
    </x:row>
    <x:row r="306" ht="22" customHeight="1">
      <x:c r="A306" s="11"/>
      <x:c r="B306" s="9"/>
      <x:c r="C306" s="9"/>
      <x:c r="D306" s="9"/>
      <x:c r="E306" s="9"/>
      <x:c r="F306" s="9"/>
      <x:c r="G306" s="9"/>
      <x:c r="H306" s="9"/>
      <x:c r="I306" s="13"/>
      <x:c r="J306" s="15"/>
      <x:c r="K306" s="15"/>
      <x:c r="L306" s="17" t="str">
        <x:f>IF(B306="","",IF(NOT(AND(ISNUMBER(J306),ISNUMBER(K306))),"",SUM(J306:K306)))</x:f>
      </x:c>
      <x:c r="M306" s="15"/>
      <x:c r="N306" s="17" t="str">
        <x:f>IF(OR(B306="",D306&lt;&gt;"pagada",NOT(ISNUMBER(J306)),NOT(ISNUMBER(M306))),"",J306-M306)</x:f>
      </x:c>
      <x:c r="O306" s="9"/>
      <x:c r="P306" s="9"/>
      <x:c r="Q306" s="1" t="str">
        <x:f>IF(B306="","",IF(COUNTIFS($B$7:$B$1006,B306,$C$7:$C$1006,C306)&gt;1,"ID duplicado",IF(OR(A306="",C306="",D306="",E306="",F306="",I306="",J306="",K306="",O306=""),"Completar datos",IF(NOT(ISNUMBER(M306)),"Falta costo histórico","Revisar soporte"))))</x:f>
      </x:c>
      <x:c r="R306" s="9" t="n">
        <x:f>IF(B306="",0,IF(AND(D306="pagada",NOT(ISNUMBER(M306))),1,0))</x:f>
        <x:v>0</x:v>
      </x:c>
    </x:row>
    <x:row r="307" ht="22" customHeight="1">
      <x:c r="A307" s="11"/>
      <x:c r="B307" s="9"/>
      <x:c r="C307" s="9"/>
      <x:c r="D307" s="9"/>
      <x:c r="E307" s="9"/>
      <x:c r="F307" s="9"/>
      <x:c r="G307" s="9"/>
      <x:c r="H307" s="9"/>
      <x:c r="I307" s="13"/>
      <x:c r="J307" s="15"/>
      <x:c r="K307" s="15"/>
      <x:c r="L307" s="17" t="str">
        <x:f>IF(B307="","",IF(NOT(AND(ISNUMBER(J307),ISNUMBER(K307))),"",SUM(J307:K307)))</x:f>
      </x:c>
      <x:c r="M307" s="15"/>
      <x:c r="N307" s="17" t="str">
        <x:f>IF(OR(B307="",D307&lt;&gt;"pagada",NOT(ISNUMBER(J307)),NOT(ISNUMBER(M307))),"",J307-M307)</x:f>
      </x:c>
      <x:c r="O307" s="9"/>
      <x:c r="P307" s="9"/>
      <x:c r="Q307" s="1" t="str">
        <x:f>IF(B307="","",IF(COUNTIFS($B$7:$B$1006,B307,$C$7:$C$1006,C307)&gt;1,"ID duplicado",IF(OR(A307="",C307="",D307="",E307="",F307="",I307="",J307="",K307="",O307=""),"Completar datos",IF(NOT(ISNUMBER(M307)),"Falta costo histórico","Revisar soporte"))))</x:f>
      </x:c>
      <x:c r="R307" s="9" t="n">
        <x:f>IF(B307="",0,IF(AND(D307="pagada",NOT(ISNUMBER(M307))),1,0))</x:f>
        <x:v>0</x:v>
      </x:c>
    </x:row>
    <x:row r="308" ht="22" customHeight="1">
      <x:c r="A308" s="11"/>
      <x:c r="B308" s="9"/>
      <x:c r="C308" s="9"/>
      <x:c r="D308" s="9"/>
      <x:c r="E308" s="9"/>
      <x:c r="F308" s="9"/>
      <x:c r="G308" s="9"/>
      <x:c r="H308" s="9"/>
      <x:c r="I308" s="13"/>
      <x:c r="J308" s="15"/>
      <x:c r="K308" s="15"/>
      <x:c r="L308" s="17" t="str">
        <x:f>IF(B308="","",IF(NOT(AND(ISNUMBER(J308),ISNUMBER(K308))),"",SUM(J308:K308)))</x:f>
      </x:c>
      <x:c r="M308" s="15"/>
      <x:c r="N308" s="17" t="str">
        <x:f>IF(OR(B308="",D308&lt;&gt;"pagada",NOT(ISNUMBER(J308)),NOT(ISNUMBER(M308))),"",J308-M308)</x:f>
      </x:c>
      <x:c r="O308" s="9"/>
      <x:c r="P308" s="9"/>
      <x:c r="Q308" s="1" t="str">
        <x:f>IF(B308="","",IF(COUNTIFS($B$7:$B$1006,B308,$C$7:$C$1006,C308)&gt;1,"ID duplicado",IF(OR(A308="",C308="",D308="",E308="",F308="",I308="",J308="",K308="",O308=""),"Completar datos",IF(NOT(ISNUMBER(M308)),"Falta costo histórico","Revisar soporte"))))</x:f>
      </x:c>
      <x:c r="R308" s="9" t="n">
        <x:f>IF(B308="",0,IF(AND(D308="pagada",NOT(ISNUMBER(M308))),1,0))</x:f>
        <x:v>0</x:v>
      </x:c>
    </x:row>
    <x:row r="309" ht="22" customHeight="1">
      <x:c r="A309" s="11"/>
      <x:c r="B309" s="9"/>
      <x:c r="C309" s="9"/>
      <x:c r="D309" s="9"/>
      <x:c r="E309" s="9"/>
      <x:c r="F309" s="9"/>
      <x:c r="G309" s="9"/>
      <x:c r="H309" s="9"/>
      <x:c r="I309" s="13"/>
      <x:c r="J309" s="15"/>
      <x:c r="K309" s="15"/>
      <x:c r="L309" s="17" t="str">
        <x:f>IF(B309="","",IF(NOT(AND(ISNUMBER(J309),ISNUMBER(K309))),"",SUM(J309:K309)))</x:f>
      </x:c>
      <x:c r="M309" s="15"/>
      <x:c r="N309" s="17" t="str">
        <x:f>IF(OR(B309="",D309&lt;&gt;"pagada",NOT(ISNUMBER(J309)),NOT(ISNUMBER(M309))),"",J309-M309)</x:f>
      </x:c>
      <x:c r="O309" s="9"/>
      <x:c r="P309" s="9"/>
      <x:c r="Q309" s="1" t="str">
        <x:f>IF(B309="","",IF(COUNTIFS($B$7:$B$1006,B309,$C$7:$C$1006,C309)&gt;1,"ID duplicado",IF(OR(A309="",C309="",D309="",E309="",F309="",I309="",J309="",K309="",O309=""),"Completar datos",IF(NOT(ISNUMBER(M309)),"Falta costo histórico","Revisar soporte"))))</x:f>
      </x:c>
      <x:c r="R309" s="9" t="n">
        <x:f>IF(B309="",0,IF(AND(D309="pagada",NOT(ISNUMBER(M309))),1,0))</x:f>
        <x:v>0</x:v>
      </x:c>
    </x:row>
    <x:row r="310" ht="22" customHeight="1">
      <x:c r="A310" s="11"/>
      <x:c r="B310" s="9"/>
      <x:c r="C310" s="9"/>
      <x:c r="D310" s="9"/>
      <x:c r="E310" s="9"/>
      <x:c r="F310" s="9"/>
      <x:c r="G310" s="9"/>
      <x:c r="H310" s="9"/>
      <x:c r="I310" s="13"/>
      <x:c r="J310" s="15"/>
      <x:c r="K310" s="15"/>
      <x:c r="L310" s="17" t="str">
        <x:f>IF(B310="","",IF(NOT(AND(ISNUMBER(J310),ISNUMBER(K310))),"",SUM(J310:K310)))</x:f>
      </x:c>
      <x:c r="M310" s="15"/>
      <x:c r="N310" s="17" t="str">
        <x:f>IF(OR(B310="",D310&lt;&gt;"pagada",NOT(ISNUMBER(J310)),NOT(ISNUMBER(M310))),"",J310-M310)</x:f>
      </x:c>
      <x:c r="O310" s="9"/>
      <x:c r="P310" s="9"/>
      <x:c r="Q310" s="1" t="str">
        <x:f>IF(B310="","",IF(COUNTIFS($B$7:$B$1006,B310,$C$7:$C$1006,C310)&gt;1,"ID duplicado",IF(OR(A310="",C310="",D310="",E310="",F310="",I310="",J310="",K310="",O310=""),"Completar datos",IF(NOT(ISNUMBER(M310)),"Falta costo histórico","Revisar soporte"))))</x:f>
      </x:c>
      <x:c r="R310" s="9" t="n">
        <x:f>IF(B310="",0,IF(AND(D310="pagada",NOT(ISNUMBER(M310))),1,0))</x:f>
        <x:v>0</x:v>
      </x:c>
    </x:row>
    <x:row r="311" ht="22" customHeight="1">
      <x:c r="A311" s="11"/>
      <x:c r="B311" s="9"/>
      <x:c r="C311" s="9"/>
      <x:c r="D311" s="9"/>
      <x:c r="E311" s="9"/>
      <x:c r="F311" s="9"/>
      <x:c r="G311" s="9"/>
      <x:c r="H311" s="9"/>
      <x:c r="I311" s="13"/>
      <x:c r="J311" s="15"/>
      <x:c r="K311" s="15"/>
      <x:c r="L311" s="17" t="str">
        <x:f>IF(B311="","",IF(NOT(AND(ISNUMBER(J311),ISNUMBER(K311))),"",SUM(J311:K311)))</x:f>
      </x:c>
      <x:c r="M311" s="15"/>
      <x:c r="N311" s="17" t="str">
        <x:f>IF(OR(B311="",D311&lt;&gt;"pagada",NOT(ISNUMBER(J311)),NOT(ISNUMBER(M311))),"",J311-M311)</x:f>
      </x:c>
      <x:c r="O311" s="9"/>
      <x:c r="P311" s="9"/>
      <x:c r="Q311" s="1" t="str">
        <x:f>IF(B311="","",IF(COUNTIFS($B$7:$B$1006,B311,$C$7:$C$1006,C311)&gt;1,"ID duplicado",IF(OR(A311="",C311="",D311="",E311="",F311="",I311="",J311="",K311="",O311=""),"Completar datos",IF(NOT(ISNUMBER(M311)),"Falta costo histórico","Revisar soporte"))))</x:f>
      </x:c>
      <x:c r="R311" s="9" t="n">
        <x:f>IF(B311="",0,IF(AND(D311="pagada",NOT(ISNUMBER(M311))),1,0))</x:f>
        <x:v>0</x:v>
      </x:c>
    </x:row>
    <x:row r="312" ht="22" customHeight="1">
      <x:c r="A312" s="11"/>
      <x:c r="B312" s="9"/>
      <x:c r="C312" s="9"/>
      <x:c r="D312" s="9"/>
      <x:c r="E312" s="9"/>
      <x:c r="F312" s="9"/>
      <x:c r="G312" s="9"/>
      <x:c r="H312" s="9"/>
      <x:c r="I312" s="13"/>
      <x:c r="J312" s="15"/>
      <x:c r="K312" s="15"/>
      <x:c r="L312" s="17" t="str">
        <x:f>IF(B312="","",IF(NOT(AND(ISNUMBER(J312),ISNUMBER(K312))),"",SUM(J312:K312)))</x:f>
      </x:c>
      <x:c r="M312" s="15"/>
      <x:c r="N312" s="17" t="str">
        <x:f>IF(OR(B312="",D312&lt;&gt;"pagada",NOT(ISNUMBER(J312)),NOT(ISNUMBER(M312))),"",J312-M312)</x:f>
      </x:c>
      <x:c r="O312" s="9"/>
      <x:c r="P312" s="9"/>
      <x:c r="Q312" s="1" t="str">
        <x:f>IF(B312="","",IF(COUNTIFS($B$7:$B$1006,B312,$C$7:$C$1006,C312)&gt;1,"ID duplicado",IF(OR(A312="",C312="",D312="",E312="",F312="",I312="",J312="",K312="",O312=""),"Completar datos",IF(NOT(ISNUMBER(M312)),"Falta costo histórico","Revisar soporte"))))</x:f>
      </x:c>
      <x:c r="R312" s="9" t="n">
        <x:f>IF(B312="",0,IF(AND(D312="pagada",NOT(ISNUMBER(M312))),1,0))</x:f>
        <x:v>0</x:v>
      </x:c>
    </x:row>
    <x:row r="313" ht="22" customHeight="1">
      <x:c r="A313" s="11"/>
      <x:c r="B313" s="9"/>
      <x:c r="C313" s="9"/>
      <x:c r="D313" s="9"/>
      <x:c r="E313" s="9"/>
      <x:c r="F313" s="9"/>
      <x:c r="G313" s="9"/>
      <x:c r="H313" s="9"/>
      <x:c r="I313" s="13"/>
      <x:c r="J313" s="15"/>
      <x:c r="K313" s="15"/>
      <x:c r="L313" s="17" t="str">
        <x:f>IF(B313="","",IF(NOT(AND(ISNUMBER(J313),ISNUMBER(K313))),"",SUM(J313:K313)))</x:f>
      </x:c>
      <x:c r="M313" s="15"/>
      <x:c r="N313" s="17" t="str">
        <x:f>IF(OR(B313="",D313&lt;&gt;"pagada",NOT(ISNUMBER(J313)),NOT(ISNUMBER(M313))),"",J313-M313)</x:f>
      </x:c>
      <x:c r="O313" s="9"/>
      <x:c r="P313" s="9"/>
      <x:c r="Q313" s="1" t="str">
        <x:f>IF(B313="","",IF(COUNTIFS($B$7:$B$1006,B313,$C$7:$C$1006,C313)&gt;1,"ID duplicado",IF(OR(A313="",C313="",D313="",E313="",F313="",I313="",J313="",K313="",O313=""),"Completar datos",IF(NOT(ISNUMBER(M313)),"Falta costo histórico","Revisar soporte"))))</x:f>
      </x:c>
      <x:c r="R313" s="9" t="n">
        <x:f>IF(B313="",0,IF(AND(D313="pagada",NOT(ISNUMBER(M313))),1,0))</x:f>
        <x:v>0</x:v>
      </x:c>
    </x:row>
    <x:row r="314" ht="22" customHeight="1">
      <x:c r="A314" s="11"/>
      <x:c r="B314" s="9"/>
      <x:c r="C314" s="9"/>
      <x:c r="D314" s="9"/>
      <x:c r="E314" s="9"/>
      <x:c r="F314" s="9"/>
      <x:c r="G314" s="9"/>
      <x:c r="H314" s="9"/>
      <x:c r="I314" s="13"/>
      <x:c r="J314" s="15"/>
      <x:c r="K314" s="15"/>
      <x:c r="L314" s="17" t="str">
        <x:f>IF(B314="","",IF(NOT(AND(ISNUMBER(J314),ISNUMBER(K314))),"",SUM(J314:K314)))</x:f>
      </x:c>
      <x:c r="M314" s="15"/>
      <x:c r="N314" s="17" t="str">
        <x:f>IF(OR(B314="",D314&lt;&gt;"pagada",NOT(ISNUMBER(J314)),NOT(ISNUMBER(M314))),"",J314-M314)</x:f>
      </x:c>
      <x:c r="O314" s="9"/>
      <x:c r="P314" s="9"/>
      <x:c r="Q314" s="1" t="str">
        <x:f>IF(B314="","",IF(COUNTIFS($B$7:$B$1006,B314,$C$7:$C$1006,C314)&gt;1,"ID duplicado",IF(OR(A314="",C314="",D314="",E314="",F314="",I314="",J314="",K314="",O314=""),"Completar datos",IF(NOT(ISNUMBER(M314)),"Falta costo histórico","Revisar soporte"))))</x:f>
      </x:c>
      <x:c r="R314" s="9" t="n">
        <x:f>IF(B314="",0,IF(AND(D314="pagada",NOT(ISNUMBER(M314))),1,0))</x:f>
        <x:v>0</x:v>
      </x:c>
    </x:row>
    <x:row r="315" ht="22" customHeight="1">
      <x:c r="A315" s="11"/>
      <x:c r="B315" s="9"/>
      <x:c r="C315" s="9"/>
      <x:c r="D315" s="9"/>
      <x:c r="E315" s="9"/>
      <x:c r="F315" s="9"/>
      <x:c r="G315" s="9"/>
      <x:c r="H315" s="9"/>
      <x:c r="I315" s="13"/>
      <x:c r="J315" s="15"/>
      <x:c r="K315" s="15"/>
      <x:c r="L315" s="17" t="str">
        <x:f>IF(B315="","",IF(NOT(AND(ISNUMBER(J315),ISNUMBER(K315))),"",SUM(J315:K315)))</x:f>
      </x:c>
      <x:c r="M315" s="15"/>
      <x:c r="N315" s="17" t="str">
        <x:f>IF(OR(B315="",D315&lt;&gt;"pagada",NOT(ISNUMBER(J315)),NOT(ISNUMBER(M315))),"",J315-M315)</x:f>
      </x:c>
      <x:c r="O315" s="9"/>
      <x:c r="P315" s="9"/>
      <x:c r="Q315" s="1" t="str">
        <x:f>IF(B315="","",IF(COUNTIFS($B$7:$B$1006,B315,$C$7:$C$1006,C315)&gt;1,"ID duplicado",IF(OR(A315="",C315="",D315="",E315="",F315="",I315="",J315="",K315="",O315=""),"Completar datos",IF(NOT(ISNUMBER(M315)),"Falta costo histórico","Revisar soporte"))))</x:f>
      </x:c>
      <x:c r="R315" s="9" t="n">
        <x:f>IF(B315="",0,IF(AND(D315="pagada",NOT(ISNUMBER(M315))),1,0))</x:f>
        <x:v>0</x:v>
      </x:c>
    </x:row>
    <x:row r="316" ht="22" customHeight="1">
      <x:c r="A316" s="11"/>
      <x:c r="B316" s="9"/>
      <x:c r="C316" s="9"/>
      <x:c r="D316" s="9"/>
      <x:c r="E316" s="9"/>
      <x:c r="F316" s="9"/>
      <x:c r="G316" s="9"/>
      <x:c r="H316" s="9"/>
      <x:c r="I316" s="13"/>
      <x:c r="J316" s="15"/>
      <x:c r="K316" s="15"/>
      <x:c r="L316" s="17" t="str">
        <x:f>IF(B316="","",IF(NOT(AND(ISNUMBER(J316),ISNUMBER(K316))),"",SUM(J316:K316)))</x:f>
      </x:c>
      <x:c r="M316" s="15"/>
      <x:c r="N316" s="17" t="str">
        <x:f>IF(OR(B316="",D316&lt;&gt;"pagada",NOT(ISNUMBER(J316)),NOT(ISNUMBER(M316))),"",J316-M316)</x:f>
      </x:c>
      <x:c r="O316" s="9"/>
      <x:c r="P316" s="9"/>
      <x:c r="Q316" s="1" t="str">
        <x:f>IF(B316="","",IF(COUNTIFS($B$7:$B$1006,B316,$C$7:$C$1006,C316)&gt;1,"ID duplicado",IF(OR(A316="",C316="",D316="",E316="",F316="",I316="",J316="",K316="",O316=""),"Completar datos",IF(NOT(ISNUMBER(M316)),"Falta costo histórico","Revisar soporte"))))</x:f>
      </x:c>
      <x:c r="R316" s="9" t="n">
        <x:f>IF(B316="",0,IF(AND(D316="pagada",NOT(ISNUMBER(M316))),1,0))</x:f>
        <x:v>0</x:v>
      </x:c>
    </x:row>
    <x:row r="317" ht="22" customHeight="1">
      <x:c r="A317" s="11"/>
      <x:c r="B317" s="9"/>
      <x:c r="C317" s="9"/>
      <x:c r="D317" s="9"/>
      <x:c r="E317" s="9"/>
      <x:c r="F317" s="9"/>
      <x:c r="G317" s="9"/>
      <x:c r="H317" s="9"/>
      <x:c r="I317" s="13"/>
      <x:c r="J317" s="15"/>
      <x:c r="K317" s="15"/>
      <x:c r="L317" s="17" t="str">
        <x:f>IF(B317="","",IF(NOT(AND(ISNUMBER(J317),ISNUMBER(K317))),"",SUM(J317:K317)))</x:f>
      </x:c>
      <x:c r="M317" s="15"/>
      <x:c r="N317" s="17" t="str">
        <x:f>IF(OR(B317="",D317&lt;&gt;"pagada",NOT(ISNUMBER(J317)),NOT(ISNUMBER(M317))),"",J317-M317)</x:f>
      </x:c>
      <x:c r="O317" s="9"/>
      <x:c r="P317" s="9"/>
      <x:c r="Q317" s="1" t="str">
        <x:f>IF(B317="","",IF(COUNTIFS($B$7:$B$1006,B317,$C$7:$C$1006,C317)&gt;1,"ID duplicado",IF(OR(A317="",C317="",D317="",E317="",F317="",I317="",J317="",K317="",O317=""),"Completar datos",IF(NOT(ISNUMBER(M317)),"Falta costo histórico","Revisar soporte"))))</x:f>
      </x:c>
      <x:c r="R317" s="9" t="n">
        <x:f>IF(B317="",0,IF(AND(D317="pagada",NOT(ISNUMBER(M317))),1,0))</x:f>
        <x:v>0</x:v>
      </x:c>
    </x:row>
    <x:row r="318" ht="22" customHeight="1">
      <x:c r="A318" s="11"/>
      <x:c r="B318" s="9"/>
      <x:c r="C318" s="9"/>
      <x:c r="D318" s="9"/>
      <x:c r="E318" s="9"/>
      <x:c r="F318" s="9"/>
      <x:c r="G318" s="9"/>
      <x:c r="H318" s="9"/>
      <x:c r="I318" s="13"/>
      <x:c r="J318" s="15"/>
      <x:c r="K318" s="15"/>
      <x:c r="L318" s="17" t="str">
        <x:f>IF(B318="","",IF(NOT(AND(ISNUMBER(J318),ISNUMBER(K318))),"",SUM(J318:K318)))</x:f>
      </x:c>
      <x:c r="M318" s="15"/>
      <x:c r="N318" s="17" t="str">
        <x:f>IF(OR(B318="",D318&lt;&gt;"pagada",NOT(ISNUMBER(J318)),NOT(ISNUMBER(M318))),"",J318-M318)</x:f>
      </x:c>
      <x:c r="O318" s="9"/>
      <x:c r="P318" s="9"/>
      <x:c r="Q318" s="1" t="str">
        <x:f>IF(B318="","",IF(COUNTIFS($B$7:$B$1006,B318,$C$7:$C$1006,C318)&gt;1,"ID duplicado",IF(OR(A318="",C318="",D318="",E318="",F318="",I318="",J318="",K318="",O318=""),"Completar datos",IF(NOT(ISNUMBER(M318)),"Falta costo histórico","Revisar soporte"))))</x:f>
      </x:c>
      <x:c r="R318" s="9" t="n">
        <x:f>IF(B318="",0,IF(AND(D318="pagada",NOT(ISNUMBER(M318))),1,0))</x:f>
        <x:v>0</x:v>
      </x:c>
    </x:row>
    <x:row r="319" ht="22" customHeight="1">
      <x:c r="A319" s="11"/>
      <x:c r="B319" s="9"/>
      <x:c r="C319" s="9"/>
      <x:c r="D319" s="9"/>
      <x:c r="E319" s="9"/>
      <x:c r="F319" s="9"/>
      <x:c r="G319" s="9"/>
      <x:c r="H319" s="9"/>
      <x:c r="I319" s="13"/>
      <x:c r="J319" s="15"/>
      <x:c r="K319" s="15"/>
      <x:c r="L319" s="17" t="str">
        <x:f>IF(B319="","",IF(NOT(AND(ISNUMBER(J319),ISNUMBER(K319))),"",SUM(J319:K319)))</x:f>
      </x:c>
      <x:c r="M319" s="15"/>
      <x:c r="N319" s="17" t="str">
        <x:f>IF(OR(B319="",D319&lt;&gt;"pagada",NOT(ISNUMBER(J319)),NOT(ISNUMBER(M319))),"",J319-M319)</x:f>
      </x:c>
      <x:c r="O319" s="9"/>
      <x:c r="P319" s="9"/>
      <x:c r="Q319" s="1" t="str">
        <x:f>IF(B319="","",IF(COUNTIFS($B$7:$B$1006,B319,$C$7:$C$1006,C319)&gt;1,"ID duplicado",IF(OR(A319="",C319="",D319="",E319="",F319="",I319="",J319="",K319="",O319=""),"Completar datos",IF(NOT(ISNUMBER(M319)),"Falta costo histórico","Revisar soporte"))))</x:f>
      </x:c>
      <x:c r="R319" s="9" t="n">
        <x:f>IF(B319="",0,IF(AND(D319="pagada",NOT(ISNUMBER(M319))),1,0))</x:f>
        <x:v>0</x:v>
      </x:c>
    </x:row>
    <x:row r="320" ht="22" customHeight="1">
      <x:c r="A320" s="11"/>
      <x:c r="B320" s="9"/>
      <x:c r="C320" s="9"/>
      <x:c r="D320" s="9"/>
      <x:c r="E320" s="9"/>
      <x:c r="F320" s="9"/>
      <x:c r="G320" s="9"/>
      <x:c r="H320" s="9"/>
      <x:c r="I320" s="13"/>
      <x:c r="J320" s="15"/>
      <x:c r="K320" s="15"/>
      <x:c r="L320" s="17" t="str">
        <x:f>IF(B320="","",IF(NOT(AND(ISNUMBER(J320),ISNUMBER(K320))),"",SUM(J320:K320)))</x:f>
      </x:c>
      <x:c r="M320" s="15"/>
      <x:c r="N320" s="17" t="str">
        <x:f>IF(OR(B320="",D320&lt;&gt;"pagada",NOT(ISNUMBER(J320)),NOT(ISNUMBER(M320))),"",J320-M320)</x:f>
      </x:c>
      <x:c r="O320" s="9"/>
      <x:c r="P320" s="9"/>
      <x:c r="Q320" s="1" t="str">
        <x:f>IF(B320="","",IF(COUNTIFS($B$7:$B$1006,B320,$C$7:$C$1006,C320)&gt;1,"ID duplicado",IF(OR(A320="",C320="",D320="",E320="",F320="",I320="",J320="",K320="",O320=""),"Completar datos",IF(NOT(ISNUMBER(M320)),"Falta costo histórico","Revisar soporte"))))</x:f>
      </x:c>
      <x:c r="R320" s="9" t="n">
        <x:f>IF(B320="",0,IF(AND(D320="pagada",NOT(ISNUMBER(M320))),1,0))</x:f>
        <x:v>0</x:v>
      </x:c>
    </x:row>
    <x:row r="321" ht="22" customHeight="1">
      <x:c r="A321" s="11"/>
      <x:c r="B321" s="9"/>
      <x:c r="C321" s="9"/>
      <x:c r="D321" s="9"/>
      <x:c r="E321" s="9"/>
      <x:c r="F321" s="9"/>
      <x:c r="G321" s="9"/>
      <x:c r="H321" s="9"/>
      <x:c r="I321" s="13"/>
      <x:c r="J321" s="15"/>
      <x:c r="K321" s="15"/>
      <x:c r="L321" s="17" t="str">
        <x:f>IF(B321="","",IF(NOT(AND(ISNUMBER(J321),ISNUMBER(K321))),"",SUM(J321:K321)))</x:f>
      </x:c>
      <x:c r="M321" s="15"/>
      <x:c r="N321" s="17" t="str">
        <x:f>IF(OR(B321="",D321&lt;&gt;"pagada",NOT(ISNUMBER(J321)),NOT(ISNUMBER(M321))),"",J321-M321)</x:f>
      </x:c>
      <x:c r="O321" s="9"/>
      <x:c r="P321" s="9"/>
      <x:c r="Q321" s="1" t="str">
        <x:f>IF(B321="","",IF(COUNTIFS($B$7:$B$1006,B321,$C$7:$C$1006,C321)&gt;1,"ID duplicado",IF(OR(A321="",C321="",D321="",E321="",F321="",I321="",J321="",K321="",O321=""),"Completar datos",IF(NOT(ISNUMBER(M321)),"Falta costo histórico","Revisar soporte"))))</x:f>
      </x:c>
      <x:c r="R321" s="9" t="n">
        <x:f>IF(B321="",0,IF(AND(D321="pagada",NOT(ISNUMBER(M321))),1,0))</x:f>
        <x:v>0</x:v>
      </x:c>
    </x:row>
    <x:row r="322" ht="22" customHeight="1">
      <x:c r="A322" s="11"/>
      <x:c r="B322" s="9"/>
      <x:c r="C322" s="9"/>
      <x:c r="D322" s="9"/>
      <x:c r="E322" s="9"/>
      <x:c r="F322" s="9"/>
      <x:c r="G322" s="9"/>
      <x:c r="H322" s="9"/>
      <x:c r="I322" s="13"/>
      <x:c r="J322" s="15"/>
      <x:c r="K322" s="15"/>
      <x:c r="L322" s="17" t="str">
        <x:f>IF(B322="","",IF(NOT(AND(ISNUMBER(J322),ISNUMBER(K322))),"",SUM(J322:K322)))</x:f>
      </x:c>
      <x:c r="M322" s="15"/>
      <x:c r="N322" s="17" t="str">
        <x:f>IF(OR(B322="",D322&lt;&gt;"pagada",NOT(ISNUMBER(J322)),NOT(ISNUMBER(M322))),"",J322-M322)</x:f>
      </x:c>
      <x:c r="O322" s="9"/>
      <x:c r="P322" s="9"/>
      <x:c r="Q322" s="1" t="str">
        <x:f>IF(B322="","",IF(COUNTIFS($B$7:$B$1006,B322,$C$7:$C$1006,C322)&gt;1,"ID duplicado",IF(OR(A322="",C322="",D322="",E322="",F322="",I322="",J322="",K322="",O322=""),"Completar datos",IF(NOT(ISNUMBER(M322)),"Falta costo histórico","Revisar soporte"))))</x:f>
      </x:c>
      <x:c r="R322" s="9" t="n">
        <x:f>IF(B322="",0,IF(AND(D322="pagada",NOT(ISNUMBER(M322))),1,0))</x:f>
        <x:v>0</x:v>
      </x:c>
    </x:row>
    <x:row r="323" ht="22" customHeight="1">
      <x:c r="A323" s="11"/>
      <x:c r="B323" s="9"/>
      <x:c r="C323" s="9"/>
      <x:c r="D323" s="9"/>
      <x:c r="E323" s="9"/>
      <x:c r="F323" s="9"/>
      <x:c r="G323" s="9"/>
      <x:c r="H323" s="9"/>
      <x:c r="I323" s="13"/>
      <x:c r="J323" s="15"/>
      <x:c r="K323" s="15"/>
      <x:c r="L323" s="17" t="str">
        <x:f>IF(B323="","",IF(NOT(AND(ISNUMBER(J323),ISNUMBER(K323))),"",SUM(J323:K323)))</x:f>
      </x:c>
      <x:c r="M323" s="15"/>
      <x:c r="N323" s="17" t="str">
        <x:f>IF(OR(B323="",D323&lt;&gt;"pagada",NOT(ISNUMBER(J323)),NOT(ISNUMBER(M323))),"",J323-M323)</x:f>
      </x:c>
      <x:c r="O323" s="9"/>
      <x:c r="P323" s="9"/>
      <x:c r="Q323" s="1" t="str">
        <x:f>IF(B323="","",IF(COUNTIFS($B$7:$B$1006,B323,$C$7:$C$1006,C323)&gt;1,"ID duplicado",IF(OR(A323="",C323="",D323="",E323="",F323="",I323="",J323="",K323="",O323=""),"Completar datos",IF(NOT(ISNUMBER(M323)),"Falta costo histórico","Revisar soporte"))))</x:f>
      </x:c>
      <x:c r="R323" s="9" t="n">
        <x:f>IF(B323="",0,IF(AND(D323="pagada",NOT(ISNUMBER(M323))),1,0))</x:f>
        <x:v>0</x:v>
      </x:c>
    </x:row>
    <x:row r="324" ht="22" customHeight="1">
      <x:c r="A324" s="11"/>
      <x:c r="B324" s="9"/>
      <x:c r="C324" s="9"/>
      <x:c r="D324" s="9"/>
      <x:c r="E324" s="9"/>
      <x:c r="F324" s="9"/>
      <x:c r="G324" s="9"/>
      <x:c r="H324" s="9"/>
      <x:c r="I324" s="13"/>
      <x:c r="J324" s="15"/>
      <x:c r="K324" s="15"/>
      <x:c r="L324" s="17" t="str">
        <x:f>IF(B324="","",IF(NOT(AND(ISNUMBER(J324),ISNUMBER(K324))),"",SUM(J324:K324)))</x:f>
      </x:c>
      <x:c r="M324" s="15"/>
      <x:c r="N324" s="17" t="str">
        <x:f>IF(OR(B324="",D324&lt;&gt;"pagada",NOT(ISNUMBER(J324)),NOT(ISNUMBER(M324))),"",J324-M324)</x:f>
      </x:c>
      <x:c r="O324" s="9"/>
      <x:c r="P324" s="9"/>
      <x:c r="Q324" s="1" t="str">
        <x:f>IF(B324="","",IF(COUNTIFS($B$7:$B$1006,B324,$C$7:$C$1006,C324)&gt;1,"ID duplicado",IF(OR(A324="",C324="",D324="",E324="",F324="",I324="",J324="",K324="",O324=""),"Completar datos",IF(NOT(ISNUMBER(M324)),"Falta costo histórico","Revisar soporte"))))</x:f>
      </x:c>
      <x:c r="R324" s="9" t="n">
        <x:f>IF(B324="",0,IF(AND(D324="pagada",NOT(ISNUMBER(M324))),1,0))</x:f>
        <x:v>0</x:v>
      </x:c>
    </x:row>
    <x:row r="325" ht="22" customHeight="1">
      <x:c r="A325" s="11"/>
      <x:c r="B325" s="9"/>
      <x:c r="C325" s="9"/>
      <x:c r="D325" s="9"/>
      <x:c r="E325" s="9"/>
      <x:c r="F325" s="9"/>
      <x:c r="G325" s="9"/>
      <x:c r="H325" s="9"/>
      <x:c r="I325" s="13"/>
      <x:c r="J325" s="15"/>
      <x:c r="K325" s="15"/>
      <x:c r="L325" s="17" t="str">
        <x:f>IF(B325="","",IF(NOT(AND(ISNUMBER(J325),ISNUMBER(K325))),"",SUM(J325:K325)))</x:f>
      </x:c>
      <x:c r="M325" s="15"/>
      <x:c r="N325" s="17" t="str">
        <x:f>IF(OR(B325="",D325&lt;&gt;"pagada",NOT(ISNUMBER(J325)),NOT(ISNUMBER(M325))),"",J325-M325)</x:f>
      </x:c>
      <x:c r="O325" s="9"/>
      <x:c r="P325" s="9"/>
      <x:c r="Q325" s="1" t="str">
        <x:f>IF(B325="","",IF(COUNTIFS($B$7:$B$1006,B325,$C$7:$C$1006,C325)&gt;1,"ID duplicado",IF(OR(A325="",C325="",D325="",E325="",F325="",I325="",J325="",K325="",O325=""),"Completar datos",IF(NOT(ISNUMBER(M325)),"Falta costo histórico","Revisar soporte"))))</x:f>
      </x:c>
      <x:c r="R325" s="9" t="n">
        <x:f>IF(B325="",0,IF(AND(D325="pagada",NOT(ISNUMBER(M325))),1,0))</x:f>
        <x:v>0</x:v>
      </x:c>
    </x:row>
    <x:row r="326" ht="22" customHeight="1">
      <x:c r="A326" s="11"/>
      <x:c r="B326" s="9"/>
      <x:c r="C326" s="9"/>
      <x:c r="D326" s="9"/>
      <x:c r="E326" s="9"/>
      <x:c r="F326" s="9"/>
      <x:c r="G326" s="9"/>
      <x:c r="H326" s="9"/>
      <x:c r="I326" s="13"/>
      <x:c r="J326" s="15"/>
      <x:c r="K326" s="15"/>
      <x:c r="L326" s="17" t="str">
        <x:f>IF(B326="","",IF(NOT(AND(ISNUMBER(J326),ISNUMBER(K326))),"",SUM(J326:K326)))</x:f>
      </x:c>
      <x:c r="M326" s="15"/>
      <x:c r="N326" s="17" t="str">
        <x:f>IF(OR(B326="",D326&lt;&gt;"pagada",NOT(ISNUMBER(J326)),NOT(ISNUMBER(M326))),"",J326-M326)</x:f>
      </x:c>
      <x:c r="O326" s="9"/>
      <x:c r="P326" s="9"/>
      <x:c r="Q326" s="1" t="str">
        <x:f>IF(B326="","",IF(COUNTIFS($B$7:$B$1006,B326,$C$7:$C$1006,C326)&gt;1,"ID duplicado",IF(OR(A326="",C326="",D326="",E326="",F326="",I326="",J326="",K326="",O326=""),"Completar datos",IF(NOT(ISNUMBER(M326)),"Falta costo histórico","Revisar soporte"))))</x:f>
      </x:c>
      <x:c r="R326" s="9" t="n">
        <x:f>IF(B326="",0,IF(AND(D326="pagada",NOT(ISNUMBER(M326))),1,0))</x:f>
        <x:v>0</x:v>
      </x:c>
    </x:row>
    <x:row r="327" ht="22" customHeight="1">
      <x:c r="A327" s="11"/>
      <x:c r="B327" s="9"/>
      <x:c r="C327" s="9"/>
      <x:c r="D327" s="9"/>
      <x:c r="E327" s="9"/>
      <x:c r="F327" s="9"/>
      <x:c r="G327" s="9"/>
      <x:c r="H327" s="9"/>
      <x:c r="I327" s="13"/>
      <x:c r="J327" s="15"/>
      <x:c r="K327" s="15"/>
      <x:c r="L327" s="17" t="str">
        <x:f>IF(B327="","",IF(NOT(AND(ISNUMBER(J327),ISNUMBER(K327))),"",SUM(J327:K327)))</x:f>
      </x:c>
      <x:c r="M327" s="15"/>
      <x:c r="N327" s="17" t="str">
        <x:f>IF(OR(B327="",D327&lt;&gt;"pagada",NOT(ISNUMBER(J327)),NOT(ISNUMBER(M327))),"",J327-M327)</x:f>
      </x:c>
      <x:c r="O327" s="9"/>
      <x:c r="P327" s="9"/>
      <x:c r="Q327" s="1" t="str">
        <x:f>IF(B327="","",IF(COUNTIFS($B$7:$B$1006,B327,$C$7:$C$1006,C327)&gt;1,"ID duplicado",IF(OR(A327="",C327="",D327="",E327="",F327="",I327="",J327="",K327="",O327=""),"Completar datos",IF(NOT(ISNUMBER(M327)),"Falta costo histórico","Revisar soporte"))))</x:f>
      </x:c>
      <x:c r="R327" s="9" t="n">
        <x:f>IF(B327="",0,IF(AND(D327="pagada",NOT(ISNUMBER(M327))),1,0))</x:f>
        <x:v>0</x:v>
      </x:c>
    </x:row>
    <x:row r="328" ht="22" customHeight="1">
      <x:c r="A328" s="11"/>
      <x:c r="B328" s="9"/>
      <x:c r="C328" s="9"/>
      <x:c r="D328" s="9"/>
      <x:c r="E328" s="9"/>
      <x:c r="F328" s="9"/>
      <x:c r="G328" s="9"/>
      <x:c r="H328" s="9"/>
      <x:c r="I328" s="13"/>
      <x:c r="J328" s="15"/>
      <x:c r="K328" s="15"/>
      <x:c r="L328" s="17" t="str">
        <x:f>IF(B328="","",IF(NOT(AND(ISNUMBER(J328),ISNUMBER(K328))),"",SUM(J328:K328)))</x:f>
      </x:c>
      <x:c r="M328" s="15"/>
      <x:c r="N328" s="17" t="str">
        <x:f>IF(OR(B328="",D328&lt;&gt;"pagada",NOT(ISNUMBER(J328)),NOT(ISNUMBER(M328))),"",J328-M328)</x:f>
      </x:c>
      <x:c r="O328" s="9"/>
      <x:c r="P328" s="9"/>
      <x:c r="Q328" s="1" t="str">
        <x:f>IF(B328="","",IF(COUNTIFS($B$7:$B$1006,B328,$C$7:$C$1006,C328)&gt;1,"ID duplicado",IF(OR(A328="",C328="",D328="",E328="",F328="",I328="",J328="",K328="",O328=""),"Completar datos",IF(NOT(ISNUMBER(M328)),"Falta costo histórico","Revisar soporte"))))</x:f>
      </x:c>
      <x:c r="R328" s="9" t="n">
        <x:f>IF(B328="",0,IF(AND(D328="pagada",NOT(ISNUMBER(M328))),1,0))</x:f>
        <x:v>0</x:v>
      </x:c>
    </x:row>
    <x:row r="329" ht="22" customHeight="1">
      <x:c r="A329" s="11"/>
      <x:c r="B329" s="9"/>
      <x:c r="C329" s="9"/>
      <x:c r="D329" s="9"/>
      <x:c r="E329" s="9"/>
      <x:c r="F329" s="9"/>
      <x:c r="G329" s="9"/>
      <x:c r="H329" s="9"/>
      <x:c r="I329" s="13"/>
      <x:c r="J329" s="15"/>
      <x:c r="K329" s="15"/>
      <x:c r="L329" s="17" t="str">
        <x:f>IF(B329="","",IF(NOT(AND(ISNUMBER(J329),ISNUMBER(K329))),"",SUM(J329:K329)))</x:f>
      </x:c>
      <x:c r="M329" s="15"/>
      <x:c r="N329" s="17" t="str">
        <x:f>IF(OR(B329="",D329&lt;&gt;"pagada",NOT(ISNUMBER(J329)),NOT(ISNUMBER(M329))),"",J329-M329)</x:f>
      </x:c>
      <x:c r="O329" s="9"/>
      <x:c r="P329" s="9"/>
      <x:c r="Q329" s="1" t="str">
        <x:f>IF(B329="","",IF(COUNTIFS($B$7:$B$1006,B329,$C$7:$C$1006,C329)&gt;1,"ID duplicado",IF(OR(A329="",C329="",D329="",E329="",F329="",I329="",J329="",K329="",O329=""),"Completar datos",IF(NOT(ISNUMBER(M329)),"Falta costo histórico","Revisar soporte"))))</x:f>
      </x:c>
      <x:c r="R329" s="9" t="n">
        <x:f>IF(B329="",0,IF(AND(D329="pagada",NOT(ISNUMBER(M329))),1,0))</x:f>
        <x:v>0</x:v>
      </x:c>
    </x:row>
    <x:row r="330" ht="22" customHeight="1">
      <x:c r="A330" s="11"/>
      <x:c r="B330" s="9"/>
      <x:c r="C330" s="9"/>
      <x:c r="D330" s="9"/>
      <x:c r="E330" s="9"/>
      <x:c r="F330" s="9"/>
      <x:c r="G330" s="9"/>
      <x:c r="H330" s="9"/>
      <x:c r="I330" s="13"/>
      <x:c r="J330" s="15"/>
      <x:c r="K330" s="15"/>
      <x:c r="L330" s="17" t="str">
        <x:f>IF(B330="","",IF(NOT(AND(ISNUMBER(J330),ISNUMBER(K330))),"",SUM(J330:K330)))</x:f>
      </x:c>
      <x:c r="M330" s="15"/>
      <x:c r="N330" s="17" t="str">
        <x:f>IF(OR(B330="",D330&lt;&gt;"pagada",NOT(ISNUMBER(J330)),NOT(ISNUMBER(M330))),"",J330-M330)</x:f>
      </x:c>
      <x:c r="O330" s="9"/>
      <x:c r="P330" s="9"/>
      <x:c r="Q330" s="1" t="str">
        <x:f>IF(B330="","",IF(COUNTIFS($B$7:$B$1006,B330,$C$7:$C$1006,C330)&gt;1,"ID duplicado",IF(OR(A330="",C330="",D330="",E330="",F330="",I330="",J330="",K330="",O330=""),"Completar datos",IF(NOT(ISNUMBER(M330)),"Falta costo histórico","Revisar soporte"))))</x:f>
      </x:c>
      <x:c r="R330" s="9" t="n">
        <x:f>IF(B330="",0,IF(AND(D330="pagada",NOT(ISNUMBER(M330))),1,0))</x:f>
        <x:v>0</x:v>
      </x:c>
    </x:row>
    <x:row r="331" ht="22" customHeight="1">
      <x:c r="A331" s="11"/>
      <x:c r="B331" s="9"/>
      <x:c r="C331" s="9"/>
      <x:c r="D331" s="9"/>
      <x:c r="E331" s="9"/>
      <x:c r="F331" s="9"/>
      <x:c r="G331" s="9"/>
      <x:c r="H331" s="9"/>
      <x:c r="I331" s="13"/>
      <x:c r="J331" s="15"/>
      <x:c r="K331" s="15"/>
      <x:c r="L331" s="17" t="str">
        <x:f>IF(B331="","",IF(NOT(AND(ISNUMBER(J331),ISNUMBER(K331))),"",SUM(J331:K331)))</x:f>
      </x:c>
      <x:c r="M331" s="15"/>
      <x:c r="N331" s="17" t="str">
        <x:f>IF(OR(B331="",D331&lt;&gt;"pagada",NOT(ISNUMBER(J331)),NOT(ISNUMBER(M331))),"",J331-M331)</x:f>
      </x:c>
      <x:c r="O331" s="9"/>
      <x:c r="P331" s="9"/>
      <x:c r="Q331" s="1" t="str">
        <x:f>IF(B331="","",IF(COUNTIFS($B$7:$B$1006,B331,$C$7:$C$1006,C331)&gt;1,"ID duplicado",IF(OR(A331="",C331="",D331="",E331="",F331="",I331="",J331="",K331="",O331=""),"Completar datos",IF(NOT(ISNUMBER(M331)),"Falta costo histórico","Revisar soporte"))))</x:f>
      </x:c>
      <x:c r="R331" s="9" t="n">
        <x:f>IF(B331="",0,IF(AND(D331="pagada",NOT(ISNUMBER(M331))),1,0))</x:f>
        <x:v>0</x:v>
      </x:c>
    </x:row>
    <x:row r="332" ht="22" customHeight="1">
      <x:c r="A332" s="11"/>
      <x:c r="B332" s="9"/>
      <x:c r="C332" s="9"/>
      <x:c r="D332" s="9"/>
      <x:c r="E332" s="9"/>
      <x:c r="F332" s="9"/>
      <x:c r="G332" s="9"/>
      <x:c r="H332" s="9"/>
      <x:c r="I332" s="13"/>
      <x:c r="J332" s="15"/>
      <x:c r="K332" s="15"/>
      <x:c r="L332" s="17" t="str">
        <x:f>IF(B332="","",IF(NOT(AND(ISNUMBER(J332),ISNUMBER(K332))),"",SUM(J332:K332)))</x:f>
      </x:c>
      <x:c r="M332" s="15"/>
      <x:c r="N332" s="17" t="str">
        <x:f>IF(OR(B332="",D332&lt;&gt;"pagada",NOT(ISNUMBER(J332)),NOT(ISNUMBER(M332))),"",J332-M332)</x:f>
      </x:c>
      <x:c r="O332" s="9"/>
      <x:c r="P332" s="9"/>
      <x:c r="Q332" s="1" t="str">
        <x:f>IF(B332="","",IF(COUNTIFS($B$7:$B$1006,B332,$C$7:$C$1006,C332)&gt;1,"ID duplicado",IF(OR(A332="",C332="",D332="",E332="",F332="",I332="",J332="",K332="",O332=""),"Completar datos",IF(NOT(ISNUMBER(M332)),"Falta costo histórico","Revisar soporte"))))</x:f>
      </x:c>
      <x:c r="R332" s="9" t="n">
        <x:f>IF(B332="",0,IF(AND(D332="pagada",NOT(ISNUMBER(M332))),1,0))</x:f>
        <x:v>0</x:v>
      </x:c>
    </x:row>
    <x:row r="333" ht="22" customHeight="1">
      <x:c r="A333" s="11"/>
      <x:c r="B333" s="9"/>
      <x:c r="C333" s="9"/>
      <x:c r="D333" s="9"/>
      <x:c r="E333" s="9"/>
      <x:c r="F333" s="9"/>
      <x:c r="G333" s="9"/>
      <x:c r="H333" s="9"/>
      <x:c r="I333" s="13"/>
      <x:c r="J333" s="15"/>
      <x:c r="K333" s="15"/>
      <x:c r="L333" s="17" t="str">
        <x:f>IF(B333="","",IF(NOT(AND(ISNUMBER(J333),ISNUMBER(K333))),"",SUM(J333:K333)))</x:f>
      </x:c>
      <x:c r="M333" s="15"/>
      <x:c r="N333" s="17" t="str">
        <x:f>IF(OR(B333="",D333&lt;&gt;"pagada",NOT(ISNUMBER(J333)),NOT(ISNUMBER(M333))),"",J333-M333)</x:f>
      </x:c>
      <x:c r="O333" s="9"/>
      <x:c r="P333" s="9"/>
      <x:c r="Q333" s="1" t="str">
        <x:f>IF(B333="","",IF(COUNTIFS($B$7:$B$1006,B333,$C$7:$C$1006,C333)&gt;1,"ID duplicado",IF(OR(A333="",C333="",D333="",E333="",F333="",I333="",J333="",K333="",O333=""),"Completar datos",IF(NOT(ISNUMBER(M333)),"Falta costo histórico","Revisar soporte"))))</x:f>
      </x:c>
      <x:c r="R333" s="9" t="n">
        <x:f>IF(B333="",0,IF(AND(D333="pagada",NOT(ISNUMBER(M333))),1,0))</x:f>
        <x:v>0</x:v>
      </x:c>
    </x:row>
    <x:row r="334" ht="22" customHeight="1">
      <x:c r="A334" s="11"/>
      <x:c r="B334" s="9"/>
      <x:c r="C334" s="9"/>
      <x:c r="D334" s="9"/>
      <x:c r="E334" s="9"/>
      <x:c r="F334" s="9"/>
      <x:c r="G334" s="9"/>
      <x:c r="H334" s="9"/>
      <x:c r="I334" s="13"/>
      <x:c r="J334" s="15"/>
      <x:c r="K334" s="15"/>
      <x:c r="L334" s="17" t="str">
        <x:f>IF(B334="","",IF(NOT(AND(ISNUMBER(J334),ISNUMBER(K334))),"",SUM(J334:K334)))</x:f>
      </x:c>
      <x:c r="M334" s="15"/>
      <x:c r="N334" s="17" t="str">
        <x:f>IF(OR(B334="",D334&lt;&gt;"pagada",NOT(ISNUMBER(J334)),NOT(ISNUMBER(M334))),"",J334-M334)</x:f>
      </x:c>
      <x:c r="O334" s="9"/>
      <x:c r="P334" s="9"/>
      <x:c r="Q334" s="1" t="str">
        <x:f>IF(B334="","",IF(COUNTIFS($B$7:$B$1006,B334,$C$7:$C$1006,C334)&gt;1,"ID duplicado",IF(OR(A334="",C334="",D334="",E334="",F334="",I334="",J334="",K334="",O334=""),"Completar datos",IF(NOT(ISNUMBER(M334)),"Falta costo histórico","Revisar soporte"))))</x:f>
      </x:c>
      <x:c r="R334" s="9" t="n">
        <x:f>IF(B334="",0,IF(AND(D334="pagada",NOT(ISNUMBER(M334))),1,0))</x:f>
        <x:v>0</x:v>
      </x:c>
    </x:row>
    <x:row r="335" ht="22" customHeight="1">
      <x:c r="A335" s="11"/>
      <x:c r="B335" s="9"/>
      <x:c r="C335" s="9"/>
      <x:c r="D335" s="9"/>
      <x:c r="E335" s="9"/>
      <x:c r="F335" s="9"/>
      <x:c r="G335" s="9"/>
      <x:c r="H335" s="9"/>
      <x:c r="I335" s="13"/>
      <x:c r="J335" s="15"/>
      <x:c r="K335" s="15"/>
      <x:c r="L335" s="17" t="str">
        <x:f>IF(B335="","",IF(NOT(AND(ISNUMBER(J335),ISNUMBER(K335))),"",SUM(J335:K335)))</x:f>
      </x:c>
      <x:c r="M335" s="15"/>
      <x:c r="N335" s="17" t="str">
        <x:f>IF(OR(B335="",D335&lt;&gt;"pagada",NOT(ISNUMBER(J335)),NOT(ISNUMBER(M335))),"",J335-M335)</x:f>
      </x:c>
      <x:c r="O335" s="9"/>
      <x:c r="P335" s="9"/>
      <x:c r="Q335" s="1" t="str">
        <x:f>IF(B335="","",IF(COUNTIFS($B$7:$B$1006,B335,$C$7:$C$1006,C335)&gt;1,"ID duplicado",IF(OR(A335="",C335="",D335="",E335="",F335="",I335="",J335="",K335="",O335=""),"Completar datos",IF(NOT(ISNUMBER(M335)),"Falta costo histórico","Revisar soporte"))))</x:f>
      </x:c>
      <x:c r="R335" s="9" t="n">
        <x:f>IF(B335="",0,IF(AND(D335="pagada",NOT(ISNUMBER(M335))),1,0))</x:f>
        <x:v>0</x:v>
      </x:c>
    </x:row>
    <x:row r="336" ht="22" customHeight="1">
      <x:c r="A336" s="11"/>
      <x:c r="B336" s="9"/>
      <x:c r="C336" s="9"/>
      <x:c r="D336" s="9"/>
      <x:c r="E336" s="9"/>
      <x:c r="F336" s="9"/>
      <x:c r="G336" s="9"/>
      <x:c r="H336" s="9"/>
      <x:c r="I336" s="13"/>
      <x:c r="J336" s="15"/>
      <x:c r="K336" s="15"/>
      <x:c r="L336" s="17" t="str">
        <x:f>IF(B336="","",IF(NOT(AND(ISNUMBER(J336),ISNUMBER(K336))),"",SUM(J336:K336)))</x:f>
      </x:c>
      <x:c r="M336" s="15"/>
      <x:c r="N336" s="17" t="str">
        <x:f>IF(OR(B336="",D336&lt;&gt;"pagada",NOT(ISNUMBER(J336)),NOT(ISNUMBER(M336))),"",J336-M336)</x:f>
      </x:c>
      <x:c r="O336" s="9"/>
      <x:c r="P336" s="9"/>
      <x:c r="Q336" s="1" t="str">
        <x:f>IF(B336="","",IF(COUNTIFS($B$7:$B$1006,B336,$C$7:$C$1006,C336)&gt;1,"ID duplicado",IF(OR(A336="",C336="",D336="",E336="",F336="",I336="",J336="",K336="",O336=""),"Completar datos",IF(NOT(ISNUMBER(M336)),"Falta costo histórico","Revisar soporte"))))</x:f>
      </x:c>
      <x:c r="R336" s="9" t="n">
        <x:f>IF(B336="",0,IF(AND(D336="pagada",NOT(ISNUMBER(M336))),1,0))</x:f>
        <x:v>0</x:v>
      </x:c>
    </x:row>
    <x:row r="337" ht="22" customHeight="1">
      <x:c r="A337" s="11"/>
      <x:c r="B337" s="9"/>
      <x:c r="C337" s="9"/>
      <x:c r="D337" s="9"/>
      <x:c r="E337" s="9"/>
      <x:c r="F337" s="9"/>
      <x:c r="G337" s="9"/>
      <x:c r="H337" s="9"/>
      <x:c r="I337" s="13"/>
      <x:c r="J337" s="15"/>
      <x:c r="K337" s="15"/>
      <x:c r="L337" s="17" t="str">
        <x:f>IF(B337="","",IF(NOT(AND(ISNUMBER(J337),ISNUMBER(K337))),"",SUM(J337:K337)))</x:f>
      </x:c>
      <x:c r="M337" s="15"/>
      <x:c r="N337" s="17" t="str">
        <x:f>IF(OR(B337="",D337&lt;&gt;"pagada",NOT(ISNUMBER(J337)),NOT(ISNUMBER(M337))),"",J337-M337)</x:f>
      </x:c>
      <x:c r="O337" s="9"/>
      <x:c r="P337" s="9"/>
      <x:c r="Q337" s="1" t="str">
        <x:f>IF(B337="","",IF(COUNTIFS($B$7:$B$1006,B337,$C$7:$C$1006,C337)&gt;1,"ID duplicado",IF(OR(A337="",C337="",D337="",E337="",F337="",I337="",J337="",K337="",O337=""),"Completar datos",IF(NOT(ISNUMBER(M337)),"Falta costo histórico","Revisar soporte"))))</x:f>
      </x:c>
      <x:c r="R337" s="9" t="n">
        <x:f>IF(B337="",0,IF(AND(D337="pagada",NOT(ISNUMBER(M337))),1,0))</x:f>
        <x:v>0</x:v>
      </x:c>
    </x:row>
    <x:row r="338" ht="22" customHeight="1">
      <x:c r="A338" s="11"/>
      <x:c r="B338" s="9"/>
      <x:c r="C338" s="9"/>
      <x:c r="D338" s="9"/>
      <x:c r="E338" s="9"/>
      <x:c r="F338" s="9"/>
      <x:c r="G338" s="9"/>
      <x:c r="H338" s="9"/>
      <x:c r="I338" s="13"/>
      <x:c r="J338" s="15"/>
      <x:c r="K338" s="15"/>
      <x:c r="L338" s="17" t="str">
        <x:f>IF(B338="","",IF(NOT(AND(ISNUMBER(J338),ISNUMBER(K338))),"",SUM(J338:K338)))</x:f>
      </x:c>
      <x:c r="M338" s="15"/>
      <x:c r="N338" s="17" t="str">
        <x:f>IF(OR(B338="",D338&lt;&gt;"pagada",NOT(ISNUMBER(J338)),NOT(ISNUMBER(M338))),"",J338-M338)</x:f>
      </x:c>
      <x:c r="O338" s="9"/>
      <x:c r="P338" s="9"/>
      <x:c r="Q338" s="1" t="str">
        <x:f>IF(B338="","",IF(COUNTIFS($B$7:$B$1006,B338,$C$7:$C$1006,C338)&gt;1,"ID duplicado",IF(OR(A338="",C338="",D338="",E338="",F338="",I338="",J338="",K338="",O338=""),"Completar datos",IF(NOT(ISNUMBER(M338)),"Falta costo histórico","Revisar soporte"))))</x:f>
      </x:c>
      <x:c r="R338" s="9" t="n">
        <x:f>IF(B338="",0,IF(AND(D338="pagada",NOT(ISNUMBER(M338))),1,0))</x:f>
        <x:v>0</x:v>
      </x:c>
    </x:row>
    <x:row r="339" ht="22" customHeight="1">
      <x:c r="A339" s="11"/>
      <x:c r="B339" s="9"/>
      <x:c r="C339" s="9"/>
      <x:c r="D339" s="9"/>
      <x:c r="E339" s="9"/>
      <x:c r="F339" s="9"/>
      <x:c r="G339" s="9"/>
      <x:c r="H339" s="9"/>
      <x:c r="I339" s="13"/>
      <x:c r="J339" s="15"/>
      <x:c r="K339" s="15"/>
      <x:c r="L339" s="17" t="str">
        <x:f>IF(B339="","",IF(NOT(AND(ISNUMBER(J339),ISNUMBER(K339))),"",SUM(J339:K339)))</x:f>
      </x:c>
      <x:c r="M339" s="15"/>
      <x:c r="N339" s="17" t="str">
        <x:f>IF(OR(B339="",D339&lt;&gt;"pagada",NOT(ISNUMBER(J339)),NOT(ISNUMBER(M339))),"",J339-M339)</x:f>
      </x:c>
      <x:c r="O339" s="9"/>
      <x:c r="P339" s="9"/>
      <x:c r="Q339" s="1" t="str">
        <x:f>IF(B339="","",IF(COUNTIFS($B$7:$B$1006,B339,$C$7:$C$1006,C339)&gt;1,"ID duplicado",IF(OR(A339="",C339="",D339="",E339="",F339="",I339="",J339="",K339="",O339=""),"Completar datos",IF(NOT(ISNUMBER(M339)),"Falta costo histórico","Revisar soporte"))))</x:f>
      </x:c>
      <x:c r="R339" s="9" t="n">
        <x:f>IF(B339="",0,IF(AND(D339="pagada",NOT(ISNUMBER(M339))),1,0))</x:f>
        <x:v>0</x:v>
      </x:c>
    </x:row>
    <x:row r="340" ht="22" customHeight="1">
      <x:c r="A340" s="11"/>
      <x:c r="B340" s="9"/>
      <x:c r="C340" s="9"/>
      <x:c r="D340" s="9"/>
      <x:c r="E340" s="9"/>
      <x:c r="F340" s="9"/>
      <x:c r="G340" s="9"/>
      <x:c r="H340" s="9"/>
      <x:c r="I340" s="13"/>
      <x:c r="J340" s="15"/>
      <x:c r="K340" s="15"/>
      <x:c r="L340" s="17" t="str">
        <x:f>IF(B340="","",IF(NOT(AND(ISNUMBER(J340),ISNUMBER(K340))),"",SUM(J340:K340)))</x:f>
      </x:c>
      <x:c r="M340" s="15"/>
      <x:c r="N340" s="17" t="str">
        <x:f>IF(OR(B340="",D340&lt;&gt;"pagada",NOT(ISNUMBER(J340)),NOT(ISNUMBER(M340))),"",J340-M340)</x:f>
      </x:c>
      <x:c r="O340" s="9"/>
      <x:c r="P340" s="9"/>
      <x:c r="Q340" s="1" t="str">
        <x:f>IF(B340="","",IF(COUNTIFS($B$7:$B$1006,B340,$C$7:$C$1006,C340)&gt;1,"ID duplicado",IF(OR(A340="",C340="",D340="",E340="",F340="",I340="",J340="",K340="",O340=""),"Completar datos",IF(NOT(ISNUMBER(M340)),"Falta costo histórico","Revisar soporte"))))</x:f>
      </x:c>
      <x:c r="R340" s="9" t="n">
        <x:f>IF(B340="",0,IF(AND(D340="pagada",NOT(ISNUMBER(M340))),1,0))</x:f>
        <x:v>0</x:v>
      </x:c>
    </x:row>
    <x:row r="341" ht="22" customHeight="1">
      <x:c r="A341" s="11"/>
      <x:c r="B341" s="9"/>
      <x:c r="C341" s="9"/>
      <x:c r="D341" s="9"/>
      <x:c r="E341" s="9"/>
      <x:c r="F341" s="9"/>
      <x:c r="G341" s="9"/>
      <x:c r="H341" s="9"/>
      <x:c r="I341" s="13"/>
      <x:c r="J341" s="15"/>
      <x:c r="K341" s="15"/>
      <x:c r="L341" s="17" t="str">
        <x:f>IF(B341="","",IF(NOT(AND(ISNUMBER(J341),ISNUMBER(K341))),"",SUM(J341:K341)))</x:f>
      </x:c>
      <x:c r="M341" s="15"/>
      <x:c r="N341" s="17" t="str">
        <x:f>IF(OR(B341="",D341&lt;&gt;"pagada",NOT(ISNUMBER(J341)),NOT(ISNUMBER(M341))),"",J341-M341)</x:f>
      </x:c>
      <x:c r="O341" s="9"/>
      <x:c r="P341" s="9"/>
      <x:c r="Q341" s="1" t="str">
        <x:f>IF(B341="","",IF(COUNTIFS($B$7:$B$1006,B341,$C$7:$C$1006,C341)&gt;1,"ID duplicado",IF(OR(A341="",C341="",D341="",E341="",F341="",I341="",J341="",K341="",O341=""),"Completar datos",IF(NOT(ISNUMBER(M341)),"Falta costo histórico","Revisar soporte"))))</x:f>
      </x:c>
      <x:c r="R341" s="9" t="n">
        <x:f>IF(B341="",0,IF(AND(D341="pagada",NOT(ISNUMBER(M341))),1,0))</x:f>
        <x:v>0</x:v>
      </x:c>
    </x:row>
    <x:row r="342" ht="22" customHeight="1">
      <x:c r="A342" s="11"/>
      <x:c r="B342" s="9"/>
      <x:c r="C342" s="9"/>
      <x:c r="D342" s="9"/>
      <x:c r="E342" s="9"/>
      <x:c r="F342" s="9"/>
      <x:c r="G342" s="9"/>
      <x:c r="H342" s="9"/>
      <x:c r="I342" s="13"/>
      <x:c r="J342" s="15"/>
      <x:c r="K342" s="15"/>
      <x:c r="L342" s="17" t="str">
        <x:f>IF(B342="","",IF(NOT(AND(ISNUMBER(J342),ISNUMBER(K342))),"",SUM(J342:K342)))</x:f>
      </x:c>
      <x:c r="M342" s="15"/>
      <x:c r="N342" s="17" t="str">
        <x:f>IF(OR(B342="",D342&lt;&gt;"pagada",NOT(ISNUMBER(J342)),NOT(ISNUMBER(M342))),"",J342-M342)</x:f>
      </x:c>
      <x:c r="O342" s="9"/>
      <x:c r="P342" s="9"/>
      <x:c r="Q342" s="1" t="str">
        <x:f>IF(B342="","",IF(COUNTIFS($B$7:$B$1006,B342,$C$7:$C$1006,C342)&gt;1,"ID duplicado",IF(OR(A342="",C342="",D342="",E342="",F342="",I342="",J342="",K342="",O342=""),"Completar datos",IF(NOT(ISNUMBER(M342)),"Falta costo histórico","Revisar soporte"))))</x:f>
      </x:c>
      <x:c r="R342" s="9" t="n">
        <x:f>IF(B342="",0,IF(AND(D342="pagada",NOT(ISNUMBER(M342))),1,0))</x:f>
        <x:v>0</x:v>
      </x:c>
    </x:row>
    <x:row r="343" ht="22" customHeight="1">
      <x:c r="A343" s="11"/>
      <x:c r="B343" s="9"/>
      <x:c r="C343" s="9"/>
      <x:c r="D343" s="9"/>
      <x:c r="E343" s="9"/>
      <x:c r="F343" s="9"/>
      <x:c r="G343" s="9"/>
      <x:c r="H343" s="9"/>
      <x:c r="I343" s="13"/>
      <x:c r="J343" s="15"/>
      <x:c r="K343" s="15"/>
      <x:c r="L343" s="17" t="str">
        <x:f>IF(B343="","",IF(NOT(AND(ISNUMBER(J343),ISNUMBER(K343))),"",SUM(J343:K343)))</x:f>
      </x:c>
      <x:c r="M343" s="15"/>
      <x:c r="N343" s="17" t="str">
        <x:f>IF(OR(B343="",D343&lt;&gt;"pagada",NOT(ISNUMBER(J343)),NOT(ISNUMBER(M343))),"",J343-M343)</x:f>
      </x:c>
      <x:c r="O343" s="9"/>
      <x:c r="P343" s="9"/>
      <x:c r="Q343" s="1" t="str">
        <x:f>IF(B343="","",IF(COUNTIFS($B$7:$B$1006,B343,$C$7:$C$1006,C343)&gt;1,"ID duplicado",IF(OR(A343="",C343="",D343="",E343="",F343="",I343="",J343="",K343="",O343=""),"Completar datos",IF(NOT(ISNUMBER(M343)),"Falta costo histórico","Revisar soporte"))))</x:f>
      </x:c>
      <x:c r="R343" s="9" t="n">
        <x:f>IF(B343="",0,IF(AND(D343="pagada",NOT(ISNUMBER(M343))),1,0))</x:f>
        <x:v>0</x:v>
      </x:c>
    </x:row>
    <x:row r="344" ht="22" customHeight="1">
      <x:c r="A344" s="11"/>
      <x:c r="B344" s="9"/>
      <x:c r="C344" s="9"/>
      <x:c r="D344" s="9"/>
      <x:c r="E344" s="9"/>
      <x:c r="F344" s="9"/>
      <x:c r="G344" s="9"/>
      <x:c r="H344" s="9"/>
      <x:c r="I344" s="13"/>
      <x:c r="J344" s="15"/>
      <x:c r="K344" s="15"/>
      <x:c r="L344" s="17" t="str">
        <x:f>IF(B344="","",IF(NOT(AND(ISNUMBER(J344),ISNUMBER(K344))),"",SUM(J344:K344)))</x:f>
      </x:c>
      <x:c r="M344" s="15"/>
      <x:c r="N344" s="17" t="str">
        <x:f>IF(OR(B344="",D344&lt;&gt;"pagada",NOT(ISNUMBER(J344)),NOT(ISNUMBER(M344))),"",J344-M344)</x:f>
      </x:c>
      <x:c r="O344" s="9"/>
      <x:c r="P344" s="9"/>
      <x:c r="Q344" s="1" t="str">
        <x:f>IF(B344="","",IF(COUNTIFS($B$7:$B$1006,B344,$C$7:$C$1006,C344)&gt;1,"ID duplicado",IF(OR(A344="",C344="",D344="",E344="",F344="",I344="",J344="",K344="",O344=""),"Completar datos",IF(NOT(ISNUMBER(M344)),"Falta costo histórico","Revisar soporte"))))</x:f>
      </x:c>
      <x:c r="R344" s="9" t="n">
        <x:f>IF(B344="",0,IF(AND(D344="pagada",NOT(ISNUMBER(M344))),1,0))</x:f>
        <x:v>0</x:v>
      </x:c>
    </x:row>
    <x:row r="345" ht="22" customHeight="1">
      <x:c r="A345" s="11"/>
      <x:c r="B345" s="9"/>
      <x:c r="C345" s="9"/>
      <x:c r="D345" s="9"/>
      <x:c r="E345" s="9"/>
      <x:c r="F345" s="9"/>
      <x:c r="G345" s="9"/>
      <x:c r="H345" s="9"/>
      <x:c r="I345" s="13"/>
      <x:c r="J345" s="15"/>
      <x:c r="K345" s="15"/>
      <x:c r="L345" s="17" t="str">
        <x:f>IF(B345="","",IF(NOT(AND(ISNUMBER(J345),ISNUMBER(K345))),"",SUM(J345:K345)))</x:f>
      </x:c>
      <x:c r="M345" s="15"/>
      <x:c r="N345" s="17" t="str">
        <x:f>IF(OR(B345="",D345&lt;&gt;"pagada",NOT(ISNUMBER(J345)),NOT(ISNUMBER(M345))),"",J345-M345)</x:f>
      </x:c>
      <x:c r="O345" s="9"/>
      <x:c r="P345" s="9"/>
      <x:c r="Q345" s="1" t="str">
        <x:f>IF(B345="","",IF(COUNTIFS($B$7:$B$1006,B345,$C$7:$C$1006,C345)&gt;1,"ID duplicado",IF(OR(A345="",C345="",D345="",E345="",F345="",I345="",J345="",K345="",O345=""),"Completar datos",IF(NOT(ISNUMBER(M345)),"Falta costo histórico","Revisar soporte"))))</x:f>
      </x:c>
      <x:c r="R345" s="9" t="n">
        <x:f>IF(B345="",0,IF(AND(D345="pagada",NOT(ISNUMBER(M345))),1,0))</x:f>
        <x:v>0</x:v>
      </x:c>
    </x:row>
    <x:row r="346" ht="22" customHeight="1">
      <x:c r="A346" s="11"/>
      <x:c r="B346" s="9"/>
      <x:c r="C346" s="9"/>
      <x:c r="D346" s="9"/>
      <x:c r="E346" s="9"/>
      <x:c r="F346" s="9"/>
      <x:c r="G346" s="9"/>
      <x:c r="H346" s="9"/>
      <x:c r="I346" s="13"/>
      <x:c r="J346" s="15"/>
      <x:c r="K346" s="15"/>
      <x:c r="L346" s="17" t="str">
        <x:f>IF(B346="","",IF(NOT(AND(ISNUMBER(J346),ISNUMBER(K346))),"",SUM(J346:K346)))</x:f>
      </x:c>
      <x:c r="M346" s="15"/>
      <x:c r="N346" s="17" t="str">
        <x:f>IF(OR(B346="",D346&lt;&gt;"pagada",NOT(ISNUMBER(J346)),NOT(ISNUMBER(M346))),"",J346-M346)</x:f>
      </x:c>
      <x:c r="O346" s="9"/>
      <x:c r="P346" s="9"/>
      <x:c r="Q346" s="1" t="str">
        <x:f>IF(B346="","",IF(COUNTIFS($B$7:$B$1006,B346,$C$7:$C$1006,C346)&gt;1,"ID duplicado",IF(OR(A346="",C346="",D346="",E346="",F346="",I346="",J346="",K346="",O346=""),"Completar datos",IF(NOT(ISNUMBER(M346)),"Falta costo histórico","Revisar soporte"))))</x:f>
      </x:c>
      <x:c r="R346" s="9" t="n">
        <x:f>IF(B346="",0,IF(AND(D346="pagada",NOT(ISNUMBER(M346))),1,0))</x:f>
        <x:v>0</x:v>
      </x:c>
    </x:row>
    <x:row r="347" ht="22" customHeight="1">
      <x:c r="A347" s="11"/>
      <x:c r="B347" s="9"/>
      <x:c r="C347" s="9"/>
      <x:c r="D347" s="9"/>
      <x:c r="E347" s="9"/>
      <x:c r="F347" s="9"/>
      <x:c r="G347" s="9"/>
      <x:c r="H347" s="9"/>
      <x:c r="I347" s="13"/>
      <x:c r="J347" s="15"/>
      <x:c r="K347" s="15"/>
      <x:c r="L347" s="17" t="str">
        <x:f>IF(B347="","",IF(NOT(AND(ISNUMBER(J347),ISNUMBER(K347))),"",SUM(J347:K347)))</x:f>
      </x:c>
      <x:c r="M347" s="15"/>
      <x:c r="N347" s="17" t="str">
        <x:f>IF(OR(B347="",D347&lt;&gt;"pagada",NOT(ISNUMBER(J347)),NOT(ISNUMBER(M347))),"",J347-M347)</x:f>
      </x:c>
      <x:c r="O347" s="9"/>
      <x:c r="P347" s="9"/>
      <x:c r="Q347" s="1" t="str">
        <x:f>IF(B347="","",IF(COUNTIFS($B$7:$B$1006,B347,$C$7:$C$1006,C347)&gt;1,"ID duplicado",IF(OR(A347="",C347="",D347="",E347="",F347="",I347="",J347="",K347="",O347=""),"Completar datos",IF(NOT(ISNUMBER(M347)),"Falta costo histórico","Revisar soporte"))))</x:f>
      </x:c>
      <x:c r="R347" s="9" t="n">
        <x:f>IF(B347="",0,IF(AND(D347="pagada",NOT(ISNUMBER(M347))),1,0))</x:f>
        <x:v>0</x:v>
      </x:c>
    </x:row>
    <x:row r="348" ht="22" customHeight="1">
      <x:c r="A348" s="11"/>
      <x:c r="B348" s="9"/>
      <x:c r="C348" s="9"/>
      <x:c r="D348" s="9"/>
      <x:c r="E348" s="9"/>
      <x:c r="F348" s="9"/>
      <x:c r="G348" s="9"/>
      <x:c r="H348" s="9"/>
      <x:c r="I348" s="13"/>
      <x:c r="J348" s="15"/>
      <x:c r="K348" s="15"/>
      <x:c r="L348" s="17" t="str">
        <x:f>IF(B348="","",IF(NOT(AND(ISNUMBER(J348),ISNUMBER(K348))),"",SUM(J348:K348)))</x:f>
      </x:c>
      <x:c r="M348" s="15"/>
      <x:c r="N348" s="17" t="str">
        <x:f>IF(OR(B348="",D348&lt;&gt;"pagada",NOT(ISNUMBER(J348)),NOT(ISNUMBER(M348))),"",J348-M348)</x:f>
      </x:c>
      <x:c r="O348" s="9"/>
      <x:c r="P348" s="9"/>
      <x:c r="Q348" s="1" t="str">
        <x:f>IF(B348="","",IF(COUNTIFS($B$7:$B$1006,B348,$C$7:$C$1006,C348)&gt;1,"ID duplicado",IF(OR(A348="",C348="",D348="",E348="",F348="",I348="",J348="",K348="",O348=""),"Completar datos",IF(NOT(ISNUMBER(M348)),"Falta costo histórico","Revisar soporte"))))</x:f>
      </x:c>
      <x:c r="R348" s="9" t="n">
        <x:f>IF(B348="",0,IF(AND(D348="pagada",NOT(ISNUMBER(M348))),1,0))</x:f>
        <x:v>0</x:v>
      </x:c>
    </x:row>
    <x:row r="349" ht="22" customHeight="1">
      <x:c r="A349" s="11"/>
      <x:c r="B349" s="9"/>
      <x:c r="C349" s="9"/>
      <x:c r="D349" s="9"/>
      <x:c r="E349" s="9"/>
      <x:c r="F349" s="9"/>
      <x:c r="G349" s="9"/>
      <x:c r="H349" s="9"/>
      <x:c r="I349" s="13"/>
      <x:c r="J349" s="15"/>
      <x:c r="K349" s="15"/>
      <x:c r="L349" s="17" t="str">
        <x:f>IF(B349="","",IF(NOT(AND(ISNUMBER(J349),ISNUMBER(K349))),"",SUM(J349:K349)))</x:f>
      </x:c>
      <x:c r="M349" s="15"/>
      <x:c r="N349" s="17" t="str">
        <x:f>IF(OR(B349="",D349&lt;&gt;"pagada",NOT(ISNUMBER(J349)),NOT(ISNUMBER(M349))),"",J349-M349)</x:f>
      </x:c>
      <x:c r="O349" s="9"/>
      <x:c r="P349" s="9"/>
      <x:c r="Q349" s="1" t="str">
        <x:f>IF(B349="","",IF(COUNTIFS($B$7:$B$1006,B349,$C$7:$C$1006,C349)&gt;1,"ID duplicado",IF(OR(A349="",C349="",D349="",E349="",F349="",I349="",J349="",K349="",O349=""),"Completar datos",IF(NOT(ISNUMBER(M349)),"Falta costo histórico","Revisar soporte"))))</x:f>
      </x:c>
      <x:c r="R349" s="9" t="n">
        <x:f>IF(B349="",0,IF(AND(D349="pagada",NOT(ISNUMBER(M349))),1,0))</x:f>
        <x:v>0</x:v>
      </x:c>
    </x:row>
    <x:row r="350" ht="22" customHeight="1">
      <x:c r="A350" s="11"/>
      <x:c r="B350" s="9"/>
      <x:c r="C350" s="9"/>
      <x:c r="D350" s="9"/>
      <x:c r="E350" s="9"/>
      <x:c r="F350" s="9"/>
      <x:c r="G350" s="9"/>
      <x:c r="H350" s="9"/>
      <x:c r="I350" s="13"/>
      <x:c r="J350" s="15"/>
      <x:c r="K350" s="15"/>
      <x:c r="L350" s="17" t="str">
        <x:f>IF(B350="","",IF(NOT(AND(ISNUMBER(J350),ISNUMBER(K350))),"",SUM(J350:K350)))</x:f>
      </x:c>
      <x:c r="M350" s="15"/>
      <x:c r="N350" s="17" t="str">
        <x:f>IF(OR(B350="",D350&lt;&gt;"pagada",NOT(ISNUMBER(J350)),NOT(ISNUMBER(M350))),"",J350-M350)</x:f>
      </x:c>
      <x:c r="O350" s="9"/>
      <x:c r="P350" s="9"/>
      <x:c r="Q350" s="1" t="str">
        <x:f>IF(B350="","",IF(COUNTIFS($B$7:$B$1006,B350,$C$7:$C$1006,C350)&gt;1,"ID duplicado",IF(OR(A350="",C350="",D350="",E350="",F350="",I350="",J350="",K350="",O350=""),"Completar datos",IF(NOT(ISNUMBER(M350)),"Falta costo histórico","Revisar soporte"))))</x:f>
      </x:c>
      <x:c r="R350" s="9" t="n">
        <x:f>IF(B350="",0,IF(AND(D350="pagada",NOT(ISNUMBER(M350))),1,0))</x:f>
        <x:v>0</x:v>
      </x:c>
    </x:row>
    <x:row r="351" ht="22" customHeight="1">
      <x:c r="A351" s="11"/>
      <x:c r="B351" s="9"/>
      <x:c r="C351" s="9"/>
      <x:c r="D351" s="9"/>
      <x:c r="E351" s="9"/>
      <x:c r="F351" s="9"/>
      <x:c r="G351" s="9"/>
      <x:c r="H351" s="9"/>
      <x:c r="I351" s="13"/>
      <x:c r="J351" s="15"/>
      <x:c r="K351" s="15"/>
      <x:c r="L351" s="17" t="str">
        <x:f>IF(B351="","",IF(NOT(AND(ISNUMBER(J351),ISNUMBER(K351))),"",SUM(J351:K351)))</x:f>
      </x:c>
      <x:c r="M351" s="15"/>
      <x:c r="N351" s="17" t="str">
        <x:f>IF(OR(B351="",D351&lt;&gt;"pagada",NOT(ISNUMBER(J351)),NOT(ISNUMBER(M351))),"",J351-M351)</x:f>
      </x:c>
      <x:c r="O351" s="9"/>
      <x:c r="P351" s="9"/>
      <x:c r="Q351" s="1" t="str">
        <x:f>IF(B351="","",IF(COUNTIFS($B$7:$B$1006,B351,$C$7:$C$1006,C351)&gt;1,"ID duplicado",IF(OR(A351="",C351="",D351="",E351="",F351="",I351="",J351="",K351="",O351=""),"Completar datos",IF(NOT(ISNUMBER(M351)),"Falta costo histórico","Revisar soporte"))))</x:f>
      </x:c>
      <x:c r="R351" s="9" t="n">
        <x:f>IF(B351="",0,IF(AND(D351="pagada",NOT(ISNUMBER(M351))),1,0))</x:f>
        <x:v>0</x:v>
      </x:c>
    </x:row>
    <x:row r="352" ht="22" customHeight="1">
      <x:c r="A352" s="11"/>
      <x:c r="B352" s="9"/>
      <x:c r="C352" s="9"/>
      <x:c r="D352" s="9"/>
      <x:c r="E352" s="9"/>
      <x:c r="F352" s="9"/>
      <x:c r="G352" s="9"/>
      <x:c r="H352" s="9"/>
      <x:c r="I352" s="13"/>
      <x:c r="J352" s="15"/>
      <x:c r="K352" s="15"/>
      <x:c r="L352" s="17" t="str">
        <x:f>IF(B352="","",IF(NOT(AND(ISNUMBER(J352),ISNUMBER(K352))),"",SUM(J352:K352)))</x:f>
      </x:c>
      <x:c r="M352" s="15"/>
      <x:c r="N352" s="17" t="str">
        <x:f>IF(OR(B352="",D352&lt;&gt;"pagada",NOT(ISNUMBER(J352)),NOT(ISNUMBER(M352))),"",J352-M352)</x:f>
      </x:c>
      <x:c r="O352" s="9"/>
      <x:c r="P352" s="9"/>
      <x:c r="Q352" s="1" t="str">
        <x:f>IF(B352="","",IF(COUNTIFS($B$7:$B$1006,B352,$C$7:$C$1006,C352)&gt;1,"ID duplicado",IF(OR(A352="",C352="",D352="",E352="",F352="",I352="",J352="",K352="",O352=""),"Completar datos",IF(NOT(ISNUMBER(M352)),"Falta costo histórico","Revisar soporte"))))</x:f>
      </x:c>
      <x:c r="R352" s="9" t="n">
        <x:f>IF(B352="",0,IF(AND(D352="pagada",NOT(ISNUMBER(M352))),1,0))</x:f>
        <x:v>0</x:v>
      </x:c>
    </x:row>
    <x:row r="353" ht="22" customHeight="1">
      <x:c r="A353" s="11"/>
      <x:c r="B353" s="9"/>
      <x:c r="C353" s="9"/>
      <x:c r="D353" s="9"/>
      <x:c r="E353" s="9"/>
      <x:c r="F353" s="9"/>
      <x:c r="G353" s="9"/>
      <x:c r="H353" s="9"/>
      <x:c r="I353" s="13"/>
      <x:c r="J353" s="15"/>
      <x:c r="K353" s="15"/>
      <x:c r="L353" s="17" t="str">
        <x:f>IF(B353="","",IF(NOT(AND(ISNUMBER(J353),ISNUMBER(K353))),"",SUM(J353:K353)))</x:f>
      </x:c>
      <x:c r="M353" s="15"/>
      <x:c r="N353" s="17" t="str">
        <x:f>IF(OR(B353="",D353&lt;&gt;"pagada",NOT(ISNUMBER(J353)),NOT(ISNUMBER(M353))),"",J353-M353)</x:f>
      </x:c>
      <x:c r="O353" s="9"/>
      <x:c r="P353" s="9"/>
      <x:c r="Q353" s="1" t="str">
        <x:f>IF(B353="","",IF(COUNTIFS($B$7:$B$1006,B353,$C$7:$C$1006,C353)&gt;1,"ID duplicado",IF(OR(A353="",C353="",D353="",E353="",F353="",I353="",J353="",K353="",O353=""),"Completar datos",IF(NOT(ISNUMBER(M353)),"Falta costo histórico","Revisar soporte"))))</x:f>
      </x:c>
      <x:c r="R353" s="9" t="n">
        <x:f>IF(B353="",0,IF(AND(D353="pagada",NOT(ISNUMBER(M353))),1,0))</x:f>
        <x:v>0</x:v>
      </x:c>
    </x:row>
    <x:row r="354" ht="22" customHeight="1">
      <x:c r="A354" s="11"/>
      <x:c r="B354" s="9"/>
      <x:c r="C354" s="9"/>
      <x:c r="D354" s="9"/>
      <x:c r="E354" s="9"/>
      <x:c r="F354" s="9"/>
      <x:c r="G354" s="9"/>
      <x:c r="H354" s="9"/>
      <x:c r="I354" s="13"/>
      <x:c r="J354" s="15"/>
      <x:c r="K354" s="15"/>
      <x:c r="L354" s="17" t="str">
        <x:f>IF(B354="","",IF(NOT(AND(ISNUMBER(J354),ISNUMBER(K354))),"",SUM(J354:K354)))</x:f>
      </x:c>
      <x:c r="M354" s="15"/>
      <x:c r="N354" s="17" t="str">
        <x:f>IF(OR(B354="",D354&lt;&gt;"pagada",NOT(ISNUMBER(J354)),NOT(ISNUMBER(M354))),"",J354-M354)</x:f>
      </x:c>
      <x:c r="O354" s="9"/>
      <x:c r="P354" s="9"/>
      <x:c r="Q354" s="1" t="str">
        <x:f>IF(B354="","",IF(COUNTIFS($B$7:$B$1006,B354,$C$7:$C$1006,C354)&gt;1,"ID duplicado",IF(OR(A354="",C354="",D354="",E354="",F354="",I354="",J354="",K354="",O354=""),"Completar datos",IF(NOT(ISNUMBER(M354)),"Falta costo histórico","Revisar soporte"))))</x:f>
      </x:c>
      <x:c r="R354" s="9" t="n">
        <x:f>IF(B354="",0,IF(AND(D354="pagada",NOT(ISNUMBER(M354))),1,0))</x:f>
        <x:v>0</x:v>
      </x:c>
    </x:row>
    <x:row r="355" ht="22" customHeight="1">
      <x:c r="A355" s="11"/>
      <x:c r="B355" s="9"/>
      <x:c r="C355" s="9"/>
      <x:c r="D355" s="9"/>
      <x:c r="E355" s="9"/>
      <x:c r="F355" s="9"/>
      <x:c r="G355" s="9"/>
      <x:c r="H355" s="9"/>
      <x:c r="I355" s="13"/>
      <x:c r="J355" s="15"/>
      <x:c r="K355" s="15"/>
      <x:c r="L355" s="17" t="str">
        <x:f>IF(B355="","",IF(NOT(AND(ISNUMBER(J355),ISNUMBER(K355))),"",SUM(J355:K355)))</x:f>
      </x:c>
      <x:c r="M355" s="15"/>
      <x:c r="N355" s="17" t="str">
        <x:f>IF(OR(B355="",D355&lt;&gt;"pagada",NOT(ISNUMBER(J355)),NOT(ISNUMBER(M355))),"",J355-M355)</x:f>
      </x:c>
      <x:c r="O355" s="9"/>
      <x:c r="P355" s="9"/>
      <x:c r="Q355" s="1" t="str">
        <x:f>IF(B355="","",IF(COUNTIFS($B$7:$B$1006,B355,$C$7:$C$1006,C355)&gt;1,"ID duplicado",IF(OR(A355="",C355="",D355="",E355="",F355="",I355="",J355="",K355="",O355=""),"Completar datos",IF(NOT(ISNUMBER(M355)),"Falta costo histórico","Revisar soporte"))))</x:f>
      </x:c>
      <x:c r="R355" s="9" t="n">
        <x:f>IF(B355="",0,IF(AND(D355="pagada",NOT(ISNUMBER(M355))),1,0))</x:f>
        <x:v>0</x:v>
      </x:c>
    </x:row>
    <x:row r="356" ht="22" customHeight="1">
      <x:c r="A356" s="11"/>
      <x:c r="B356" s="9"/>
      <x:c r="C356" s="9"/>
      <x:c r="D356" s="9"/>
      <x:c r="E356" s="9"/>
      <x:c r="F356" s="9"/>
      <x:c r="G356" s="9"/>
      <x:c r="H356" s="9"/>
      <x:c r="I356" s="13"/>
      <x:c r="J356" s="15"/>
      <x:c r="K356" s="15"/>
      <x:c r="L356" s="17" t="str">
        <x:f>IF(B356="","",IF(NOT(AND(ISNUMBER(J356),ISNUMBER(K356))),"",SUM(J356:K356)))</x:f>
      </x:c>
      <x:c r="M356" s="15"/>
      <x:c r="N356" s="17" t="str">
        <x:f>IF(OR(B356="",D356&lt;&gt;"pagada",NOT(ISNUMBER(J356)),NOT(ISNUMBER(M356))),"",J356-M356)</x:f>
      </x:c>
      <x:c r="O356" s="9"/>
      <x:c r="P356" s="9"/>
      <x:c r="Q356" s="1" t="str">
        <x:f>IF(B356="","",IF(COUNTIFS($B$7:$B$1006,B356,$C$7:$C$1006,C356)&gt;1,"ID duplicado",IF(OR(A356="",C356="",D356="",E356="",F356="",I356="",J356="",K356="",O356=""),"Completar datos",IF(NOT(ISNUMBER(M356)),"Falta costo histórico","Revisar soporte"))))</x:f>
      </x:c>
      <x:c r="R356" s="9" t="n">
        <x:f>IF(B356="",0,IF(AND(D356="pagada",NOT(ISNUMBER(M356))),1,0))</x:f>
        <x:v>0</x:v>
      </x:c>
    </x:row>
    <x:row r="357" ht="22" customHeight="1">
      <x:c r="A357" s="11"/>
      <x:c r="B357" s="9"/>
      <x:c r="C357" s="9"/>
      <x:c r="D357" s="9"/>
      <x:c r="E357" s="9"/>
      <x:c r="F357" s="9"/>
      <x:c r="G357" s="9"/>
      <x:c r="H357" s="9"/>
      <x:c r="I357" s="13"/>
      <x:c r="J357" s="15"/>
      <x:c r="K357" s="15"/>
      <x:c r="L357" s="17" t="str">
        <x:f>IF(B357="","",IF(NOT(AND(ISNUMBER(J357),ISNUMBER(K357))),"",SUM(J357:K357)))</x:f>
      </x:c>
      <x:c r="M357" s="15"/>
      <x:c r="N357" s="17" t="str">
        <x:f>IF(OR(B357="",D357&lt;&gt;"pagada",NOT(ISNUMBER(J357)),NOT(ISNUMBER(M357))),"",J357-M357)</x:f>
      </x:c>
      <x:c r="O357" s="9"/>
      <x:c r="P357" s="9"/>
      <x:c r="Q357" s="1" t="str">
        <x:f>IF(B357="","",IF(COUNTIFS($B$7:$B$1006,B357,$C$7:$C$1006,C357)&gt;1,"ID duplicado",IF(OR(A357="",C357="",D357="",E357="",F357="",I357="",J357="",K357="",O357=""),"Completar datos",IF(NOT(ISNUMBER(M357)),"Falta costo histórico","Revisar soporte"))))</x:f>
      </x:c>
      <x:c r="R357" s="9" t="n">
        <x:f>IF(B357="",0,IF(AND(D357="pagada",NOT(ISNUMBER(M357))),1,0))</x:f>
        <x:v>0</x:v>
      </x:c>
    </x:row>
    <x:row r="358" ht="22" customHeight="1">
      <x:c r="A358" s="11"/>
      <x:c r="B358" s="9"/>
      <x:c r="C358" s="9"/>
      <x:c r="D358" s="9"/>
      <x:c r="E358" s="9"/>
      <x:c r="F358" s="9"/>
      <x:c r="G358" s="9"/>
      <x:c r="H358" s="9"/>
      <x:c r="I358" s="13"/>
      <x:c r="J358" s="15"/>
      <x:c r="K358" s="15"/>
      <x:c r="L358" s="17" t="str">
        <x:f>IF(B358="","",IF(NOT(AND(ISNUMBER(J358),ISNUMBER(K358))),"",SUM(J358:K358)))</x:f>
      </x:c>
      <x:c r="M358" s="15"/>
      <x:c r="N358" s="17" t="str">
        <x:f>IF(OR(B358="",D358&lt;&gt;"pagada",NOT(ISNUMBER(J358)),NOT(ISNUMBER(M358))),"",J358-M358)</x:f>
      </x:c>
      <x:c r="O358" s="9"/>
      <x:c r="P358" s="9"/>
      <x:c r="Q358" s="1" t="str">
        <x:f>IF(B358="","",IF(COUNTIFS($B$7:$B$1006,B358,$C$7:$C$1006,C358)&gt;1,"ID duplicado",IF(OR(A358="",C358="",D358="",E358="",F358="",I358="",J358="",K358="",O358=""),"Completar datos",IF(NOT(ISNUMBER(M358)),"Falta costo histórico","Revisar soporte"))))</x:f>
      </x:c>
      <x:c r="R358" s="9" t="n">
        <x:f>IF(B358="",0,IF(AND(D358="pagada",NOT(ISNUMBER(M358))),1,0))</x:f>
        <x:v>0</x:v>
      </x:c>
    </x:row>
    <x:row r="359" ht="22" customHeight="1">
      <x:c r="A359" s="11"/>
      <x:c r="B359" s="9"/>
      <x:c r="C359" s="9"/>
      <x:c r="D359" s="9"/>
      <x:c r="E359" s="9"/>
      <x:c r="F359" s="9"/>
      <x:c r="G359" s="9"/>
      <x:c r="H359" s="9"/>
      <x:c r="I359" s="13"/>
      <x:c r="J359" s="15"/>
      <x:c r="K359" s="15"/>
      <x:c r="L359" s="17" t="str">
        <x:f>IF(B359="","",IF(NOT(AND(ISNUMBER(J359),ISNUMBER(K359))),"",SUM(J359:K359)))</x:f>
      </x:c>
      <x:c r="M359" s="15"/>
      <x:c r="N359" s="17" t="str">
        <x:f>IF(OR(B359="",D359&lt;&gt;"pagada",NOT(ISNUMBER(J359)),NOT(ISNUMBER(M359))),"",J359-M359)</x:f>
      </x:c>
      <x:c r="O359" s="9"/>
      <x:c r="P359" s="9"/>
      <x:c r="Q359" s="1" t="str">
        <x:f>IF(B359="","",IF(COUNTIFS($B$7:$B$1006,B359,$C$7:$C$1006,C359)&gt;1,"ID duplicado",IF(OR(A359="",C359="",D359="",E359="",F359="",I359="",J359="",K359="",O359=""),"Completar datos",IF(NOT(ISNUMBER(M359)),"Falta costo histórico","Revisar soporte"))))</x:f>
      </x:c>
      <x:c r="R359" s="9" t="n">
        <x:f>IF(B359="",0,IF(AND(D359="pagada",NOT(ISNUMBER(M359))),1,0))</x:f>
        <x:v>0</x:v>
      </x:c>
    </x:row>
    <x:row r="360" ht="22" customHeight="1">
      <x:c r="A360" s="11"/>
      <x:c r="B360" s="9"/>
      <x:c r="C360" s="9"/>
      <x:c r="D360" s="9"/>
      <x:c r="E360" s="9"/>
      <x:c r="F360" s="9"/>
      <x:c r="G360" s="9"/>
      <x:c r="H360" s="9"/>
      <x:c r="I360" s="13"/>
      <x:c r="J360" s="15"/>
      <x:c r="K360" s="15"/>
      <x:c r="L360" s="17" t="str">
        <x:f>IF(B360="","",IF(NOT(AND(ISNUMBER(J360),ISNUMBER(K360))),"",SUM(J360:K360)))</x:f>
      </x:c>
      <x:c r="M360" s="15"/>
      <x:c r="N360" s="17" t="str">
        <x:f>IF(OR(B360="",D360&lt;&gt;"pagada",NOT(ISNUMBER(J360)),NOT(ISNUMBER(M360))),"",J360-M360)</x:f>
      </x:c>
      <x:c r="O360" s="9"/>
      <x:c r="P360" s="9"/>
      <x:c r="Q360" s="1" t="str">
        <x:f>IF(B360="","",IF(COUNTIFS($B$7:$B$1006,B360,$C$7:$C$1006,C360)&gt;1,"ID duplicado",IF(OR(A360="",C360="",D360="",E360="",F360="",I360="",J360="",K360="",O360=""),"Completar datos",IF(NOT(ISNUMBER(M360)),"Falta costo histórico","Revisar soporte"))))</x:f>
      </x:c>
      <x:c r="R360" s="9" t="n">
        <x:f>IF(B360="",0,IF(AND(D360="pagada",NOT(ISNUMBER(M360))),1,0))</x:f>
        <x:v>0</x:v>
      </x:c>
    </x:row>
    <x:row r="361" ht="22" customHeight="1">
      <x:c r="A361" s="11"/>
      <x:c r="B361" s="9"/>
      <x:c r="C361" s="9"/>
      <x:c r="D361" s="9"/>
      <x:c r="E361" s="9"/>
      <x:c r="F361" s="9"/>
      <x:c r="G361" s="9"/>
      <x:c r="H361" s="9"/>
      <x:c r="I361" s="13"/>
      <x:c r="J361" s="15"/>
      <x:c r="K361" s="15"/>
      <x:c r="L361" s="17" t="str">
        <x:f>IF(B361="","",IF(NOT(AND(ISNUMBER(J361),ISNUMBER(K361))),"",SUM(J361:K361)))</x:f>
      </x:c>
      <x:c r="M361" s="15"/>
      <x:c r="N361" s="17" t="str">
        <x:f>IF(OR(B361="",D361&lt;&gt;"pagada",NOT(ISNUMBER(J361)),NOT(ISNUMBER(M361))),"",J361-M361)</x:f>
      </x:c>
      <x:c r="O361" s="9"/>
      <x:c r="P361" s="9"/>
      <x:c r="Q361" s="1" t="str">
        <x:f>IF(B361="","",IF(COUNTIFS($B$7:$B$1006,B361,$C$7:$C$1006,C361)&gt;1,"ID duplicado",IF(OR(A361="",C361="",D361="",E361="",F361="",I361="",J361="",K361="",O361=""),"Completar datos",IF(NOT(ISNUMBER(M361)),"Falta costo histórico","Revisar soporte"))))</x:f>
      </x:c>
      <x:c r="R361" s="9" t="n">
        <x:f>IF(B361="",0,IF(AND(D361="pagada",NOT(ISNUMBER(M361))),1,0))</x:f>
        <x:v>0</x:v>
      </x:c>
    </x:row>
    <x:row r="362" ht="22" customHeight="1">
      <x:c r="A362" s="11"/>
      <x:c r="B362" s="9"/>
      <x:c r="C362" s="9"/>
      <x:c r="D362" s="9"/>
      <x:c r="E362" s="9"/>
      <x:c r="F362" s="9"/>
      <x:c r="G362" s="9"/>
      <x:c r="H362" s="9"/>
      <x:c r="I362" s="13"/>
      <x:c r="J362" s="15"/>
      <x:c r="K362" s="15"/>
      <x:c r="L362" s="17" t="str">
        <x:f>IF(B362="","",IF(NOT(AND(ISNUMBER(J362),ISNUMBER(K362))),"",SUM(J362:K362)))</x:f>
      </x:c>
      <x:c r="M362" s="15"/>
      <x:c r="N362" s="17" t="str">
        <x:f>IF(OR(B362="",D362&lt;&gt;"pagada",NOT(ISNUMBER(J362)),NOT(ISNUMBER(M362))),"",J362-M362)</x:f>
      </x:c>
      <x:c r="O362" s="9"/>
      <x:c r="P362" s="9"/>
      <x:c r="Q362" s="1" t="str">
        <x:f>IF(B362="","",IF(COUNTIFS($B$7:$B$1006,B362,$C$7:$C$1006,C362)&gt;1,"ID duplicado",IF(OR(A362="",C362="",D362="",E362="",F362="",I362="",J362="",K362="",O362=""),"Completar datos",IF(NOT(ISNUMBER(M362)),"Falta costo histórico","Revisar soporte"))))</x:f>
      </x:c>
      <x:c r="R362" s="9" t="n">
        <x:f>IF(B362="",0,IF(AND(D362="pagada",NOT(ISNUMBER(M362))),1,0))</x:f>
        <x:v>0</x:v>
      </x:c>
    </x:row>
    <x:row r="363" ht="22" customHeight="1">
      <x:c r="A363" s="11"/>
      <x:c r="B363" s="9"/>
      <x:c r="C363" s="9"/>
      <x:c r="D363" s="9"/>
      <x:c r="E363" s="9"/>
      <x:c r="F363" s="9"/>
      <x:c r="G363" s="9"/>
      <x:c r="H363" s="9"/>
      <x:c r="I363" s="13"/>
      <x:c r="J363" s="15"/>
      <x:c r="K363" s="15"/>
      <x:c r="L363" s="17" t="str">
        <x:f>IF(B363="","",IF(NOT(AND(ISNUMBER(J363),ISNUMBER(K363))),"",SUM(J363:K363)))</x:f>
      </x:c>
      <x:c r="M363" s="15"/>
      <x:c r="N363" s="17" t="str">
        <x:f>IF(OR(B363="",D363&lt;&gt;"pagada",NOT(ISNUMBER(J363)),NOT(ISNUMBER(M363))),"",J363-M363)</x:f>
      </x:c>
      <x:c r="O363" s="9"/>
      <x:c r="P363" s="9"/>
      <x:c r="Q363" s="1" t="str">
        <x:f>IF(B363="","",IF(COUNTIFS($B$7:$B$1006,B363,$C$7:$C$1006,C363)&gt;1,"ID duplicado",IF(OR(A363="",C363="",D363="",E363="",F363="",I363="",J363="",K363="",O363=""),"Completar datos",IF(NOT(ISNUMBER(M363)),"Falta costo histórico","Revisar soporte"))))</x:f>
      </x:c>
      <x:c r="R363" s="9" t="n">
        <x:f>IF(B363="",0,IF(AND(D363="pagada",NOT(ISNUMBER(M363))),1,0))</x:f>
        <x:v>0</x:v>
      </x:c>
    </x:row>
    <x:row r="364" ht="22" customHeight="1">
      <x:c r="A364" s="11"/>
      <x:c r="B364" s="9"/>
      <x:c r="C364" s="9"/>
      <x:c r="D364" s="9"/>
      <x:c r="E364" s="9"/>
      <x:c r="F364" s="9"/>
      <x:c r="G364" s="9"/>
      <x:c r="H364" s="9"/>
      <x:c r="I364" s="13"/>
      <x:c r="J364" s="15"/>
      <x:c r="K364" s="15"/>
      <x:c r="L364" s="17" t="str">
        <x:f>IF(B364="","",IF(NOT(AND(ISNUMBER(J364),ISNUMBER(K364))),"",SUM(J364:K364)))</x:f>
      </x:c>
      <x:c r="M364" s="15"/>
      <x:c r="N364" s="17" t="str">
        <x:f>IF(OR(B364="",D364&lt;&gt;"pagada",NOT(ISNUMBER(J364)),NOT(ISNUMBER(M364))),"",J364-M364)</x:f>
      </x:c>
      <x:c r="O364" s="9"/>
      <x:c r="P364" s="9"/>
      <x:c r="Q364" s="1" t="str">
        <x:f>IF(B364="","",IF(COUNTIFS($B$7:$B$1006,B364,$C$7:$C$1006,C364)&gt;1,"ID duplicado",IF(OR(A364="",C364="",D364="",E364="",F364="",I364="",J364="",K364="",O364=""),"Completar datos",IF(NOT(ISNUMBER(M364)),"Falta costo histórico","Revisar soporte"))))</x:f>
      </x:c>
      <x:c r="R364" s="9" t="n">
        <x:f>IF(B364="",0,IF(AND(D364="pagada",NOT(ISNUMBER(M364))),1,0))</x:f>
        <x:v>0</x:v>
      </x:c>
    </x:row>
    <x:row r="365" ht="22" customHeight="1">
      <x:c r="A365" s="11"/>
      <x:c r="B365" s="9"/>
      <x:c r="C365" s="9"/>
      <x:c r="D365" s="9"/>
      <x:c r="E365" s="9"/>
      <x:c r="F365" s="9"/>
      <x:c r="G365" s="9"/>
      <x:c r="H365" s="9"/>
      <x:c r="I365" s="13"/>
      <x:c r="J365" s="15"/>
      <x:c r="K365" s="15"/>
      <x:c r="L365" s="17" t="str">
        <x:f>IF(B365="","",IF(NOT(AND(ISNUMBER(J365),ISNUMBER(K365))),"",SUM(J365:K365)))</x:f>
      </x:c>
      <x:c r="M365" s="15"/>
      <x:c r="N365" s="17" t="str">
        <x:f>IF(OR(B365="",D365&lt;&gt;"pagada",NOT(ISNUMBER(J365)),NOT(ISNUMBER(M365))),"",J365-M365)</x:f>
      </x:c>
      <x:c r="O365" s="9"/>
      <x:c r="P365" s="9"/>
      <x:c r="Q365" s="1" t="str">
        <x:f>IF(B365="","",IF(COUNTIFS($B$7:$B$1006,B365,$C$7:$C$1006,C365)&gt;1,"ID duplicado",IF(OR(A365="",C365="",D365="",E365="",F365="",I365="",J365="",K365="",O365=""),"Completar datos",IF(NOT(ISNUMBER(M365)),"Falta costo histórico","Revisar soporte"))))</x:f>
      </x:c>
      <x:c r="R365" s="9" t="n">
        <x:f>IF(B365="",0,IF(AND(D365="pagada",NOT(ISNUMBER(M365))),1,0))</x:f>
        <x:v>0</x:v>
      </x:c>
    </x:row>
    <x:row r="366" ht="22" customHeight="1">
      <x:c r="A366" s="11"/>
      <x:c r="B366" s="9"/>
      <x:c r="C366" s="9"/>
      <x:c r="D366" s="9"/>
      <x:c r="E366" s="9"/>
      <x:c r="F366" s="9"/>
      <x:c r="G366" s="9"/>
      <x:c r="H366" s="9"/>
      <x:c r="I366" s="13"/>
      <x:c r="J366" s="15"/>
      <x:c r="K366" s="15"/>
      <x:c r="L366" s="17" t="str">
        <x:f>IF(B366="","",IF(NOT(AND(ISNUMBER(J366),ISNUMBER(K366))),"",SUM(J366:K366)))</x:f>
      </x:c>
      <x:c r="M366" s="15"/>
      <x:c r="N366" s="17" t="str">
        <x:f>IF(OR(B366="",D366&lt;&gt;"pagada",NOT(ISNUMBER(J366)),NOT(ISNUMBER(M366))),"",J366-M366)</x:f>
      </x:c>
      <x:c r="O366" s="9"/>
      <x:c r="P366" s="9"/>
      <x:c r="Q366" s="1" t="str">
        <x:f>IF(B366="","",IF(COUNTIFS($B$7:$B$1006,B366,$C$7:$C$1006,C366)&gt;1,"ID duplicado",IF(OR(A366="",C366="",D366="",E366="",F366="",I366="",J366="",K366="",O366=""),"Completar datos",IF(NOT(ISNUMBER(M366)),"Falta costo histórico","Revisar soporte"))))</x:f>
      </x:c>
      <x:c r="R366" s="9" t="n">
        <x:f>IF(B366="",0,IF(AND(D366="pagada",NOT(ISNUMBER(M366))),1,0))</x:f>
        <x:v>0</x:v>
      </x:c>
    </x:row>
    <x:row r="367" ht="22" customHeight="1">
      <x:c r="A367" s="11"/>
      <x:c r="B367" s="9"/>
      <x:c r="C367" s="9"/>
      <x:c r="D367" s="9"/>
      <x:c r="E367" s="9"/>
      <x:c r="F367" s="9"/>
      <x:c r="G367" s="9"/>
      <x:c r="H367" s="9"/>
      <x:c r="I367" s="13"/>
      <x:c r="J367" s="15"/>
      <x:c r="K367" s="15"/>
      <x:c r="L367" s="17" t="str">
        <x:f>IF(B367="","",IF(NOT(AND(ISNUMBER(J367),ISNUMBER(K367))),"",SUM(J367:K367)))</x:f>
      </x:c>
      <x:c r="M367" s="15"/>
      <x:c r="N367" s="17" t="str">
        <x:f>IF(OR(B367="",D367&lt;&gt;"pagada",NOT(ISNUMBER(J367)),NOT(ISNUMBER(M367))),"",J367-M367)</x:f>
      </x:c>
      <x:c r="O367" s="9"/>
      <x:c r="P367" s="9"/>
      <x:c r="Q367" s="1" t="str">
        <x:f>IF(B367="","",IF(COUNTIFS($B$7:$B$1006,B367,$C$7:$C$1006,C367)&gt;1,"ID duplicado",IF(OR(A367="",C367="",D367="",E367="",F367="",I367="",J367="",K367="",O367=""),"Completar datos",IF(NOT(ISNUMBER(M367)),"Falta costo histórico","Revisar soporte"))))</x:f>
      </x:c>
      <x:c r="R367" s="9" t="n">
        <x:f>IF(B367="",0,IF(AND(D367="pagada",NOT(ISNUMBER(M367))),1,0))</x:f>
        <x:v>0</x:v>
      </x:c>
    </x:row>
    <x:row r="368" ht="22" customHeight="1">
      <x:c r="A368" s="11"/>
      <x:c r="B368" s="9"/>
      <x:c r="C368" s="9"/>
      <x:c r="D368" s="9"/>
      <x:c r="E368" s="9"/>
      <x:c r="F368" s="9"/>
      <x:c r="G368" s="9"/>
      <x:c r="H368" s="9"/>
      <x:c r="I368" s="13"/>
      <x:c r="J368" s="15"/>
      <x:c r="K368" s="15"/>
      <x:c r="L368" s="17" t="str">
        <x:f>IF(B368="","",IF(NOT(AND(ISNUMBER(J368),ISNUMBER(K368))),"",SUM(J368:K368)))</x:f>
      </x:c>
      <x:c r="M368" s="15"/>
      <x:c r="N368" s="17" t="str">
        <x:f>IF(OR(B368="",D368&lt;&gt;"pagada",NOT(ISNUMBER(J368)),NOT(ISNUMBER(M368))),"",J368-M368)</x:f>
      </x:c>
      <x:c r="O368" s="9"/>
      <x:c r="P368" s="9"/>
      <x:c r="Q368" s="1" t="str">
        <x:f>IF(B368="","",IF(COUNTIFS($B$7:$B$1006,B368,$C$7:$C$1006,C368)&gt;1,"ID duplicado",IF(OR(A368="",C368="",D368="",E368="",F368="",I368="",J368="",K368="",O368=""),"Completar datos",IF(NOT(ISNUMBER(M368)),"Falta costo histórico","Revisar soporte"))))</x:f>
      </x:c>
      <x:c r="R368" s="9" t="n">
        <x:f>IF(B368="",0,IF(AND(D368="pagada",NOT(ISNUMBER(M368))),1,0))</x:f>
        <x:v>0</x:v>
      </x:c>
    </x:row>
    <x:row r="369" ht="22" customHeight="1">
      <x:c r="A369" s="11"/>
      <x:c r="B369" s="9"/>
      <x:c r="C369" s="9"/>
      <x:c r="D369" s="9"/>
      <x:c r="E369" s="9"/>
      <x:c r="F369" s="9"/>
      <x:c r="G369" s="9"/>
      <x:c r="H369" s="9"/>
      <x:c r="I369" s="13"/>
      <x:c r="J369" s="15"/>
      <x:c r="K369" s="15"/>
      <x:c r="L369" s="17" t="str">
        <x:f>IF(B369="","",IF(NOT(AND(ISNUMBER(J369),ISNUMBER(K369))),"",SUM(J369:K369)))</x:f>
      </x:c>
      <x:c r="M369" s="15"/>
      <x:c r="N369" s="17" t="str">
        <x:f>IF(OR(B369="",D369&lt;&gt;"pagada",NOT(ISNUMBER(J369)),NOT(ISNUMBER(M369))),"",J369-M369)</x:f>
      </x:c>
      <x:c r="O369" s="9"/>
      <x:c r="P369" s="9"/>
      <x:c r="Q369" s="1" t="str">
        <x:f>IF(B369="","",IF(COUNTIFS($B$7:$B$1006,B369,$C$7:$C$1006,C369)&gt;1,"ID duplicado",IF(OR(A369="",C369="",D369="",E369="",F369="",I369="",J369="",K369="",O369=""),"Completar datos",IF(NOT(ISNUMBER(M369)),"Falta costo histórico","Revisar soporte"))))</x:f>
      </x:c>
      <x:c r="R369" s="9" t="n">
        <x:f>IF(B369="",0,IF(AND(D369="pagada",NOT(ISNUMBER(M369))),1,0))</x:f>
        <x:v>0</x:v>
      </x:c>
    </x:row>
    <x:row r="370" ht="22" customHeight="1">
      <x:c r="A370" s="11"/>
      <x:c r="B370" s="9"/>
      <x:c r="C370" s="9"/>
      <x:c r="D370" s="9"/>
      <x:c r="E370" s="9"/>
      <x:c r="F370" s="9"/>
      <x:c r="G370" s="9"/>
      <x:c r="H370" s="9"/>
      <x:c r="I370" s="13"/>
      <x:c r="J370" s="15"/>
      <x:c r="K370" s="15"/>
      <x:c r="L370" s="17" t="str">
        <x:f>IF(B370="","",IF(NOT(AND(ISNUMBER(J370),ISNUMBER(K370))),"",SUM(J370:K370)))</x:f>
      </x:c>
      <x:c r="M370" s="15"/>
      <x:c r="N370" s="17" t="str">
        <x:f>IF(OR(B370="",D370&lt;&gt;"pagada",NOT(ISNUMBER(J370)),NOT(ISNUMBER(M370))),"",J370-M370)</x:f>
      </x:c>
      <x:c r="O370" s="9"/>
      <x:c r="P370" s="9"/>
      <x:c r="Q370" s="1" t="str">
        <x:f>IF(B370="","",IF(COUNTIFS($B$7:$B$1006,B370,$C$7:$C$1006,C370)&gt;1,"ID duplicado",IF(OR(A370="",C370="",D370="",E370="",F370="",I370="",J370="",K370="",O370=""),"Completar datos",IF(NOT(ISNUMBER(M370)),"Falta costo histórico","Revisar soporte"))))</x:f>
      </x:c>
      <x:c r="R370" s="9" t="n">
        <x:f>IF(B370="",0,IF(AND(D370="pagada",NOT(ISNUMBER(M370))),1,0))</x:f>
        <x:v>0</x:v>
      </x:c>
    </x:row>
    <x:row r="371" ht="22" customHeight="1">
      <x:c r="A371" s="11"/>
      <x:c r="B371" s="9"/>
      <x:c r="C371" s="9"/>
      <x:c r="D371" s="9"/>
      <x:c r="E371" s="9"/>
      <x:c r="F371" s="9"/>
      <x:c r="G371" s="9"/>
      <x:c r="H371" s="9"/>
      <x:c r="I371" s="13"/>
      <x:c r="J371" s="15"/>
      <x:c r="K371" s="15"/>
      <x:c r="L371" s="17" t="str">
        <x:f>IF(B371="","",IF(NOT(AND(ISNUMBER(J371),ISNUMBER(K371))),"",SUM(J371:K371)))</x:f>
      </x:c>
      <x:c r="M371" s="15"/>
      <x:c r="N371" s="17" t="str">
        <x:f>IF(OR(B371="",D371&lt;&gt;"pagada",NOT(ISNUMBER(J371)),NOT(ISNUMBER(M371))),"",J371-M371)</x:f>
      </x:c>
      <x:c r="O371" s="9"/>
      <x:c r="P371" s="9"/>
      <x:c r="Q371" s="1" t="str">
        <x:f>IF(B371="","",IF(COUNTIFS($B$7:$B$1006,B371,$C$7:$C$1006,C371)&gt;1,"ID duplicado",IF(OR(A371="",C371="",D371="",E371="",F371="",I371="",J371="",K371="",O371=""),"Completar datos",IF(NOT(ISNUMBER(M371)),"Falta costo histórico","Revisar soporte"))))</x:f>
      </x:c>
      <x:c r="R371" s="9" t="n">
        <x:f>IF(B371="",0,IF(AND(D371="pagada",NOT(ISNUMBER(M371))),1,0))</x:f>
        <x:v>0</x:v>
      </x:c>
    </x:row>
    <x:row r="372" ht="22" customHeight="1">
      <x:c r="A372" s="11"/>
      <x:c r="B372" s="9"/>
      <x:c r="C372" s="9"/>
      <x:c r="D372" s="9"/>
      <x:c r="E372" s="9"/>
      <x:c r="F372" s="9"/>
      <x:c r="G372" s="9"/>
      <x:c r="H372" s="9"/>
      <x:c r="I372" s="13"/>
      <x:c r="J372" s="15"/>
      <x:c r="K372" s="15"/>
      <x:c r="L372" s="17" t="str">
        <x:f>IF(B372="","",IF(NOT(AND(ISNUMBER(J372),ISNUMBER(K372))),"",SUM(J372:K372)))</x:f>
      </x:c>
      <x:c r="M372" s="15"/>
      <x:c r="N372" s="17" t="str">
        <x:f>IF(OR(B372="",D372&lt;&gt;"pagada",NOT(ISNUMBER(J372)),NOT(ISNUMBER(M372))),"",J372-M372)</x:f>
      </x:c>
      <x:c r="O372" s="9"/>
      <x:c r="P372" s="9"/>
      <x:c r="Q372" s="1" t="str">
        <x:f>IF(B372="","",IF(COUNTIFS($B$7:$B$1006,B372,$C$7:$C$1006,C372)&gt;1,"ID duplicado",IF(OR(A372="",C372="",D372="",E372="",F372="",I372="",J372="",K372="",O372=""),"Completar datos",IF(NOT(ISNUMBER(M372)),"Falta costo histórico","Revisar soporte"))))</x:f>
      </x:c>
      <x:c r="R372" s="9" t="n">
        <x:f>IF(B372="",0,IF(AND(D372="pagada",NOT(ISNUMBER(M372))),1,0))</x:f>
        <x:v>0</x:v>
      </x:c>
    </x:row>
    <x:row r="373" ht="22" customHeight="1">
      <x:c r="A373" s="11"/>
      <x:c r="B373" s="9"/>
      <x:c r="C373" s="9"/>
      <x:c r="D373" s="9"/>
      <x:c r="E373" s="9"/>
      <x:c r="F373" s="9"/>
      <x:c r="G373" s="9"/>
      <x:c r="H373" s="9"/>
      <x:c r="I373" s="13"/>
      <x:c r="J373" s="15"/>
      <x:c r="K373" s="15"/>
      <x:c r="L373" s="17" t="str">
        <x:f>IF(B373="","",IF(NOT(AND(ISNUMBER(J373),ISNUMBER(K373))),"",SUM(J373:K373)))</x:f>
      </x:c>
      <x:c r="M373" s="15"/>
      <x:c r="N373" s="17" t="str">
        <x:f>IF(OR(B373="",D373&lt;&gt;"pagada",NOT(ISNUMBER(J373)),NOT(ISNUMBER(M373))),"",J373-M373)</x:f>
      </x:c>
      <x:c r="O373" s="9"/>
      <x:c r="P373" s="9"/>
      <x:c r="Q373" s="1" t="str">
        <x:f>IF(B373="","",IF(COUNTIFS($B$7:$B$1006,B373,$C$7:$C$1006,C373)&gt;1,"ID duplicado",IF(OR(A373="",C373="",D373="",E373="",F373="",I373="",J373="",K373="",O373=""),"Completar datos",IF(NOT(ISNUMBER(M373)),"Falta costo histórico","Revisar soporte"))))</x:f>
      </x:c>
      <x:c r="R373" s="9" t="n">
        <x:f>IF(B373="",0,IF(AND(D373="pagada",NOT(ISNUMBER(M373))),1,0))</x:f>
        <x:v>0</x:v>
      </x:c>
    </x:row>
    <x:row r="374" ht="22" customHeight="1">
      <x:c r="A374" s="11"/>
      <x:c r="B374" s="9"/>
      <x:c r="C374" s="9"/>
      <x:c r="D374" s="9"/>
      <x:c r="E374" s="9"/>
      <x:c r="F374" s="9"/>
      <x:c r="G374" s="9"/>
      <x:c r="H374" s="9"/>
      <x:c r="I374" s="13"/>
      <x:c r="J374" s="15"/>
      <x:c r="K374" s="15"/>
      <x:c r="L374" s="17" t="str">
        <x:f>IF(B374="","",IF(NOT(AND(ISNUMBER(J374),ISNUMBER(K374))),"",SUM(J374:K374)))</x:f>
      </x:c>
      <x:c r="M374" s="15"/>
      <x:c r="N374" s="17" t="str">
        <x:f>IF(OR(B374="",D374&lt;&gt;"pagada",NOT(ISNUMBER(J374)),NOT(ISNUMBER(M374))),"",J374-M374)</x:f>
      </x:c>
      <x:c r="O374" s="9"/>
      <x:c r="P374" s="9"/>
      <x:c r="Q374" s="1" t="str">
        <x:f>IF(B374="","",IF(COUNTIFS($B$7:$B$1006,B374,$C$7:$C$1006,C374)&gt;1,"ID duplicado",IF(OR(A374="",C374="",D374="",E374="",F374="",I374="",J374="",K374="",O374=""),"Completar datos",IF(NOT(ISNUMBER(M374)),"Falta costo histórico","Revisar soporte"))))</x:f>
      </x:c>
      <x:c r="R374" s="9" t="n">
        <x:f>IF(B374="",0,IF(AND(D374="pagada",NOT(ISNUMBER(M374))),1,0))</x:f>
        <x:v>0</x:v>
      </x:c>
    </x:row>
    <x:row r="375" ht="22" customHeight="1">
      <x:c r="A375" s="11"/>
      <x:c r="B375" s="9"/>
      <x:c r="C375" s="9"/>
      <x:c r="D375" s="9"/>
      <x:c r="E375" s="9"/>
      <x:c r="F375" s="9"/>
      <x:c r="G375" s="9"/>
      <x:c r="H375" s="9"/>
      <x:c r="I375" s="13"/>
      <x:c r="J375" s="15"/>
      <x:c r="K375" s="15"/>
      <x:c r="L375" s="17" t="str">
        <x:f>IF(B375="","",IF(NOT(AND(ISNUMBER(J375),ISNUMBER(K375))),"",SUM(J375:K375)))</x:f>
      </x:c>
      <x:c r="M375" s="15"/>
      <x:c r="N375" s="17" t="str">
        <x:f>IF(OR(B375="",D375&lt;&gt;"pagada",NOT(ISNUMBER(J375)),NOT(ISNUMBER(M375))),"",J375-M375)</x:f>
      </x:c>
      <x:c r="O375" s="9"/>
      <x:c r="P375" s="9"/>
      <x:c r="Q375" s="1" t="str">
        <x:f>IF(B375="","",IF(COUNTIFS($B$7:$B$1006,B375,$C$7:$C$1006,C375)&gt;1,"ID duplicado",IF(OR(A375="",C375="",D375="",E375="",F375="",I375="",J375="",K375="",O375=""),"Completar datos",IF(NOT(ISNUMBER(M375)),"Falta costo histórico","Revisar soporte"))))</x:f>
      </x:c>
      <x:c r="R375" s="9" t="n">
        <x:f>IF(B375="",0,IF(AND(D375="pagada",NOT(ISNUMBER(M375))),1,0))</x:f>
        <x:v>0</x:v>
      </x:c>
    </x:row>
    <x:row r="376" ht="22" customHeight="1">
      <x:c r="A376" s="11"/>
      <x:c r="B376" s="9"/>
      <x:c r="C376" s="9"/>
      <x:c r="D376" s="9"/>
      <x:c r="E376" s="9"/>
      <x:c r="F376" s="9"/>
      <x:c r="G376" s="9"/>
      <x:c r="H376" s="9"/>
      <x:c r="I376" s="13"/>
      <x:c r="J376" s="15"/>
      <x:c r="K376" s="15"/>
      <x:c r="L376" s="17" t="str">
        <x:f>IF(B376="","",IF(NOT(AND(ISNUMBER(J376),ISNUMBER(K376))),"",SUM(J376:K376)))</x:f>
      </x:c>
      <x:c r="M376" s="15"/>
      <x:c r="N376" s="17" t="str">
        <x:f>IF(OR(B376="",D376&lt;&gt;"pagada",NOT(ISNUMBER(J376)),NOT(ISNUMBER(M376))),"",J376-M376)</x:f>
      </x:c>
      <x:c r="O376" s="9"/>
      <x:c r="P376" s="9"/>
      <x:c r="Q376" s="1" t="str">
        <x:f>IF(B376="","",IF(COUNTIFS($B$7:$B$1006,B376,$C$7:$C$1006,C376)&gt;1,"ID duplicado",IF(OR(A376="",C376="",D376="",E376="",F376="",I376="",J376="",K376="",O376=""),"Completar datos",IF(NOT(ISNUMBER(M376)),"Falta costo histórico","Revisar soporte"))))</x:f>
      </x:c>
      <x:c r="R376" s="9" t="n">
        <x:f>IF(B376="",0,IF(AND(D376="pagada",NOT(ISNUMBER(M376))),1,0))</x:f>
        <x:v>0</x:v>
      </x:c>
    </x:row>
    <x:row r="377" ht="22" customHeight="1">
      <x:c r="A377" s="11"/>
      <x:c r="B377" s="9"/>
      <x:c r="C377" s="9"/>
      <x:c r="D377" s="9"/>
      <x:c r="E377" s="9"/>
      <x:c r="F377" s="9"/>
      <x:c r="G377" s="9"/>
      <x:c r="H377" s="9"/>
      <x:c r="I377" s="13"/>
      <x:c r="J377" s="15"/>
      <x:c r="K377" s="15"/>
      <x:c r="L377" s="17" t="str">
        <x:f>IF(B377="","",IF(NOT(AND(ISNUMBER(J377),ISNUMBER(K377))),"",SUM(J377:K377)))</x:f>
      </x:c>
      <x:c r="M377" s="15"/>
      <x:c r="N377" s="17" t="str">
        <x:f>IF(OR(B377="",D377&lt;&gt;"pagada",NOT(ISNUMBER(J377)),NOT(ISNUMBER(M377))),"",J377-M377)</x:f>
      </x:c>
      <x:c r="O377" s="9"/>
      <x:c r="P377" s="9"/>
      <x:c r="Q377" s="1" t="str">
        <x:f>IF(B377="","",IF(COUNTIFS($B$7:$B$1006,B377,$C$7:$C$1006,C377)&gt;1,"ID duplicado",IF(OR(A377="",C377="",D377="",E377="",F377="",I377="",J377="",K377="",O377=""),"Completar datos",IF(NOT(ISNUMBER(M377)),"Falta costo histórico","Revisar soporte"))))</x:f>
      </x:c>
      <x:c r="R377" s="9" t="n">
        <x:f>IF(B377="",0,IF(AND(D377="pagada",NOT(ISNUMBER(M377))),1,0))</x:f>
        <x:v>0</x:v>
      </x:c>
    </x:row>
    <x:row r="378" ht="22" customHeight="1">
      <x:c r="A378" s="11"/>
      <x:c r="B378" s="9"/>
      <x:c r="C378" s="9"/>
      <x:c r="D378" s="9"/>
      <x:c r="E378" s="9"/>
      <x:c r="F378" s="9"/>
      <x:c r="G378" s="9"/>
      <x:c r="H378" s="9"/>
      <x:c r="I378" s="13"/>
      <x:c r="J378" s="15"/>
      <x:c r="K378" s="15"/>
      <x:c r="L378" s="17" t="str">
        <x:f>IF(B378="","",IF(NOT(AND(ISNUMBER(J378),ISNUMBER(K378))),"",SUM(J378:K378)))</x:f>
      </x:c>
      <x:c r="M378" s="15"/>
      <x:c r="N378" s="17" t="str">
        <x:f>IF(OR(B378="",D378&lt;&gt;"pagada",NOT(ISNUMBER(J378)),NOT(ISNUMBER(M378))),"",J378-M378)</x:f>
      </x:c>
      <x:c r="O378" s="9"/>
      <x:c r="P378" s="9"/>
      <x:c r="Q378" s="1" t="str">
        <x:f>IF(B378="","",IF(COUNTIFS($B$7:$B$1006,B378,$C$7:$C$1006,C378)&gt;1,"ID duplicado",IF(OR(A378="",C378="",D378="",E378="",F378="",I378="",J378="",K378="",O378=""),"Completar datos",IF(NOT(ISNUMBER(M378)),"Falta costo histórico","Revisar soporte"))))</x:f>
      </x:c>
      <x:c r="R378" s="9" t="n">
        <x:f>IF(B378="",0,IF(AND(D378="pagada",NOT(ISNUMBER(M378))),1,0))</x:f>
        <x:v>0</x:v>
      </x:c>
    </x:row>
    <x:row r="379" ht="22" customHeight="1">
      <x:c r="A379" s="11"/>
      <x:c r="B379" s="9"/>
      <x:c r="C379" s="9"/>
      <x:c r="D379" s="9"/>
      <x:c r="E379" s="9"/>
      <x:c r="F379" s="9"/>
      <x:c r="G379" s="9"/>
      <x:c r="H379" s="9"/>
      <x:c r="I379" s="13"/>
      <x:c r="J379" s="15"/>
      <x:c r="K379" s="15"/>
      <x:c r="L379" s="17" t="str">
        <x:f>IF(B379="","",IF(NOT(AND(ISNUMBER(J379),ISNUMBER(K379))),"",SUM(J379:K379)))</x:f>
      </x:c>
      <x:c r="M379" s="15"/>
      <x:c r="N379" s="17" t="str">
        <x:f>IF(OR(B379="",D379&lt;&gt;"pagada",NOT(ISNUMBER(J379)),NOT(ISNUMBER(M379))),"",J379-M379)</x:f>
      </x:c>
      <x:c r="O379" s="9"/>
      <x:c r="P379" s="9"/>
      <x:c r="Q379" s="1" t="str">
        <x:f>IF(B379="","",IF(COUNTIFS($B$7:$B$1006,B379,$C$7:$C$1006,C379)&gt;1,"ID duplicado",IF(OR(A379="",C379="",D379="",E379="",F379="",I379="",J379="",K379="",O379=""),"Completar datos",IF(NOT(ISNUMBER(M379)),"Falta costo histórico","Revisar soporte"))))</x:f>
      </x:c>
      <x:c r="R379" s="9" t="n">
        <x:f>IF(B379="",0,IF(AND(D379="pagada",NOT(ISNUMBER(M379))),1,0))</x:f>
        <x:v>0</x:v>
      </x:c>
    </x:row>
    <x:row r="380" ht="22" customHeight="1">
      <x:c r="A380" s="11"/>
      <x:c r="B380" s="9"/>
      <x:c r="C380" s="9"/>
      <x:c r="D380" s="9"/>
      <x:c r="E380" s="9"/>
      <x:c r="F380" s="9"/>
      <x:c r="G380" s="9"/>
      <x:c r="H380" s="9"/>
      <x:c r="I380" s="13"/>
      <x:c r="J380" s="15"/>
      <x:c r="K380" s="15"/>
      <x:c r="L380" s="17" t="str">
        <x:f>IF(B380="","",IF(NOT(AND(ISNUMBER(J380),ISNUMBER(K380))),"",SUM(J380:K380)))</x:f>
      </x:c>
      <x:c r="M380" s="15"/>
      <x:c r="N380" s="17" t="str">
        <x:f>IF(OR(B380="",D380&lt;&gt;"pagada",NOT(ISNUMBER(J380)),NOT(ISNUMBER(M380))),"",J380-M380)</x:f>
      </x:c>
      <x:c r="O380" s="9"/>
      <x:c r="P380" s="9"/>
      <x:c r="Q380" s="1" t="str">
        <x:f>IF(B380="","",IF(COUNTIFS($B$7:$B$1006,B380,$C$7:$C$1006,C380)&gt;1,"ID duplicado",IF(OR(A380="",C380="",D380="",E380="",F380="",I380="",J380="",K380="",O380=""),"Completar datos",IF(NOT(ISNUMBER(M380)),"Falta costo histórico","Revisar soporte"))))</x:f>
      </x:c>
      <x:c r="R380" s="9" t="n">
        <x:f>IF(B380="",0,IF(AND(D380="pagada",NOT(ISNUMBER(M380))),1,0))</x:f>
        <x:v>0</x:v>
      </x:c>
    </x:row>
    <x:row r="381" ht="22" customHeight="1">
      <x:c r="A381" s="11"/>
      <x:c r="B381" s="9"/>
      <x:c r="C381" s="9"/>
      <x:c r="D381" s="9"/>
      <x:c r="E381" s="9"/>
      <x:c r="F381" s="9"/>
      <x:c r="G381" s="9"/>
      <x:c r="H381" s="9"/>
      <x:c r="I381" s="13"/>
      <x:c r="J381" s="15"/>
      <x:c r="K381" s="15"/>
      <x:c r="L381" s="17" t="str">
        <x:f>IF(B381="","",IF(NOT(AND(ISNUMBER(J381),ISNUMBER(K381))),"",SUM(J381:K381)))</x:f>
      </x:c>
      <x:c r="M381" s="15"/>
      <x:c r="N381" s="17" t="str">
        <x:f>IF(OR(B381="",D381&lt;&gt;"pagada",NOT(ISNUMBER(J381)),NOT(ISNUMBER(M381))),"",J381-M381)</x:f>
      </x:c>
      <x:c r="O381" s="9"/>
      <x:c r="P381" s="9"/>
      <x:c r="Q381" s="1" t="str">
        <x:f>IF(B381="","",IF(COUNTIFS($B$7:$B$1006,B381,$C$7:$C$1006,C381)&gt;1,"ID duplicado",IF(OR(A381="",C381="",D381="",E381="",F381="",I381="",J381="",K381="",O381=""),"Completar datos",IF(NOT(ISNUMBER(M381)),"Falta costo histórico","Revisar soporte"))))</x:f>
      </x:c>
      <x:c r="R381" s="9" t="n">
        <x:f>IF(B381="",0,IF(AND(D381="pagada",NOT(ISNUMBER(M381))),1,0))</x:f>
        <x:v>0</x:v>
      </x:c>
    </x:row>
    <x:row r="382" ht="22" customHeight="1">
      <x:c r="A382" s="11"/>
      <x:c r="B382" s="9"/>
      <x:c r="C382" s="9"/>
      <x:c r="D382" s="9"/>
      <x:c r="E382" s="9"/>
      <x:c r="F382" s="9"/>
      <x:c r="G382" s="9"/>
      <x:c r="H382" s="9"/>
      <x:c r="I382" s="13"/>
      <x:c r="J382" s="15"/>
      <x:c r="K382" s="15"/>
      <x:c r="L382" s="17" t="str">
        <x:f>IF(B382="","",IF(NOT(AND(ISNUMBER(J382),ISNUMBER(K382))),"",SUM(J382:K382)))</x:f>
      </x:c>
      <x:c r="M382" s="15"/>
      <x:c r="N382" s="17" t="str">
        <x:f>IF(OR(B382="",D382&lt;&gt;"pagada",NOT(ISNUMBER(J382)),NOT(ISNUMBER(M382))),"",J382-M382)</x:f>
      </x:c>
      <x:c r="O382" s="9"/>
      <x:c r="P382" s="9"/>
      <x:c r="Q382" s="1" t="str">
        <x:f>IF(B382="","",IF(COUNTIFS($B$7:$B$1006,B382,$C$7:$C$1006,C382)&gt;1,"ID duplicado",IF(OR(A382="",C382="",D382="",E382="",F382="",I382="",J382="",K382="",O382=""),"Completar datos",IF(NOT(ISNUMBER(M382)),"Falta costo histórico","Revisar soporte"))))</x:f>
      </x:c>
      <x:c r="R382" s="9" t="n">
        <x:f>IF(B382="",0,IF(AND(D382="pagada",NOT(ISNUMBER(M382))),1,0))</x:f>
        <x:v>0</x:v>
      </x:c>
    </x:row>
    <x:row r="383" ht="22" customHeight="1">
      <x:c r="A383" s="11"/>
      <x:c r="B383" s="9"/>
      <x:c r="C383" s="9"/>
      <x:c r="D383" s="9"/>
      <x:c r="E383" s="9"/>
      <x:c r="F383" s="9"/>
      <x:c r="G383" s="9"/>
      <x:c r="H383" s="9"/>
      <x:c r="I383" s="13"/>
      <x:c r="J383" s="15"/>
      <x:c r="K383" s="15"/>
      <x:c r="L383" s="17" t="str">
        <x:f>IF(B383="","",IF(NOT(AND(ISNUMBER(J383),ISNUMBER(K383))),"",SUM(J383:K383)))</x:f>
      </x:c>
      <x:c r="M383" s="15"/>
      <x:c r="N383" s="17" t="str">
        <x:f>IF(OR(B383="",D383&lt;&gt;"pagada",NOT(ISNUMBER(J383)),NOT(ISNUMBER(M383))),"",J383-M383)</x:f>
      </x:c>
      <x:c r="O383" s="9"/>
      <x:c r="P383" s="9"/>
      <x:c r="Q383" s="1" t="str">
        <x:f>IF(B383="","",IF(COUNTIFS($B$7:$B$1006,B383,$C$7:$C$1006,C383)&gt;1,"ID duplicado",IF(OR(A383="",C383="",D383="",E383="",F383="",I383="",J383="",K383="",O383=""),"Completar datos",IF(NOT(ISNUMBER(M383)),"Falta costo histórico","Revisar soporte"))))</x:f>
      </x:c>
      <x:c r="R383" s="9" t="n">
        <x:f>IF(B383="",0,IF(AND(D383="pagada",NOT(ISNUMBER(M383))),1,0))</x:f>
        <x:v>0</x:v>
      </x:c>
    </x:row>
    <x:row r="384" ht="22" customHeight="1">
      <x:c r="A384" s="11"/>
      <x:c r="B384" s="9"/>
      <x:c r="C384" s="9"/>
      <x:c r="D384" s="9"/>
      <x:c r="E384" s="9"/>
      <x:c r="F384" s="9"/>
      <x:c r="G384" s="9"/>
      <x:c r="H384" s="9"/>
      <x:c r="I384" s="13"/>
      <x:c r="J384" s="15"/>
      <x:c r="K384" s="15"/>
      <x:c r="L384" s="17" t="str">
        <x:f>IF(B384="","",IF(NOT(AND(ISNUMBER(J384),ISNUMBER(K384))),"",SUM(J384:K384)))</x:f>
      </x:c>
      <x:c r="M384" s="15"/>
      <x:c r="N384" s="17" t="str">
        <x:f>IF(OR(B384="",D384&lt;&gt;"pagada",NOT(ISNUMBER(J384)),NOT(ISNUMBER(M384))),"",J384-M384)</x:f>
      </x:c>
      <x:c r="O384" s="9"/>
      <x:c r="P384" s="9"/>
      <x:c r="Q384" s="1" t="str">
        <x:f>IF(B384="","",IF(COUNTIFS($B$7:$B$1006,B384,$C$7:$C$1006,C384)&gt;1,"ID duplicado",IF(OR(A384="",C384="",D384="",E384="",F384="",I384="",J384="",K384="",O384=""),"Completar datos",IF(NOT(ISNUMBER(M384)),"Falta costo histórico","Revisar soporte"))))</x:f>
      </x:c>
      <x:c r="R384" s="9" t="n">
        <x:f>IF(B384="",0,IF(AND(D384="pagada",NOT(ISNUMBER(M384))),1,0))</x:f>
        <x:v>0</x:v>
      </x:c>
    </x:row>
    <x:row r="385" ht="22" customHeight="1">
      <x:c r="A385" s="11"/>
      <x:c r="B385" s="9"/>
      <x:c r="C385" s="9"/>
      <x:c r="D385" s="9"/>
      <x:c r="E385" s="9"/>
      <x:c r="F385" s="9"/>
      <x:c r="G385" s="9"/>
      <x:c r="H385" s="9"/>
      <x:c r="I385" s="13"/>
      <x:c r="J385" s="15"/>
      <x:c r="K385" s="15"/>
      <x:c r="L385" s="17" t="str">
        <x:f>IF(B385="","",IF(NOT(AND(ISNUMBER(J385),ISNUMBER(K385))),"",SUM(J385:K385)))</x:f>
      </x:c>
      <x:c r="M385" s="15"/>
      <x:c r="N385" s="17" t="str">
        <x:f>IF(OR(B385="",D385&lt;&gt;"pagada",NOT(ISNUMBER(J385)),NOT(ISNUMBER(M385))),"",J385-M385)</x:f>
      </x:c>
      <x:c r="O385" s="9"/>
      <x:c r="P385" s="9"/>
      <x:c r="Q385" s="1" t="str">
        <x:f>IF(B385="","",IF(COUNTIFS($B$7:$B$1006,B385,$C$7:$C$1006,C385)&gt;1,"ID duplicado",IF(OR(A385="",C385="",D385="",E385="",F385="",I385="",J385="",K385="",O385=""),"Completar datos",IF(NOT(ISNUMBER(M385)),"Falta costo histórico","Revisar soporte"))))</x:f>
      </x:c>
      <x:c r="R385" s="9" t="n">
        <x:f>IF(B385="",0,IF(AND(D385="pagada",NOT(ISNUMBER(M385))),1,0))</x:f>
        <x:v>0</x:v>
      </x:c>
    </x:row>
    <x:row r="386" ht="22" customHeight="1">
      <x:c r="A386" s="11"/>
      <x:c r="B386" s="9"/>
      <x:c r="C386" s="9"/>
      <x:c r="D386" s="9"/>
      <x:c r="E386" s="9"/>
      <x:c r="F386" s="9"/>
      <x:c r="G386" s="9"/>
      <x:c r="H386" s="9"/>
      <x:c r="I386" s="13"/>
      <x:c r="J386" s="15"/>
      <x:c r="K386" s="15"/>
      <x:c r="L386" s="17" t="str">
        <x:f>IF(B386="","",IF(NOT(AND(ISNUMBER(J386),ISNUMBER(K386))),"",SUM(J386:K386)))</x:f>
      </x:c>
      <x:c r="M386" s="15"/>
      <x:c r="N386" s="17" t="str">
        <x:f>IF(OR(B386="",D386&lt;&gt;"pagada",NOT(ISNUMBER(J386)),NOT(ISNUMBER(M386))),"",J386-M386)</x:f>
      </x:c>
      <x:c r="O386" s="9"/>
      <x:c r="P386" s="9"/>
      <x:c r="Q386" s="1" t="str">
        <x:f>IF(B386="","",IF(COUNTIFS($B$7:$B$1006,B386,$C$7:$C$1006,C386)&gt;1,"ID duplicado",IF(OR(A386="",C386="",D386="",E386="",F386="",I386="",J386="",K386="",O386=""),"Completar datos",IF(NOT(ISNUMBER(M386)),"Falta costo histórico","Revisar soporte"))))</x:f>
      </x:c>
      <x:c r="R386" s="9" t="n">
        <x:f>IF(B386="",0,IF(AND(D386="pagada",NOT(ISNUMBER(M386))),1,0))</x:f>
        <x:v>0</x:v>
      </x:c>
    </x:row>
    <x:row r="387" ht="22" customHeight="1">
      <x:c r="A387" s="11"/>
      <x:c r="B387" s="9"/>
      <x:c r="C387" s="9"/>
      <x:c r="D387" s="9"/>
      <x:c r="E387" s="9"/>
      <x:c r="F387" s="9"/>
      <x:c r="G387" s="9"/>
      <x:c r="H387" s="9"/>
      <x:c r="I387" s="13"/>
      <x:c r="J387" s="15"/>
      <x:c r="K387" s="15"/>
      <x:c r="L387" s="17" t="str">
        <x:f>IF(B387="","",IF(NOT(AND(ISNUMBER(J387),ISNUMBER(K387))),"",SUM(J387:K387)))</x:f>
      </x:c>
      <x:c r="M387" s="15"/>
      <x:c r="N387" s="17" t="str">
        <x:f>IF(OR(B387="",D387&lt;&gt;"pagada",NOT(ISNUMBER(J387)),NOT(ISNUMBER(M387))),"",J387-M387)</x:f>
      </x:c>
      <x:c r="O387" s="9"/>
      <x:c r="P387" s="9"/>
      <x:c r="Q387" s="1" t="str">
        <x:f>IF(B387="","",IF(COUNTIFS($B$7:$B$1006,B387,$C$7:$C$1006,C387)&gt;1,"ID duplicado",IF(OR(A387="",C387="",D387="",E387="",F387="",I387="",J387="",K387="",O387=""),"Completar datos",IF(NOT(ISNUMBER(M387)),"Falta costo histórico","Revisar soporte"))))</x:f>
      </x:c>
      <x:c r="R387" s="9" t="n">
        <x:f>IF(B387="",0,IF(AND(D387="pagada",NOT(ISNUMBER(M387))),1,0))</x:f>
        <x:v>0</x:v>
      </x:c>
    </x:row>
    <x:row r="388" ht="22" customHeight="1">
      <x:c r="A388" s="11"/>
      <x:c r="B388" s="9"/>
      <x:c r="C388" s="9"/>
      <x:c r="D388" s="9"/>
      <x:c r="E388" s="9"/>
      <x:c r="F388" s="9"/>
      <x:c r="G388" s="9"/>
      <x:c r="H388" s="9"/>
      <x:c r="I388" s="13"/>
      <x:c r="J388" s="15"/>
      <x:c r="K388" s="15"/>
      <x:c r="L388" s="17" t="str">
        <x:f>IF(B388="","",IF(NOT(AND(ISNUMBER(J388),ISNUMBER(K388))),"",SUM(J388:K388)))</x:f>
      </x:c>
      <x:c r="M388" s="15"/>
      <x:c r="N388" s="17" t="str">
        <x:f>IF(OR(B388="",D388&lt;&gt;"pagada",NOT(ISNUMBER(J388)),NOT(ISNUMBER(M388))),"",J388-M388)</x:f>
      </x:c>
      <x:c r="O388" s="9"/>
      <x:c r="P388" s="9"/>
      <x:c r="Q388" s="1" t="str">
        <x:f>IF(B388="","",IF(COUNTIFS($B$7:$B$1006,B388,$C$7:$C$1006,C388)&gt;1,"ID duplicado",IF(OR(A388="",C388="",D388="",E388="",F388="",I388="",J388="",K388="",O388=""),"Completar datos",IF(NOT(ISNUMBER(M388)),"Falta costo histórico","Revisar soporte"))))</x:f>
      </x:c>
      <x:c r="R388" s="9" t="n">
        <x:f>IF(B388="",0,IF(AND(D388="pagada",NOT(ISNUMBER(M388))),1,0))</x:f>
        <x:v>0</x:v>
      </x:c>
    </x:row>
    <x:row r="389" ht="22" customHeight="1">
      <x:c r="A389" s="11"/>
      <x:c r="B389" s="9"/>
      <x:c r="C389" s="9"/>
      <x:c r="D389" s="9"/>
      <x:c r="E389" s="9"/>
      <x:c r="F389" s="9"/>
      <x:c r="G389" s="9"/>
      <x:c r="H389" s="9"/>
      <x:c r="I389" s="13"/>
      <x:c r="J389" s="15"/>
      <x:c r="K389" s="15"/>
      <x:c r="L389" s="17" t="str">
        <x:f>IF(B389="","",IF(NOT(AND(ISNUMBER(J389),ISNUMBER(K389))),"",SUM(J389:K389)))</x:f>
      </x:c>
      <x:c r="M389" s="15"/>
      <x:c r="N389" s="17" t="str">
        <x:f>IF(OR(B389="",D389&lt;&gt;"pagada",NOT(ISNUMBER(J389)),NOT(ISNUMBER(M389))),"",J389-M389)</x:f>
      </x:c>
      <x:c r="O389" s="9"/>
      <x:c r="P389" s="9"/>
      <x:c r="Q389" s="1" t="str">
        <x:f>IF(B389="","",IF(COUNTIFS($B$7:$B$1006,B389,$C$7:$C$1006,C389)&gt;1,"ID duplicado",IF(OR(A389="",C389="",D389="",E389="",F389="",I389="",J389="",K389="",O389=""),"Completar datos",IF(NOT(ISNUMBER(M389)),"Falta costo histórico","Revisar soporte"))))</x:f>
      </x:c>
      <x:c r="R389" s="9" t="n">
        <x:f>IF(B389="",0,IF(AND(D389="pagada",NOT(ISNUMBER(M389))),1,0))</x:f>
        <x:v>0</x:v>
      </x:c>
    </x:row>
    <x:row r="390" ht="22" customHeight="1">
      <x:c r="A390" s="11"/>
      <x:c r="B390" s="9"/>
      <x:c r="C390" s="9"/>
      <x:c r="D390" s="9"/>
      <x:c r="E390" s="9"/>
      <x:c r="F390" s="9"/>
      <x:c r="G390" s="9"/>
      <x:c r="H390" s="9"/>
      <x:c r="I390" s="13"/>
      <x:c r="J390" s="15"/>
      <x:c r="K390" s="15"/>
      <x:c r="L390" s="17" t="str">
        <x:f>IF(B390="","",IF(NOT(AND(ISNUMBER(J390),ISNUMBER(K390))),"",SUM(J390:K390)))</x:f>
      </x:c>
      <x:c r="M390" s="15"/>
      <x:c r="N390" s="17" t="str">
        <x:f>IF(OR(B390="",D390&lt;&gt;"pagada",NOT(ISNUMBER(J390)),NOT(ISNUMBER(M390))),"",J390-M390)</x:f>
      </x:c>
      <x:c r="O390" s="9"/>
      <x:c r="P390" s="9"/>
      <x:c r="Q390" s="1" t="str">
        <x:f>IF(B390="","",IF(COUNTIFS($B$7:$B$1006,B390,$C$7:$C$1006,C390)&gt;1,"ID duplicado",IF(OR(A390="",C390="",D390="",E390="",F390="",I390="",J390="",K390="",O390=""),"Completar datos",IF(NOT(ISNUMBER(M390)),"Falta costo histórico","Revisar soporte"))))</x:f>
      </x:c>
      <x:c r="R390" s="9" t="n">
        <x:f>IF(B390="",0,IF(AND(D390="pagada",NOT(ISNUMBER(M390))),1,0))</x:f>
        <x:v>0</x:v>
      </x:c>
    </x:row>
    <x:row r="391" ht="22" customHeight="1">
      <x:c r="A391" s="11"/>
      <x:c r="B391" s="9"/>
      <x:c r="C391" s="9"/>
      <x:c r="D391" s="9"/>
      <x:c r="E391" s="9"/>
      <x:c r="F391" s="9"/>
      <x:c r="G391" s="9"/>
      <x:c r="H391" s="9"/>
      <x:c r="I391" s="13"/>
      <x:c r="J391" s="15"/>
      <x:c r="K391" s="15"/>
      <x:c r="L391" s="17" t="str">
        <x:f>IF(B391="","",IF(NOT(AND(ISNUMBER(J391),ISNUMBER(K391))),"",SUM(J391:K391)))</x:f>
      </x:c>
      <x:c r="M391" s="15"/>
      <x:c r="N391" s="17" t="str">
        <x:f>IF(OR(B391="",D391&lt;&gt;"pagada",NOT(ISNUMBER(J391)),NOT(ISNUMBER(M391))),"",J391-M391)</x:f>
      </x:c>
      <x:c r="O391" s="9"/>
      <x:c r="P391" s="9"/>
      <x:c r="Q391" s="1" t="str">
        <x:f>IF(B391="","",IF(COUNTIFS($B$7:$B$1006,B391,$C$7:$C$1006,C391)&gt;1,"ID duplicado",IF(OR(A391="",C391="",D391="",E391="",F391="",I391="",J391="",K391="",O391=""),"Completar datos",IF(NOT(ISNUMBER(M391)),"Falta costo histórico","Revisar soporte"))))</x:f>
      </x:c>
      <x:c r="R391" s="9" t="n">
        <x:f>IF(B391="",0,IF(AND(D391="pagada",NOT(ISNUMBER(M391))),1,0))</x:f>
        <x:v>0</x:v>
      </x:c>
    </x:row>
    <x:row r="392" ht="22" customHeight="1">
      <x:c r="A392" s="11"/>
      <x:c r="B392" s="9"/>
      <x:c r="C392" s="9"/>
      <x:c r="D392" s="9"/>
      <x:c r="E392" s="9"/>
      <x:c r="F392" s="9"/>
      <x:c r="G392" s="9"/>
      <x:c r="H392" s="9"/>
      <x:c r="I392" s="13"/>
      <x:c r="J392" s="15"/>
      <x:c r="K392" s="15"/>
      <x:c r="L392" s="17" t="str">
        <x:f>IF(B392="","",IF(NOT(AND(ISNUMBER(J392),ISNUMBER(K392))),"",SUM(J392:K392)))</x:f>
      </x:c>
      <x:c r="M392" s="15"/>
      <x:c r="N392" s="17" t="str">
        <x:f>IF(OR(B392="",D392&lt;&gt;"pagada",NOT(ISNUMBER(J392)),NOT(ISNUMBER(M392))),"",J392-M392)</x:f>
      </x:c>
      <x:c r="O392" s="9"/>
      <x:c r="P392" s="9"/>
      <x:c r="Q392" s="1" t="str">
        <x:f>IF(B392="","",IF(COUNTIFS($B$7:$B$1006,B392,$C$7:$C$1006,C392)&gt;1,"ID duplicado",IF(OR(A392="",C392="",D392="",E392="",F392="",I392="",J392="",K392="",O392=""),"Completar datos",IF(NOT(ISNUMBER(M392)),"Falta costo histórico","Revisar soporte"))))</x:f>
      </x:c>
      <x:c r="R392" s="9" t="n">
        <x:f>IF(B392="",0,IF(AND(D392="pagada",NOT(ISNUMBER(M392))),1,0))</x:f>
        <x:v>0</x:v>
      </x:c>
    </x:row>
    <x:row r="393" ht="22" customHeight="1">
      <x:c r="A393" s="11"/>
      <x:c r="B393" s="9"/>
      <x:c r="C393" s="9"/>
      <x:c r="D393" s="9"/>
      <x:c r="E393" s="9"/>
      <x:c r="F393" s="9"/>
      <x:c r="G393" s="9"/>
      <x:c r="H393" s="9"/>
      <x:c r="I393" s="13"/>
      <x:c r="J393" s="15"/>
      <x:c r="K393" s="15"/>
      <x:c r="L393" s="17" t="str">
        <x:f>IF(B393="","",IF(NOT(AND(ISNUMBER(J393),ISNUMBER(K393))),"",SUM(J393:K393)))</x:f>
      </x:c>
      <x:c r="M393" s="15"/>
      <x:c r="N393" s="17" t="str">
        <x:f>IF(OR(B393="",D393&lt;&gt;"pagada",NOT(ISNUMBER(J393)),NOT(ISNUMBER(M393))),"",J393-M393)</x:f>
      </x:c>
      <x:c r="O393" s="9"/>
      <x:c r="P393" s="9"/>
      <x:c r="Q393" s="1" t="str">
        <x:f>IF(B393="","",IF(COUNTIFS($B$7:$B$1006,B393,$C$7:$C$1006,C393)&gt;1,"ID duplicado",IF(OR(A393="",C393="",D393="",E393="",F393="",I393="",J393="",K393="",O393=""),"Completar datos",IF(NOT(ISNUMBER(M393)),"Falta costo histórico","Revisar soporte"))))</x:f>
      </x:c>
      <x:c r="R393" s="9" t="n">
        <x:f>IF(B393="",0,IF(AND(D393="pagada",NOT(ISNUMBER(M393))),1,0))</x:f>
        <x:v>0</x:v>
      </x:c>
    </x:row>
    <x:row r="394" ht="22" customHeight="1">
      <x:c r="A394" s="11"/>
      <x:c r="B394" s="9"/>
      <x:c r="C394" s="9"/>
      <x:c r="D394" s="9"/>
      <x:c r="E394" s="9"/>
      <x:c r="F394" s="9"/>
      <x:c r="G394" s="9"/>
      <x:c r="H394" s="9"/>
      <x:c r="I394" s="13"/>
      <x:c r="J394" s="15"/>
      <x:c r="K394" s="15"/>
      <x:c r="L394" s="17" t="str">
        <x:f>IF(B394="","",IF(NOT(AND(ISNUMBER(J394),ISNUMBER(K394))),"",SUM(J394:K394)))</x:f>
      </x:c>
      <x:c r="M394" s="15"/>
      <x:c r="N394" s="17" t="str">
        <x:f>IF(OR(B394="",D394&lt;&gt;"pagada",NOT(ISNUMBER(J394)),NOT(ISNUMBER(M394))),"",J394-M394)</x:f>
      </x:c>
      <x:c r="O394" s="9"/>
      <x:c r="P394" s="9"/>
      <x:c r="Q394" s="1" t="str">
        <x:f>IF(B394="","",IF(COUNTIFS($B$7:$B$1006,B394,$C$7:$C$1006,C394)&gt;1,"ID duplicado",IF(OR(A394="",C394="",D394="",E394="",F394="",I394="",J394="",K394="",O394=""),"Completar datos",IF(NOT(ISNUMBER(M394)),"Falta costo histórico","Revisar soporte"))))</x:f>
      </x:c>
      <x:c r="R394" s="9" t="n">
        <x:f>IF(B394="",0,IF(AND(D394="pagada",NOT(ISNUMBER(M394))),1,0))</x:f>
        <x:v>0</x:v>
      </x:c>
    </x:row>
    <x:row r="395" ht="22" customHeight="1">
      <x:c r="A395" s="11"/>
      <x:c r="B395" s="9"/>
      <x:c r="C395" s="9"/>
      <x:c r="D395" s="9"/>
      <x:c r="E395" s="9"/>
      <x:c r="F395" s="9"/>
      <x:c r="G395" s="9"/>
      <x:c r="H395" s="9"/>
      <x:c r="I395" s="13"/>
      <x:c r="J395" s="15"/>
      <x:c r="K395" s="15"/>
      <x:c r="L395" s="17" t="str">
        <x:f>IF(B395="","",IF(NOT(AND(ISNUMBER(J395),ISNUMBER(K395))),"",SUM(J395:K395)))</x:f>
      </x:c>
      <x:c r="M395" s="15"/>
      <x:c r="N395" s="17" t="str">
        <x:f>IF(OR(B395="",D395&lt;&gt;"pagada",NOT(ISNUMBER(J395)),NOT(ISNUMBER(M395))),"",J395-M395)</x:f>
      </x:c>
      <x:c r="O395" s="9"/>
      <x:c r="P395" s="9"/>
      <x:c r="Q395" s="1" t="str">
        <x:f>IF(B395="","",IF(COUNTIFS($B$7:$B$1006,B395,$C$7:$C$1006,C395)&gt;1,"ID duplicado",IF(OR(A395="",C395="",D395="",E395="",F395="",I395="",J395="",K395="",O395=""),"Completar datos",IF(NOT(ISNUMBER(M395)),"Falta costo histórico","Revisar soporte"))))</x:f>
      </x:c>
      <x:c r="R395" s="9" t="n">
        <x:f>IF(B395="",0,IF(AND(D395="pagada",NOT(ISNUMBER(M395))),1,0))</x:f>
        <x:v>0</x:v>
      </x:c>
    </x:row>
    <x:row r="396" ht="22" customHeight="1">
      <x:c r="A396" s="11"/>
      <x:c r="B396" s="9"/>
      <x:c r="C396" s="9"/>
      <x:c r="D396" s="9"/>
      <x:c r="E396" s="9"/>
      <x:c r="F396" s="9"/>
      <x:c r="G396" s="9"/>
      <x:c r="H396" s="9"/>
      <x:c r="I396" s="13"/>
      <x:c r="J396" s="15"/>
      <x:c r="K396" s="15"/>
      <x:c r="L396" s="17" t="str">
        <x:f>IF(B396="","",IF(NOT(AND(ISNUMBER(J396),ISNUMBER(K396))),"",SUM(J396:K396)))</x:f>
      </x:c>
      <x:c r="M396" s="15"/>
      <x:c r="N396" s="17" t="str">
        <x:f>IF(OR(B396="",D396&lt;&gt;"pagada",NOT(ISNUMBER(J396)),NOT(ISNUMBER(M396))),"",J396-M396)</x:f>
      </x:c>
      <x:c r="O396" s="9"/>
      <x:c r="P396" s="9"/>
      <x:c r="Q396" s="1" t="str">
        <x:f>IF(B396="","",IF(COUNTIFS($B$7:$B$1006,B396,$C$7:$C$1006,C396)&gt;1,"ID duplicado",IF(OR(A396="",C396="",D396="",E396="",F396="",I396="",J396="",K396="",O396=""),"Completar datos",IF(NOT(ISNUMBER(M396)),"Falta costo histórico","Revisar soporte"))))</x:f>
      </x:c>
      <x:c r="R396" s="9" t="n">
        <x:f>IF(B396="",0,IF(AND(D396="pagada",NOT(ISNUMBER(M396))),1,0))</x:f>
        <x:v>0</x:v>
      </x:c>
    </x:row>
    <x:row r="397" ht="22" customHeight="1">
      <x:c r="A397" s="11"/>
      <x:c r="B397" s="9"/>
      <x:c r="C397" s="9"/>
      <x:c r="D397" s="9"/>
      <x:c r="E397" s="9"/>
      <x:c r="F397" s="9"/>
      <x:c r="G397" s="9"/>
      <x:c r="H397" s="9"/>
      <x:c r="I397" s="13"/>
      <x:c r="J397" s="15"/>
      <x:c r="K397" s="15"/>
      <x:c r="L397" s="17" t="str">
        <x:f>IF(B397="","",IF(NOT(AND(ISNUMBER(J397),ISNUMBER(K397))),"",SUM(J397:K397)))</x:f>
      </x:c>
      <x:c r="M397" s="15"/>
      <x:c r="N397" s="17" t="str">
        <x:f>IF(OR(B397="",D397&lt;&gt;"pagada",NOT(ISNUMBER(J397)),NOT(ISNUMBER(M397))),"",J397-M397)</x:f>
      </x:c>
      <x:c r="O397" s="9"/>
      <x:c r="P397" s="9"/>
      <x:c r="Q397" s="1" t="str">
        <x:f>IF(B397="","",IF(COUNTIFS($B$7:$B$1006,B397,$C$7:$C$1006,C397)&gt;1,"ID duplicado",IF(OR(A397="",C397="",D397="",E397="",F397="",I397="",J397="",K397="",O397=""),"Completar datos",IF(NOT(ISNUMBER(M397)),"Falta costo histórico","Revisar soporte"))))</x:f>
      </x:c>
      <x:c r="R397" s="9" t="n">
        <x:f>IF(B397="",0,IF(AND(D397="pagada",NOT(ISNUMBER(M397))),1,0))</x:f>
        <x:v>0</x:v>
      </x:c>
    </x:row>
    <x:row r="398" ht="22" customHeight="1">
      <x:c r="A398" s="11"/>
      <x:c r="B398" s="9"/>
      <x:c r="C398" s="9"/>
      <x:c r="D398" s="9"/>
      <x:c r="E398" s="9"/>
      <x:c r="F398" s="9"/>
      <x:c r="G398" s="9"/>
      <x:c r="H398" s="9"/>
      <x:c r="I398" s="13"/>
      <x:c r="J398" s="15"/>
      <x:c r="K398" s="15"/>
      <x:c r="L398" s="17" t="str">
        <x:f>IF(B398="","",IF(NOT(AND(ISNUMBER(J398),ISNUMBER(K398))),"",SUM(J398:K398)))</x:f>
      </x:c>
      <x:c r="M398" s="15"/>
      <x:c r="N398" s="17" t="str">
        <x:f>IF(OR(B398="",D398&lt;&gt;"pagada",NOT(ISNUMBER(J398)),NOT(ISNUMBER(M398))),"",J398-M398)</x:f>
      </x:c>
      <x:c r="O398" s="9"/>
      <x:c r="P398" s="9"/>
      <x:c r="Q398" s="1" t="str">
        <x:f>IF(B398="","",IF(COUNTIFS($B$7:$B$1006,B398,$C$7:$C$1006,C398)&gt;1,"ID duplicado",IF(OR(A398="",C398="",D398="",E398="",F398="",I398="",J398="",K398="",O398=""),"Completar datos",IF(NOT(ISNUMBER(M398)),"Falta costo histórico","Revisar soporte"))))</x:f>
      </x:c>
      <x:c r="R398" s="9" t="n">
        <x:f>IF(B398="",0,IF(AND(D398="pagada",NOT(ISNUMBER(M398))),1,0))</x:f>
        <x:v>0</x:v>
      </x:c>
    </x:row>
    <x:row r="399" ht="22" customHeight="1">
      <x:c r="A399" s="11"/>
      <x:c r="B399" s="9"/>
      <x:c r="C399" s="9"/>
      <x:c r="D399" s="9"/>
      <x:c r="E399" s="9"/>
      <x:c r="F399" s="9"/>
      <x:c r="G399" s="9"/>
      <x:c r="H399" s="9"/>
      <x:c r="I399" s="13"/>
      <x:c r="J399" s="15"/>
      <x:c r="K399" s="15"/>
      <x:c r="L399" s="17" t="str">
        <x:f>IF(B399="","",IF(NOT(AND(ISNUMBER(J399),ISNUMBER(K399))),"",SUM(J399:K399)))</x:f>
      </x:c>
      <x:c r="M399" s="15"/>
      <x:c r="N399" s="17" t="str">
        <x:f>IF(OR(B399="",D399&lt;&gt;"pagada",NOT(ISNUMBER(J399)),NOT(ISNUMBER(M399))),"",J399-M399)</x:f>
      </x:c>
      <x:c r="O399" s="9"/>
      <x:c r="P399" s="9"/>
      <x:c r="Q399" s="1" t="str">
        <x:f>IF(B399="","",IF(COUNTIFS($B$7:$B$1006,B399,$C$7:$C$1006,C399)&gt;1,"ID duplicado",IF(OR(A399="",C399="",D399="",E399="",F399="",I399="",J399="",K399="",O399=""),"Completar datos",IF(NOT(ISNUMBER(M399)),"Falta costo histórico","Revisar soporte"))))</x:f>
      </x:c>
      <x:c r="R399" s="9" t="n">
        <x:f>IF(B399="",0,IF(AND(D399="pagada",NOT(ISNUMBER(M399))),1,0))</x:f>
        <x:v>0</x:v>
      </x:c>
    </x:row>
    <x:row r="400" ht="22" customHeight="1">
      <x:c r="A400" s="11"/>
      <x:c r="B400" s="9"/>
      <x:c r="C400" s="9"/>
      <x:c r="D400" s="9"/>
      <x:c r="E400" s="9"/>
      <x:c r="F400" s="9"/>
      <x:c r="G400" s="9"/>
      <x:c r="H400" s="9"/>
      <x:c r="I400" s="13"/>
      <x:c r="J400" s="15"/>
      <x:c r="K400" s="15"/>
      <x:c r="L400" s="17" t="str">
        <x:f>IF(B400="","",IF(NOT(AND(ISNUMBER(J400),ISNUMBER(K400))),"",SUM(J400:K400)))</x:f>
      </x:c>
      <x:c r="M400" s="15"/>
      <x:c r="N400" s="17" t="str">
        <x:f>IF(OR(B400="",D400&lt;&gt;"pagada",NOT(ISNUMBER(J400)),NOT(ISNUMBER(M400))),"",J400-M400)</x:f>
      </x:c>
      <x:c r="O400" s="9"/>
      <x:c r="P400" s="9"/>
      <x:c r="Q400" s="1" t="str">
        <x:f>IF(B400="","",IF(COUNTIFS($B$7:$B$1006,B400,$C$7:$C$1006,C400)&gt;1,"ID duplicado",IF(OR(A400="",C400="",D400="",E400="",F400="",I400="",J400="",K400="",O400=""),"Completar datos",IF(NOT(ISNUMBER(M400)),"Falta costo histórico","Revisar soporte"))))</x:f>
      </x:c>
      <x:c r="R400" s="9" t="n">
        <x:f>IF(B400="",0,IF(AND(D400="pagada",NOT(ISNUMBER(M400))),1,0))</x:f>
        <x:v>0</x:v>
      </x:c>
    </x:row>
    <x:row r="401" ht="22" customHeight="1">
      <x:c r="A401" s="11"/>
      <x:c r="B401" s="9"/>
      <x:c r="C401" s="9"/>
      <x:c r="D401" s="9"/>
      <x:c r="E401" s="9"/>
      <x:c r="F401" s="9"/>
      <x:c r="G401" s="9"/>
      <x:c r="H401" s="9"/>
      <x:c r="I401" s="13"/>
      <x:c r="J401" s="15"/>
      <x:c r="K401" s="15"/>
      <x:c r="L401" s="17" t="str">
        <x:f>IF(B401="","",IF(NOT(AND(ISNUMBER(J401),ISNUMBER(K401))),"",SUM(J401:K401)))</x:f>
      </x:c>
      <x:c r="M401" s="15"/>
      <x:c r="N401" s="17" t="str">
        <x:f>IF(OR(B401="",D401&lt;&gt;"pagada",NOT(ISNUMBER(J401)),NOT(ISNUMBER(M401))),"",J401-M401)</x:f>
      </x:c>
      <x:c r="O401" s="9"/>
      <x:c r="P401" s="9"/>
      <x:c r="Q401" s="1" t="str">
        <x:f>IF(B401="","",IF(COUNTIFS($B$7:$B$1006,B401,$C$7:$C$1006,C401)&gt;1,"ID duplicado",IF(OR(A401="",C401="",D401="",E401="",F401="",I401="",J401="",K401="",O401=""),"Completar datos",IF(NOT(ISNUMBER(M401)),"Falta costo histórico","Revisar soporte"))))</x:f>
      </x:c>
      <x:c r="R401" s="9" t="n">
        <x:f>IF(B401="",0,IF(AND(D401="pagada",NOT(ISNUMBER(M401))),1,0))</x:f>
        <x:v>0</x:v>
      </x:c>
    </x:row>
    <x:row r="402" ht="22" customHeight="1">
      <x:c r="A402" s="11"/>
      <x:c r="B402" s="9"/>
      <x:c r="C402" s="9"/>
      <x:c r="D402" s="9"/>
      <x:c r="E402" s="9"/>
      <x:c r="F402" s="9"/>
      <x:c r="G402" s="9"/>
      <x:c r="H402" s="9"/>
      <x:c r="I402" s="13"/>
      <x:c r="J402" s="15"/>
      <x:c r="K402" s="15"/>
      <x:c r="L402" s="17" t="str">
        <x:f>IF(B402="","",IF(NOT(AND(ISNUMBER(J402),ISNUMBER(K402))),"",SUM(J402:K402)))</x:f>
      </x:c>
      <x:c r="M402" s="15"/>
      <x:c r="N402" s="17" t="str">
        <x:f>IF(OR(B402="",D402&lt;&gt;"pagada",NOT(ISNUMBER(J402)),NOT(ISNUMBER(M402))),"",J402-M402)</x:f>
      </x:c>
      <x:c r="O402" s="9"/>
      <x:c r="P402" s="9"/>
      <x:c r="Q402" s="1" t="str">
        <x:f>IF(B402="","",IF(COUNTIFS($B$7:$B$1006,B402,$C$7:$C$1006,C402)&gt;1,"ID duplicado",IF(OR(A402="",C402="",D402="",E402="",F402="",I402="",J402="",K402="",O402=""),"Completar datos",IF(NOT(ISNUMBER(M402)),"Falta costo histórico","Revisar soporte"))))</x:f>
      </x:c>
      <x:c r="R402" s="9" t="n">
        <x:f>IF(B402="",0,IF(AND(D402="pagada",NOT(ISNUMBER(M402))),1,0))</x:f>
        <x:v>0</x:v>
      </x:c>
    </x:row>
    <x:row r="403" ht="22" customHeight="1">
      <x:c r="A403" s="11"/>
      <x:c r="B403" s="9"/>
      <x:c r="C403" s="9"/>
      <x:c r="D403" s="9"/>
      <x:c r="E403" s="9"/>
      <x:c r="F403" s="9"/>
      <x:c r="G403" s="9"/>
      <x:c r="H403" s="9"/>
      <x:c r="I403" s="13"/>
      <x:c r="J403" s="15"/>
      <x:c r="K403" s="15"/>
      <x:c r="L403" s="17" t="str">
        <x:f>IF(B403="","",IF(NOT(AND(ISNUMBER(J403),ISNUMBER(K403))),"",SUM(J403:K403)))</x:f>
      </x:c>
      <x:c r="M403" s="15"/>
      <x:c r="N403" s="17" t="str">
        <x:f>IF(OR(B403="",D403&lt;&gt;"pagada",NOT(ISNUMBER(J403)),NOT(ISNUMBER(M403))),"",J403-M403)</x:f>
      </x:c>
      <x:c r="O403" s="9"/>
      <x:c r="P403" s="9"/>
      <x:c r="Q403" s="1" t="str">
        <x:f>IF(B403="","",IF(COUNTIFS($B$7:$B$1006,B403,$C$7:$C$1006,C403)&gt;1,"ID duplicado",IF(OR(A403="",C403="",D403="",E403="",F403="",I403="",J403="",K403="",O403=""),"Completar datos",IF(NOT(ISNUMBER(M403)),"Falta costo histórico","Revisar soporte"))))</x:f>
      </x:c>
      <x:c r="R403" s="9" t="n">
        <x:f>IF(B403="",0,IF(AND(D403="pagada",NOT(ISNUMBER(M403))),1,0))</x:f>
        <x:v>0</x:v>
      </x:c>
    </x:row>
    <x:row r="404" ht="22" customHeight="1">
      <x:c r="A404" s="11"/>
      <x:c r="B404" s="9"/>
      <x:c r="C404" s="9"/>
      <x:c r="D404" s="9"/>
      <x:c r="E404" s="9"/>
      <x:c r="F404" s="9"/>
      <x:c r="G404" s="9"/>
      <x:c r="H404" s="9"/>
      <x:c r="I404" s="13"/>
      <x:c r="J404" s="15"/>
      <x:c r="K404" s="15"/>
      <x:c r="L404" s="17" t="str">
        <x:f>IF(B404="","",IF(NOT(AND(ISNUMBER(J404),ISNUMBER(K404))),"",SUM(J404:K404)))</x:f>
      </x:c>
      <x:c r="M404" s="15"/>
      <x:c r="N404" s="17" t="str">
        <x:f>IF(OR(B404="",D404&lt;&gt;"pagada",NOT(ISNUMBER(J404)),NOT(ISNUMBER(M404))),"",J404-M404)</x:f>
      </x:c>
      <x:c r="O404" s="9"/>
      <x:c r="P404" s="9"/>
      <x:c r="Q404" s="1" t="str">
        <x:f>IF(B404="","",IF(COUNTIFS($B$7:$B$1006,B404,$C$7:$C$1006,C404)&gt;1,"ID duplicado",IF(OR(A404="",C404="",D404="",E404="",F404="",I404="",J404="",K404="",O404=""),"Completar datos",IF(NOT(ISNUMBER(M404)),"Falta costo histórico","Revisar soporte"))))</x:f>
      </x:c>
      <x:c r="R404" s="9" t="n">
        <x:f>IF(B404="",0,IF(AND(D404="pagada",NOT(ISNUMBER(M404))),1,0))</x:f>
        <x:v>0</x:v>
      </x:c>
    </x:row>
    <x:row r="405" ht="22" customHeight="1">
      <x:c r="A405" s="11"/>
      <x:c r="B405" s="9"/>
      <x:c r="C405" s="9"/>
      <x:c r="D405" s="9"/>
      <x:c r="E405" s="9"/>
      <x:c r="F405" s="9"/>
      <x:c r="G405" s="9"/>
      <x:c r="H405" s="9"/>
      <x:c r="I405" s="13"/>
      <x:c r="J405" s="15"/>
      <x:c r="K405" s="15"/>
      <x:c r="L405" s="17" t="str">
        <x:f>IF(B405="","",IF(NOT(AND(ISNUMBER(J405),ISNUMBER(K405))),"",SUM(J405:K405)))</x:f>
      </x:c>
      <x:c r="M405" s="15"/>
      <x:c r="N405" s="17" t="str">
        <x:f>IF(OR(B405="",D405&lt;&gt;"pagada",NOT(ISNUMBER(J405)),NOT(ISNUMBER(M405))),"",J405-M405)</x:f>
      </x:c>
      <x:c r="O405" s="9"/>
      <x:c r="P405" s="9"/>
      <x:c r="Q405" s="1" t="str">
        <x:f>IF(B405="","",IF(COUNTIFS($B$7:$B$1006,B405,$C$7:$C$1006,C405)&gt;1,"ID duplicado",IF(OR(A405="",C405="",D405="",E405="",F405="",I405="",J405="",K405="",O405=""),"Completar datos",IF(NOT(ISNUMBER(M405)),"Falta costo histórico","Revisar soporte"))))</x:f>
      </x:c>
      <x:c r="R405" s="9" t="n">
        <x:f>IF(B405="",0,IF(AND(D405="pagada",NOT(ISNUMBER(M405))),1,0))</x:f>
        <x:v>0</x:v>
      </x:c>
    </x:row>
    <x:row r="406" ht="22" customHeight="1">
      <x:c r="A406" s="11"/>
      <x:c r="B406" s="9"/>
      <x:c r="C406" s="9"/>
      <x:c r="D406" s="9"/>
      <x:c r="E406" s="9"/>
      <x:c r="F406" s="9"/>
      <x:c r="G406" s="9"/>
      <x:c r="H406" s="9"/>
      <x:c r="I406" s="13"/>
      <x:c r="J406" s="15"/>
      <x:c r="K406" s="15"/>
      <x:c r="L406" s="17" t="str">
        <x:f>IF(B406="","",IF(NOT(AND(ISNUMBER(J406),ISNUMBER(K406))),"",SUM(J406:K406)))</x:f>
      </x:c>
      <x:c r="M406" s="15"/>
      <x:c r="N406" s="17" t="str">
        <x:f>IF(OR(B406="",D406&lt;&gt;"pagada",NOT(ISNUMBER(J406)),NOT(ISNUMBER(M406))),"",J406-M406)</x:f>
      </x:c>
      <x:c r="O406" s="9"/>
      <x:c r="P406" s="9"/>
      <x:c r="Q406" s="1" t="str">
        <x:f>IF(B406="","",IF(COUNTIFS($B$7:$B$1006,B406,$C$7:$C$1006,C406)&gt;1,"ID duplicado",IF(OR(A406="",C406="",D406="",E406="",F406="",I406="",J406="",K406="",O406=""),"Completar datos",IF(NOT(ISNUMBER(M406)),"Falta costo histórico","Revisar soporte"))))</x:f>
      </x:c>
      <x:c r="R406" s="9" t="n">
        <x:f>IF(B406="",0,IF(AND(D406="pagada",NOT(ISNUMBER(M406))),1,0))</x:f>
        <x:v>0</x:v>
      </x:c>
    </x:row>
    <x:row r="407" ht="22" customHeight="1">
      <x:c r="A407" s="11"/>
      <x:c r="B407" s="9"/>
      <x:c r="C407" s="9"/>
      <x:c r="D407" s="9"/>
      <x:c r="E407" s="9"/>
      <x:c r="F407" s="9"/>
      <x:c r="G407" s="9"/>
      <x:c r="H407" s="9"/>
      <x:c r="I407" s="13"/>
      <x:c r="J407" s="15"/>
      <x:c r="K407" s="15"/>
      <x:c r="L407" s="17" t="str">
        <x:f>IF(B407="","",IF(NOT(AND(ISNUMBER(J407),ISNUMBER(K407))),"",SUM(J407:K407)))</x:f>
      </x:c>
      <x:c r="M407" s="15"/>
      <x:c r="N407" s="17" t="str">
        <x:f>IF(OR(B407="",D407&lt;&gt;"pagada",NOT(ISNUMBER(J407)),NOT(ISNUMBER(M407))),"",J407-M407)</x:f>
      </x:c>
      <x:c r="O407" s="9"/>
      <x:c r="P407" s="9"/>
      <x:c r="Q407" s="1" t="str">
        <x:f>IF(B407="","",IF(COUNTIFS($B$7:$B$1006,B407,$C$7:$C$1006,C407)&gt;1,"ID duplicado",IF(OR(A407="",C407="",D407="",E407="",F407="",I407="",J407="",K407="",O407=""),"Completar datos",IF(NOT(ISNUMBER(M407)),"Falta costo histórico","Revisar soporte"))))</x:f>
      </x:c>
      <x:c r="R407" s="9" t="n">
        <x:f>IF(B407="",0,IF(AND(D407="pagada",NOT(ISNUMBER(M407))),1,0))</x:f>
        <x:v>0</x:v>
      </x:c>
    </x:row>
    <x:row r="408" ht="22" customHeight="1">
      <x:c r="A408" s="11"/>
      <x:c r="B408" s="9"/>
      <x:c r="C408" s="9"/>
      <x:c r="D408" s="9"/>
      <x:c r="E408" s="9"/>
      <x:c r="F408" s="9"/>
      <x:c r="G408" s="9"/>
      <x:c r="H408" s="9"/>
      <x:c r="I408" s="13"/>
      <x:c r="J408" s="15"/>
      <x:c r="K408" s="15"/>
      <x:c r="L408" s="17" t="str">
        <x:f>IF(B408="","",IF(NOT(AND(ISNUMBER(J408),ISNUMBER(K408))),"",SUM(J408:K408)))</x:f>
      </x:c>
      <x:c r="M408" s="15"/>
      <x:c r="N408" s="17" t="str">
        <x:f>IF(OR(B408="",D408&lt;&gt;"pagada",NOT(ISNUMBER(J408)),NOT(ISNUMBER(M408))),"",J408-M408)</x:f>
      </x:c>
      <x:c r="O408" s="9"/>
      <x:c r="P408" s="9"/>
      <x:c r="Q408" s="1" t="str">
        <x:f>IF(B408="","",IF(COUNTIFS($B$7:$B$1006,B408,$C$7:$C$1006,C408)&gt;1,"ID duplicado",IF(OR(A408="",C408="",D408="",E408="",F408="",I408="",J408="",K408="",O408=""),"Completar datos",IF(NOT(ISNUMBER(M408)),"Falta costo histórico","Revisar soporte"))))</x:f>
      </x:c>
      <x:c r="R408" s="9" t="n">
        <x:f>IF(B408="",0,IF(AND(D408="pagada",NOT(ISNUMBER(M408))),1,0))</x:f>
        <x:v>0</x:v>
      </x:c>
    </x:row>
    <x:row r="409" ht="22" customHeight="1">
      <x:c r="A409" s="11"/>
      <x:c r="B409" s="9"/>
      <x:c r="C409" s="9"/>
      <x:c r="D409" s="9"/>
      <x:c r="E409" s="9"/>
      <x:c r="F409" s="9"/>
      <x:c r="G409" s="9"/>
      <x:c r="H409" s="9"/>
      <x:c r="I409" s="13"/>
      <x:c r="J409" s="15"/>
      <x:c r="K409" s="15"/>
      <x:c r="L409" s="17" t="str">
        <x:f>IF(B409="","",IF(NOT(AND(ISNUMBER(J409),ISNUMBER(K409))),"",SUM(J409:K409)))</x:f>
      </x:c>
      <x:c r="M409" s="15"/>
      <x:c r="N409" s="17" t="str">
        <x:f>IF(OR(B409="",D409&lt;&gt;"pagada",NOT(ISNUMBER(J409)),NOT(ISNUMBER(M409))),"",J409-M409)</x:f>
      </x:c>
      <x:c r="O409" s="9"/>
      <x:c r="P409" s="9"/>
      <x:c r="Q409" s="1" t="str">
        <x:f>IF(B409="","",IF(COUNTIFS($B$7:$B$1006,B409,$C$7:$C$1006,C409)&gt;1,"ID duplicado",IF(OR(A409="",C409="",D409="",E409="",F409="",I409="",J409="",K409="",O409=""),"Completar datos",IF(NOT(ISNUMBER(M409)),"Falta costo histórico","Revisar soporte"))))</x:f>
      </x:c>
      <x:c r="R409" s="9" t="n">
        <x:f>IF(B409="",0,IF(AND(D409="pagada",NOT(ISNUMBER(M409))),1,0))</x:f>
        <x:v>0</x:v>
      </x:c>
    </x:row>
    <x:row r="410" ht="22" customHeight="1">
      <x:c r="A410" s="11"/>
      <x:c r="B410" s="9"/>
      <x:c r="C410" s="9"/>
      <x:c r="D410" s="9"/>
      <x:c r="E410" s="9"/>
      <x:c r="F410" s="9"/>
      <x:c r="G410" s="9"/>
      <x:c r="H410" s="9"/>
      <x:c r="I410" s="13"/>
      <x:c r="J410" s="15"/>
      <x:c r="K410" s="15"/>
      <x:c r="L410" s="17" t="str">
        <x:f>IF(B410="","",IF(NOT(AND(ISNUMBER(J410),ISNUMBER(K410))),"",SUM(J410:K410)))</x:f>
      </x:c>
      <x:c r="M410" s="15"/>
      <x:c r="N410" s="17" t="str">
        <x:f>IF(OR(B410="",D410&lt;&gt;"pagada",NOT(ISNUMBER(J410)),NOT(ISNUMBER(M410))),"",J410-M410)</x:f>
      </x:c>
      <x:c r="O410" s="9"/>
      <x:c r="P410" s="9"/>
      <x:c r="Q410" s="1" t="str">
        <x:f>IF(B410="","",IF(COUNTIFS($B$7:$B$1006,B410,$C$7:$C$1006,C410)&gt;1,"ID duplicado",IF(OR(A410="",C410="",D410="",E410="",F410="",I410="",J410="",K410="",O410=""),"Completar datos",IF(NOT(ISNUMBER(M410)),"Falta costo histórico","Revisar soporte"))))</x:f>
      </x:c>
      <x:c r="R410" s="9" t="n">
        <x:f>IF(B410="",0,IF(AND(D410="pagada",NOT(ISNUMBER(M410))),1,0))</x:f>
        <x:v>0</x:v>
      </x:c>
    </x:row>
    <x:row r="411" ht="22" customHeight="1">
      <x:c r="A411" s="11"/>
      <x:c r="B411" s="9"/>
      <x:c r="C411" s="9"/>
      <x:c r="D411" s="9"/>
      <x:c r="E411" s="9"/>
      <x:c r="F411" s="9"/>
      <x:c r="G411" s="9"/>
      <x:c r="H411" s="9"/>
      <x:c r="I411" s="13"/>
      <x:c r="J411" s="15"/>
      <x:c r="K411" s="15"/>
      <x:c r="L411" s="17" t="str">
        <x:f>IF(B411="","",IF(NOT(AND(ISNUMBER(J411),ISNUMBER(K411))),"",SUM(J411:K411)))</x:f>
      </x:c>
      <x:c r="M411" s="15"/>
      <x:c r="N411" s="17" t="str">
        <x:f>IF(OR(B411="",D411&lt;&gt;"pagada",NOT(ISNUMBER(J411)),NOT(ISNUMBER(M411))),"",J411-M411)</x:f>
      </x:c>
      <x:c r="O411" s="9"/>
      <x:c r="P411" s="9"/>
      <x:c r="Q411" s="1" t="str">
        <x:f>IF(B411="","",IF(COUNTIFS($B$7:$B$1006,B411,$C$7:$C$1006,C411)&gt;1,"ID duplicado",IF(OR(A411="",C411="",D411="",E411="",F411="",I411="",J411="",K411="",O411=""),"Completar datos",IF(NOT(ISNUMBER(M411)),"Falta costo histórico","Revisar soporte"))))</x:f>
      </x:c>
      <x:c r="R411" s="9" t="n">
        <x:f>IF(B411="",0,IF(AND(D411="pagada",NOT(ISNUMBER(M411))),1,0))</x:f>
        <x:v>0</x:v>
      </x:c>
    </x:row>
    <x:row r="412" ht="22" customHeight="1">
      <x:c r="A412" s="11"/>
      <x:c r="B412" s="9"/>
      <x:c r="C412" s="9"/>
      <x:c r="D412" s="9"/>
      <x:c r="E412" s="9"/>
      <x:c r="F412" s="9"/>
      <x:c r="G412" s="9"/>
      <x:c r="H412" s="9"/>
      <x:c r="I412" s="13"/>
      <x:c r="J412" s="15"/>
      <x:c r="K412" s="15"/>
      <x:c r="L412" s="17" t="str">
        <x:f>IF(B412="","",IF(NOT(AND(ISNUMBER(J412),ISNUMBER(K412))),"",SUM(J412:K412)))</x:f>
      </x:c>
      <x:c r="M412" s="15"/>
      <x:c r="N412" s="17" t="str">
        <x:f>IF(OR(B412="",D412&lt;&gt;"pagada",NOT(ISNUMBER(J412)),NOT(ISNUMBER(M412))),"",J412-M412)</x:f>
      </x:c>
      <x:c r="O412" s="9"/>
      <x:c r="P412" s="9"/>
      <x:c r="Q412" s="1" t="str">
        <x:f>IF(B412="","",IF(COUNTIFS($B$7:$B$1006,B412,$C$7:$C$1006,C412)&gt;1,"ID duplicado",IF(OR(A412="",C412="",D412="",E412="",F412="",I412="",J412="",K412="",O412=""),"Completar datos",IF(NOT(ISNUMBER(M412)),"Falta costo histórico","Revisar soporte"))))</x:f>
      </x:c>
      <x:c r="R412" s="9" t="n">
        <x:f>IF(B412="",0,IF(AND(D412="pagada",NOT(ISNUMBER(M412))),1,0))</x:f>
        <x:v>0</x:v>
      </x:c>
    </x:row>
    <x:row r="413" ht="22" customHeight="1">
      <x:c r="A413" s="11"/>
      <x:c r="B413" s="9"/>
      <x:c r="C413" s="9"/>
      <x:c r="D413" s="9"/>
      <x:c r="E413" s="9"/>
      <x:c r="F413" s="9"/>
      <x:c r="G413" s="9"/>
      <x:c r="H413" s="9"/>
      <x:c r="I413" s="13"/>
      <x:c r="J413" s="15"/>
      <x:c r="K413" s="15"/>
      <x:c r="L413" s="17" t="str">
        <x:f>IF(B413="","",IF(NOT(AND(ISNUMBER(J413),ISNUMBER(K413))),"",SUM(J413:K413)))</x:f>
      </x:c>
      <x:c r="M413" s="15"/>
      <x:c r="N413" s="17" t="str">
        <x:f>IF(OR(B413="",D413&lt;&gt;"pagada",NOT(ISNUMBER(J413)),NOT(ISNUMBER(M413))),"",J413-M413)</x:f>
      </x:c>
      <x:c r="O413" s="9"/>
      <x:c r="P413" s="9"/>
      <x:c r="Q413" s="1" t="str">
        <x:f>IF(B413="","",IF(COUNTIFS($B$7:$B$1006,B413,$C$7:$C$1006,C413)&gt;1,"ID duplicado",IF(OR(A413="",C413="",D413="",E413="",F413="",I413="",J413="",K413="",O413=""),"Completar datos",IF(NOT(ISNUMBER(M413)),"Falta costo histórico","Revisar soporte"))))</x:f>
      </x:c>
      <x:c r="R413" s="9" t="n">
        <x:f>IF(B413="",0,IF(AND(D413="pagada",NOT(ISNUMBER(M413))),1,0))</x:f>
        <x:v>0</x:v>
      </x:c>
    </x:row>
    <x:row r="414" ht="22" customHeight="1">
      <x:c r="A414" s="11"/>
      <x:c r="B414" s="9"/>
      <x:c r="C414" s="9"/>
      <x:c r="D414" s="9"/>
      <x:c r="E414" s="9"/>
      <x:c r="F414" s="9"/>
      <x:c r="G414" s="9"/>
      <x:c r="H414" s="9"/>
      <x:c r="I414" s="13"/>
      <x:c r="J414" s="15"/>
      <x:c r="K414" s="15"/>
      <x:c r="L414" s="17" t="str">
        <x:f>IF(B414="","",IF(NOT(AND(ISNUMBER(J414),ISNUMBER(K414))),"",SUM(J414:K414)))</x:f>
      </x:c>
      <x:c r="M414" s="15"/>
      <x:c r="N414" s="17" t="str">
        <x:f>IF(OR(B414="",D414&lt;&gt;"pagada",NOT(ISNUMBER(J414)),NOT(ISNUMBER(M414))),"",J414-M414)</x:f>
      </x:c>
      <x:c r="O414" s="9"/>
      <x:c r="P414" s="9"/>
      <x:c r="Q414" s="1" t="str">
        <x:f>IF(B414="","",IF(COUNTIFS($B$7:$B$1006,B414,$C$7:$C$1006,C414)&gt;1,"ID duplicado",IF(OR(A414="",C414="",D414="",E414="",F414="",I414="",J414="",K414="",O414=""),"Completar datos",IF(NOT(ISNUMBER(M414)),"Falta costo histórico","Revisar soporte"))))</x:f>
      </x:c>
      <x:c r="R414" s="9" t="n">
        <x:f>IF(B414="",0,IF(AND(D414="pagada",NOT(ISNUMBER(M414))),1,0))</x:f>
        <x:v>0</x:v>
      </x:c>
    </x:row>
    <x:row r="415" ht="22" customHeight="1">
      <x:c r="A415" s="11"/>
      <x:c r="B415" s="9"/>
      <x:c r="C415" s="9"/>
      <x:c r="D415" s="9"/>
      <x:c r="E415" s="9"/>
      <x:c r="F415" s="9"/>
      <x:c r="G415" s="9"/>
      <x:c r="H415" s="9"/>
      <x:c r="I415" s="13"/>
      <x:c r="J415" s="15"/>
      <x:c r="K415" s="15"/>
      <x:c r="L415" s="17" t="str">
        <x:f>IF(B415="","",IF(NOT(AND(ISNUMBER(J415),ISNUMBER(K415))),"",SUM(J415:K415)))</x:f>
      </x:c>
      <x:c r="M415" s="15"/>
      <x:c r="N415" s="17" t="str">
        <x:f>IF(OR(B415="",D415&lt;&gt;"pagada",NOT(ISNUMBER(J415)),NOT(ISNUMBER(M415))),"",J415-M415)</x:f>
      </x:c>
      <x:c r="O415" s="9"/>
      <x:c r="P415" s="9"/>
      <x:c r="Q415" s="1" t="str">
        <x:f>IF(B415="","",IF(COUNTIFS($B$7:$B$1006,B415,$C$7:$C$1006,C415)&gt;1,"ID duplicado",IF(OR(A415="",C415="",D415="",E415="",F415="",I415="",J415="",K415="",O415=""),"Completar datos",IF(NOT(ISNUMBER(M415)),"Falta costo histórico","Revisar soporte"))))</x:f>
      </x:c>
      <x:c r="R415" s="9" t="n">
        <x:f>IF(B415="",0,IF(AND(D415="pagada",NOT(ISNUMBER(M415))),1,0))</x:f>
        <x:v>0</x:v>
      </x:c>
    </x:row>
    <x:row r="416" ht="22" customHeight="1">
      <x:c r="A416" s="11"/>
      <x:c r="B416" s="9"/>
      <x:c r="C416" s="9"/>
      <x:c r="D416" s="9"/>
      <x:c r="E416" s="9"/>
      <x:c r="F416" s="9"/>
      <x:c r="G416" s="9"/>
      <x:c r="H416" s="9"/>
      <x:c r="I416" s="13"/>
      <x:c r="J416" s="15"/>
      <x:c r="K416" s="15"/>
      <x:c r="L416" s="17" t="str">
        <x:f>IF(B416="","",IF(NOT(AND(ISNUMBER(J416),ISNUMBER(K416))),"",SUM(J416:K416)))</x:f>
      </x:c>
      <x:c r="M416" s="15"/>
      <x:c r="N416" s="17" t="str">
        <x:f>IF(OR(B416="",D416&lt;&gt;"pagada",NOT(ISNUMBER(J416)),NOT(ISNUMBER(M416))),"",J416-M416)</x:f>
      </x:c>
      <x:c r="O416" s="9"/>
      <x:c r="P416" s="9"/>
      <x:c r="Q416" s="1" t="str">
        <x:f>IF(B416="","",IF(COUNTIFS($B$7:$B$1006,B416,$C$7:$C$1006,C416)&gt;1,"ID duplicado",IF(OR(A416="",C416="",D416="",E416="",F416="",I416="",J416="",K416="",O416=""),"Completar datos",IF(NOT(ISNUMBER(M416)),"Falta costo histórico","Revisar soporte"))))</x:f>
      </x:c>
      <x:c r="R416" s="9" t="n">
        <x:f>IF(B416="",0,IF(AND(D416="pagada",NOT(ISNUMBER(M416))),1,0))</x:f>
        <x:v>0</x:v>
      </x:c>
    </x:row>
    <x:row r="417" ht="22" customHeight="1">
      <x:c r="A417" s="11"/>
      <x:c r="B417" s="9"/>
      <x:c r="C417" s="9"/>
      <x:c r="D417" s="9"/>
      <x:c r="E417" s="9"/>
      <x:c r="F417" s="9"/>
      <x:c r="G417" s="9"/>
      <x:c r="H417" s="9"/>
      <x:c r="I417" s="13"/>
      <x:c r="J417" s="15"/>
      <x:c r="K417" s="15"/>
      <x:c r="L417" s="17" t="str">
        <x:f>IF(B417="","",IF(NOT(AND(ISNUMBER(J417),ISNUMBER(K417))),"",SUM(J417:K417)))</x:f>
      </x:c>
      <x:c r="M417" s="15"/>
      <x:c r="N417" s="17" t="str">
        <x:f>IF(OR(B417="",D417&lt;&gt;"pagada",NOT(ISNUMBER(J417)),NOT(ISNUMBER(M417))),"",J417-M417)</x:f>
      </x:c>
      <x:c r="O417" s="9"/>
      <x:c r="P417" s="9"/>
      <x:c r="Q417" s="1" t="str">
        <x:f>IF(B417="","",IF(COUNTIFS($B$7:$B$1006,B417,$C$7:$C$1006,C417)&gt;1,"ID duplicado",IF(OR(A417="",C417="",D417="",E417="",F417="",I417="",J417="",K417="",O417=""),"Completar datos",IF(NOT(ISNUMBER(M417)),"Falta costo histórico","Revisar soporte"))))</x:f>
      </x:c>
      <x:c r="R417" s="9" t="n">
        <x:f>IF(B417="",0,IF(AND(D417="pagada",NOT(ISNUMBER(M417))),1,0))</x:f>
        <x:v>0</x:v>
      </x:c>
    </x:row>
    <x:row r="418" ht="22" customHeight="1">
      <x:c r="A418" s="11"/>
      <x:c r="B418" s="9"/>
      <x:c r="C418" s="9"/>
      <x:c r="D418" s="9"/>
      <x:c r="E418" s="9"/>
      <x:c r="F418" s="9"/>
      <x:c r="G418" s="9"/>
      <x:c r="H418" s="9"/>
      <x:c r="I418" s="13"/>
      <x:c r="J418" s="15"/>
      <x:c r="K418" s="15"/>
      <x:c r="L418" s="17" t="str">
        <x:f>IF(B418="","",IF(NOT(AND(ISNUMBER(J418),ISNUMBER(K418))),"",SUM(J418:K418)))</x:f>
      </x:c>
      <x:c r="M418" s="15"/>
      <x:c r="N418" s="17" t="str">
        <x:f>IF(OR(B418="",D418&lt;&gt;"pagada",NOT(ISNUMBER(J418)),NOT(ISNUMBER(M418))),"",J418-M418)</x:f>
      </x:c>
      <x:c r="O418" s="9"/>
      <x:c r="P418" s="9"/>
      <x:c r="Q418" s="1" t="str">
        <x:f>IF(B418="","",IF(COUNTIFS($B$7:$B$1006,B418,$C$7:$C$1006,C418)&gt;1,"ID duplicado",IF(OR(A418="",C418="",D418="",E418="",F418="",I418="",J418="",K418="",O418=""),"Completar datos",IF(NOT(ISNUMBER(M418)),"Falta costo histórico","Revisar soporte"))))</x:f>
      </x:c>
      <x:c r="R418" s="9" t="n">
        <x:f>IF(B418="",0,IF(AND(D418="pagada",NOT(ISNUMBER(M418))),1,0))</x:f>
        <x:v>0</x:v>
      </x:c>
    </x:row>
    <x:row r="419" ht="22" customHeight="1">
      <x:c r="A419" s="11"/>
      <x:c r="B419" s="9"/>
      <x:c r="C419" s="9"/>
      <x:c r="D419" s="9"/>
      <x:c r="E419" s="9"/>
      <x:c r="F419" s="9"/>
      <x:c r="G419" s="9"/>
      <x:c r="H419" s="9"/>
      <x:c r="I419" s="13"/>
      <x:c r="J419" s="15"/>
      <x:c r="K419" s="15"/>
      <x:c r="L419" s="17" t="str">
        <x:f>IF(B419="","",IF(NOT(AND(ISNUMBER(J419),ISNUMBER(K419))),"",SUM(J419:K419)))</x:f>
      </x:c>
      <x:c r="M419" s="15"/>
      <x:c r="N419" s="17" t="str">
        <x:f>IF(OR(B419="",D419&lt;&gt;"pagada",NOT(ISNUMBER(J419)),NOT(ISNUMBER(M419))),"",J419-M419)</x:f>
      </x:c>
      <x:c r="O419" s="9"/>
      <x:c r="P419" s="9"/>
      <x:c r="Q419" s="1" t="str">
        <x:f>IF(B419="","",IF(COUNTIFS($B$7:$B$1006,B419,$C$7:$C$1006,C419)&gt;1,"ID duplicado",IF(OR(A419="",C419="",D419="",E419="",F419="",I419="",J419="",K419="",O419=""),"Completar datos",IF(NOT(ISNUMBER(M419)),"Falta costo histórico","Revisar soporte"))))</x:f>
      </x:c>
      <x:c r="R419" s="9" t="n">
        <x:f>IF(B419="",0,IF(AND(D419="pagada",NOT(ISNUMBER(M419))),1,0))</x:f>
        <x:v>0</x:v>
      </x:c>
    </x:row>
    <x:row r="420" ht="22" customHeight="1">
      <x:c r="A420" s="11"/>
      <x:c r="B420" s="9"/>
      <x:c r="C420" s="9"/>
      <x:c r="D420" s="9"/>
      <x:c r="E420" s="9"/>
      <x:c r="F420" s="9"/>
      <x:c r="G420" s="9"/>
      <x:c r="H420" s="9"/>
      <x:c r="I420" s="13"/>
      <x:c r="J420" s="15"/>
      <x:c r="K420" s="15"/>
      <x:c r="L420" s="17" t="str">
        <x:f>IF(B420="","",IF(NOT(AND(ISNUMBER(J420),ISNUMBER(K420))),"",SUM(J420:K420)))</x:f>
      </x:c>
      <x:c r="M420" s="15"/>
      <x:c r="N420" s="17" t="str">
        <x:f>IF(OR(B420="",D420&lt;&gt;"pagada",NOT(ISNUMBER(J420)),NOT(ISNUMBER(M420))),"",J420-M420)</x:f>
      </x:c>
      <x:c r="O420" s="9"/>
      <x:c r="P420" s="9"/>
      <x:c r="Q420" s="1" t="str">
        <x:f>IF(B420="","",IF(COUNTIFS($B$7:$B$1006,B420,$C$7:$C$1006,C420)&gt;1,"ID duplicado",IF(OR(A420="",C420="",D420="",E420="",F420="",I420="",J420="",K420="",O420=""),"Completar datos",IF(NOT(ISNUMBER(M420)),"Falta costo histórico","Revisar soporte"))))</x:f>
      </x:c>
      <x:c r="R420" s="9" t="n">
        <x:f>IF(B420="",0,IF(AND(D420="pagada",NOT(ISNUMBER(M420))),1,0))</x:f>
        <x:v>0</x:v>
      </x:c>
    </x:row>
    <x:row r="421" ht="22" customHeight="1">
      <x:c r="A421" s="11"/>
      <x:c r="B421" s="9"/>
      <x:c r="C421" s="9"/>
      <x:c r="D421" s="9"/>
      <x:c r="E421" s="9"/>
      <x:c r="F421" s="9"/>
      <x:c r="G421" s="9"/>
      <x:c r="H421" s="9"/>
      <x:c r="I421" s="13"/>
      <x:c r="J421" s="15"/>
      <x:c r="K421" s="15"/>
      <x:c r="L421" s="17" t="str">
        <x:f>IF(B421="","",IF(NOT(AND(ISNUMBER(J421),ISNUMBER(K421))),"",SUM(J421:K421)))</x:f>
      </x:c>
      <x:c r="M421" s="15"/>
      <x:c r="N421" s="17" t="str">
        <x:f>IF(OR(B421="",D421&lt;&gt;"pagada",NOT(ISNUMBER(J421)),NOT(ISNUMBER(M421))),"",J421-M421)</x:f>
      </x:c>
      <x:c r="O421" s="9"/>
      <x:c r="P421" s="9"/>
      <x:c r="Q421" s="1" t="str">
        <x:f>IF(B421="","",IF(COUNTIFS($B$7:$B$1006,B421,$C$7:$C$1006,C421)&gt;1,"ID duplicado",IF(OR(A421="",C421="",D421="",E421="",F421="",I421="",J421="",K421="",O421=""),"Completar datos",IF(NOT(ISNUMBER(M421)),"Falta costo histórico","Revisar soporte"))))</x:f>
      </x:c>
      <x:c r="R421" s="9" t="n">
        <x:f>IF(B421="",0,IF(AND(D421="pagada",NOT(ISNUMBER(M421))),1,0))</x:f>
        <x:v>0</x:v>
      </x:c>
    </x:row>
    <x:row r="422" ht="22" customHeight="1">
      <x:c r="A422" s="11"/>
      <x:c r="B422" s="9"/>
      <x:c r="C422" s="9"/>
      <x:c r="D422" s="9"/>
      <x:c r="E422" s="9"/>
      <x:c r="F422" s="9"/>
      <x:c r="G422" s="9"/>
      <x:c r="H422" s="9"/>
      <x:c r="I422" s="13"/>
      <x:c r="J422" s="15"/>
      <x:c r="K422" s="15"/>
      <x:c r="L422" s="17" t="str">
        <x:f>IF(B422="","",IF(NOT(AND(ISNUMBER(J422),ISNUMBER(K422))),"",SUM(J422:K422)))</x:f>
      </x:c>
      <x:c r="M422" s="15"/>
      <x:c r="N422" s="17" t="str">
        <x:f>IF(OR(B422="",D422&lt;&gt;"pagada",NOT(ISNUMBER(J422)),NOT(ISNUMBER(M422))),"",J422-M422)</x:f>
      </x:c>
      <x:c r="O422" s="9"/>
      <x:c r="P422" s="9"/>
      <x:c r="Q422" s="1" t="str">
        <x:f>IF(B422="","",IF(COUNTIFS($B$7:$B$1006,B422,$C$7:$C$1006,C422)&gt;1,"ID duplicado",IF(OR(A422="",C422="",D422="",E422="",F422="",I422="",J422="",K422="",O422=""),"Completar datos",IF(NOT(ISNUMBER(M422)),"Falta costo histórico","Revisar soporte"))))</x:f>
      </x:c>
      <x:c r="R422" s="9" t="n">
        <x:f>IF(B422="",0,IF(AND(D422="pagada",NOT(ISNUMBER(M422))),1,0))</x:f>
        <x:v>0</x:v>
      </x:c>
    </x:row>
    <x:row r="423" ht="22" customHeight="1">
      <x:c r="A423" s="11"/>
      <x:c r="B423" s="9"/>
      <x:c r="C423" s="9"/>
      <x:c r="D423" s="9"/>
      <x:c r="E423" s="9"/>
      <x:c r="F423" s="9"/>
      <x:c r="G423" s="9"/>
      <x:c r="H423" s="9"/>
      <x:c r="I423" s="13"/>
      <x:c r="J423" s="15"/>
      <x:c r="K423" s="15"/>
      <x:c r="L423" s="17" t="str">
        <x:f>IF(B423="","",IF(NOT(AND(ISNUMBER(J423),ISNUMBER(K423))),"",SUM(J423:K423)))</x:f>
      </x:c>
      <x:c r="M423" s="15"/>
      <x:c r="N423" s="17" t="str">
        <x:f>IF(OR(B423="",D423&lt;&gt;"pagada",NOT(ISNUMBER(J423)),NOT(ISNUMBER(M423))),"",J423-M423)</x:f>
      </x:c>
      <x:c r="O423" s="9"/>
      <x:c r="P423" s="9"/>
      <x:c r="Q423" s="1" t="str">
        <x:f>IF(B423="","",IF(COUNTIFS($B$7:$B$1006,B423,$C$7:$C$1006,C423)&gt;1,"ID duplicado",IF(OR(A423="",C423="",D423="",E423="",F423="",I423="",J423="",K423="",O423=""),"Completar datos",IF(NOT(ISNUMBER(M423)),"Falta costo histórico","Revisar soporte"))))</x:f>
      </x:c>
      <x:c r="R423" s="9" t="n">
        <x:f>IF(B423="",0,IF(AND(D423="pagada",NOT(ISNUMBER(M423))),1,0))</x:f>
        <x:v>0</x:v>
      </x:c>
    </x:row>
    <x:row r="424" ht="22" customHeight="1">
      <x:c r="A424" s="11"/>
      <x:c r="B424" s="9"/>
      <x:c r="C424" s="9"/>
      <x:c r="D424" s="9"/>
      <x:c r="E424" s="9"/>
      <x:c r="F424" s="9"/>
      <x:c r="G424" s="9"/>
      <x:c r="H424" s="9"/>
      <x:c r="I424" s="13"/>
      <x:c r="J424" s="15"/>
      <x:c r="K424" s="15"/>
      <x:c r="L424" s="17" t="str">
        <x:f>IF(B424="","",IF(NOT(AND(ISNUMBER(J424),ISNUMBER(K424))),"",SUM(J424:K424)))</x:f>
      </x:c>
      <x:c r="M424" s="15"/>
      <x:c r="N424" s="17" t="str">
        <x:f>IF(OR(B424="",D424&lt;&gt;"pagada",NOT(ISNUMBER(J424)),NOT(ISNUMBER(M424))),"",J424-M424)</x:f>
      </x:c>
      <x:c r="O424" s="9"/>
      <x:c r="P424" s="9"/>
      <x:c r="Q424" s="1" t="str">
        <x:f>IF(B424="","",IF(COUNTIFS($B$7:$B$1006,B424,$C$7:$C$1006,C424)&gt;1,"ID duplicado",IF(OR(A424="",C424="",D424="",E424="",F424="",I424="",J424="",K424="",O424=""),"Completar datos",IF(NOT(ISNUMBER(M424)),"Falta costo histórico","Revisar soporte"))))</x:f>
      </x:c>
      <x:c r="R424" s="9" t="n">
        <x:f>IF(B424="",0,IF(AND(D424="pagada",NOT(ISNUMBER(M424))),1,0))</x:f>
        <x:v>0</x:v>
      </x:c>
    </x:row>
    <x:row r="425" ht="22" customHeight="1">
      <x:c r="A425" s="11"/>
      <x:c r="B425" s="9"/>
      <x:c r="C425" s="9"/>
      <x:c r="D425" s="9"/>
      <x:c r="E425" s="9"/>
      <x:c r="F425" s="9"/>
      <x:c r="G425" s="9"/>
      <x:c r="H425" s="9"/>
      <x:c r="I425" s="13"/>
      <x:c r="J425" s="15"/>
      <x:c r="K425" s="15"/>
      <x:c r="L425" s="17" t="str">
        <x:f>IF(B425="","",IF(NOT(AND(ISNUMBER(J425),ISNUMBER(K425))),"",SUM(J425:K425)))</x:f>
      </x:c>
      <x:c r="M425" s="15"/>
      <x:c r="N425" s="17" t="str">
        <x:f>IF(OR(B425="",D425&lt;&gt;"pagada",NOT(ISNUMBER(J425)),NOT(ISNUMBER(M425))),"",J425-M425)</x:f>
      </x:c>
      <x:c r="O425" s="9"/>
      <x:c r="P425" s="9"/>
      <x:c r="Q425" s="1" t="str">
        <x:f>IF(B425="","",IF(COUNTIFS($B$7:$B$1006,B425,$C$7:$C$1006,C425)&gt;1,"ID duplicado",IF(OR(A425="",C425="",D425="",E425="",F425="",I425="",J425="",K425="",O425=""),"Completar datos",IF(NOT(ISNUMBER(M425)),"Falta costo histórico","Revisar soporte"))))</x:f>
      </x:c>
      <x:c r="R425" s="9" t="n">
        <x:f>IF(B425="",0,IF(AND(D425="pagada",NOT(ISNUMBER(M425))),1,0))</x:f>
        <x:v>0</x:v>
      </x:c>
    </x:row>
    <x:row r="426" ht="22" customHeight="1">
      <x:c r="A426" s="11"/>
      <x:c r="B426" s="9"/>
      <x:c r="C426" s="9"/>
      <x:c r="D426" s="9"/>
      <x:c r="E426" s="9"/>
      <x:c r="F426" s="9"/>
      <x:c r="G426" s="9"/>
      <x:c r="H426" s="9"/>
      <x:c r="I426" s="13"/>
      <x:c r="J426" s="15"/>
      <x:c r="K426" s="15"/>
      <x:c r="L426" s="17" t="str">
        <x:f>IF(B426="","",IF(NOT(AND(ISNUMBER(J426),ISNUMBER(K426))),"",SUM(J426:K426)))</x:f>
      </x:c>
      <x:c r="M426" s="15"/>
      <x:c r="N426" s="17" t="str">
        <x:f>IF(OR(B426="",D426&lt;&gt;"pagada",NOT(ISNUMBER(J426)),NOT(ISNUMBER(M426))),"",J426-M426)</x:f>
      </x:c>
      <x:c r="O426" s="9"/>
      <x:c r="P426" s="9"/>
      <x:c r="Q426" s="1" t="str">
        <x:f>IF(B426="","",IF(COUNTIFS($B$7:$B$1006,B426,$C$7:$C$1006,C426)&gt;1,"ID duplicado",IF(OR(A426="",C426="",D426="",E426="",F426="",I426="",J426="",K426="",O426=""),"Completar datos",IF(NOT(ISNUMBER(M426)),"Falta costo histórico","Revisar soporte"))))</x:f>
      </x:c>
      <x:c r="R426" s="9" t="n">
        <x:f>IF(B426="",0,IF(AND(D426="pagada",NOT(ISNUMBER(M426))),1,0))</x:f>
        <x:v>0</x:v>
      </x:c>
    </x:row>
    <x:row r="427" ht="22" customHeight="1">
      <x:c r="A427" s="11"/>
      <x:c r="B427" s="9"/>
      <x:c r="C427" s="9"/>
      <x:c r="D427" s="9"/>
      <x:c r="E427" s="9"/>
      <x:c r="F427" s="9"/>
      <x:c r="G427" s="9"/>
      <x:c r="H427" s="9"/>
      <x:c r="I427" s="13"/>
      <x:c r="J427" s="15"/>
      <x:c r="K427" s="15"/>
      <x:c r="L427" s="17" t="str">
        <x:f>IF(B427="","",IF(NOT(AND(ISNUMBER(J427),ISNUMBER(K427))),"",SUM(J427:K427)))</x:f>
      </x:c>
      <x:c r="M427" s="15"/>
      <x:c r="N427" s="17" t="str">
        <x:f>IF(OR(B427="",D427&lt;&gt;"pagada",NOT(ISNUMBER(J427)),NOT(ISNUMBER(M427))),"",J427-M427)</x:f>
      </x:c>
      <x:c r="O427" s="9"/>
      <x:c r="P427" s="9"/>
      <x:c r="Q427" s="1" t="str">
        <x:f>IF(B427="","",IF(COUNTIFS($B$7:$B$1006,B427,$C$7:$C$1006,C427)&gt;1,"ID duplicado",IF(OR(A427="",C427="",D427="",E427="",F427="",I427="",J427="",K427="",O427=""),"Completar datos",IF(NOT(ISNUMBER(M427)),"Falta costo histórico","Revisar soporte"))))</x:f>
      </x:c>
      <x:c r="R427" s="9" t="n">
        <x:f>IF(B427="",0,IF(AND(D427="pagada",NOT(ISNUMBER(M427))),1,0))</x:f>
        <x:v>0</x:v>
      </x:c>
    </x:row>
    <x:row r="428" ht="22" customHeight="1">
      <x:c r="A428" s="11"/>
      <x:c r="B428" s="9"/>
      <x:c r="C428" s="9"/>
      <x:c r="D428" s="9"/>
      <x:c r="E428" s="9"/>
      <x:c r="F428" s="9"/>
      <x:c r="G428" s="9"/>
      <x:c r="H428" s="9"/>
      <x:c r="I428" s="13"/>
      <x:c r="J428" s="15"/>
      <x:c r="K428" s="15"/>
      <x:c r="L428" s="17" t="str">
        <x:f>IF(B428="","",IF(NOT(AND(ISNUMBER(J428),ISNUMBER(K428))),"",SUM(J428:K428)))</x:f>
      </x:c>
      <x:c r="M428" s="15"/>
      <x:c r="N428" s="17" t="str">
        <x:f>IF(OR(B428="",D428&lt;&gt;"pagada",NOT(ISNUMBER(J428)),NOT(ISNUMBER(M428))),"",J428-M428)</x:f>
      </x:c>
      <x:c r="O428" s="9"/>
      <x:c r="P428" s="9"/>
      <x:c r="Q428" s="1" t="str">
        <x:f>IF(B428="","",IF(COUNTIFS($B$7:$B$1006,B428,$C$7:$C$1006,C428)&gt;1,"ID duplicado",IF(OR(A428="",C428="",D428="",E428="",F428="",I428="",J428="",K428="",O428=""),"Completar datos",IF(NOT(ISNUMBER(M428)),"Falta costo histórico","Revisar soporte"))))</x:f>
      </x:c>
      <x:c r="R428" s="9" t="n">
        <x:f>IF(B428="",0,IF(AND(D428="pagada",NOT(ISNUMBER(M428))),1,0))</x:f>
        <x:v>0</x:v>
      </x:c>
    </x:row>
    <x:row r="429" ht="22" customHeight="1">
      <x:c r="A429" s="11"/>
      <x:c r="B429" s="9"/>
      <x:c r="C429" s="9"/>
      <x:c r="D429" s="9"/>
      <x:c r="E429" s="9"/>
      <x:c r="F429" s="9"/>
      <x:c r="G429" s="9"/>
      <x:c r="H429" s="9"/>
      <x:c r="I429" s="13"/>
      <x:c r="J429" s="15"/>
      <x:c r="K429" s="15"/>
      <x:c r="L429" s="17" t="str">
        <x:f>IF(B429="","",IF(NOT(AND(ISNUMBER(J429),ISNUMBER(K429))),"",SUM(J429:K429)))</x:f>
      </x:c>
      <x:c r="M429" s="15"/>
      <x:c r="N429" s="17" t="str">
        <x:f>IF(OR(B429="",D429&lt;&gt;"pagada",NOT(ISNUMBER(J429)),NOT(ISNUMBER(M429))),"",J429-M429)</x:f>
      </x:c>
      <x:c r="O429" s="9"/>
      <x:c r="P429" s="9"/>
      <x:c r="Q429" s="1" t="str">
        <x:f>IF(B429="","",IF(COUNTIFS($B$7:$B$1006,B429,$C$7:$C$1006,C429)&gt;1,"ID duplicado",IF(OR(A429="",C429="",D429="",E429="",F429="",I429="",J429="",K429="",O429=""),"Completar datos",IF(NOT(ISNUMBER(M429)),"Falta costo histórico","Revisar soporte"))))</x:f>
      </x:c>
      <x:c r="R429" s="9" t="n">
        <x:f>IF(B429="",0,IF(AND(D429="pagada",NOT(ISNUMBER(M429))),1,0))</x:f>
        <x:v>0</x:v>
      </x:c>
    </x:row>
    <x:row r="430" ht="22" customHeight="1">
      <x:c r="A430" s="11"/>
      <x:c r="B430" s="9"/>
      <x:c r="C430" s="9"/>
      <x:c r="D430" s="9"/>
      <x:c r="E430" s="9"/>
      <x:c r="F430" s="9"/>
      <x:c r="G430" s="9"/>
      <x:c r="H430" s="9"/>
      <x:c r="I430" s="13"/>
      <x:c r="J430" s="15"/>
      <x:c r="K430" s="15"/>
      <x:c r="L430" s="17" t="str">
        <x:f>IF(B430="","",IF(NOT(AND(ISNUMBER(J430),ISNUMBER(K430))),"",SUM(J430:K430)))</x:f>
      </x:c>
      <x:c r="M430" s="15"/>
      <x:c r="N430" s="17" t="str">
        <x:f>IF(OR(B430="",D430&lt;&gt;"pagada",NOT(ISNUMBER(J430)),NOT(ISNUMBER(M430))),"",J430-M430)</x:f>
      </x:c>
      <x:c r="O430" s="9"/>
      <x:c r="P430" s="9"/>
      <x:c r="Q430" s="1" t="str">
        <x:f>IF(B430="","",IF(COUNTIFS($B$7:$B$1006,B430,$C$7:$C$1006,C430)&gt;1,"ID duplicado",IF(OR(A430="",C430="",D430="",E430="",F430="",I430="",J430="",K430="",O430=""),"Completar datos",IF(NOT(ISNUMBER(M430)),"Falta costo histórico","Revisar soporte"))))</x:f>
      </x:c>
      <x:c r="R430" s="9" t="n">
        <x:f>IF(B430="",0,IF(AND(D430="pagada",NOT(ISNUMBER(M430))),1,0))</x:f>
        <x:v>0</x:v>
      </x:c>
    </x:row>
    <x:row r="431" ht="22" customHeight="1">
      <x:c r="A431" s="11"/>
      <x:c r="B431" s="9"/>
      <x:c r="C431" s="9"/>
      <x:c r="D431" s="9"/>
      <x:c r="E431" s="9"/>
      <x:c r="F431" s="9"/>
      <x:c r="G431" s="9"/>
      <x:c r="H431" s="9"/>
      <x:c r="I431" s="13"/>
      <x:c r="J431" s="15"/>
      <x:c r="K431" s="15"/>
      <x:c r="L431" s="17" t="str">
        <x:f>IF(B431="","",IF(NOT(AND(ISNUMBER(J431),ISNUMBER(K431))),"",SUM(J431:K431)))</x:f>
      </x:c>
      <x:c r="M431" s="15"/>
      <x:c r="N431" s="17" t="str">
        <x:f>IF(OR(B431="",D431&lt;&gt;"pagada",NOT(ISNUMBER(J431)),NOT(ISNUMBER(M431))),"",J431-M431)</x:f>
      </x:c>
      <x:c r="O431" s="9"/>
      <x:c r="P431" s="9"/>
      <x:c r="Q431" s="1" t="str">
        <x:f>IF(B431="","",IF(COUNTIFS($B$7:$B$1006,B431,$C$7:$C$1006,C431)&gt;1,"ID duplicado",IF(OR(A431="",C431="",D431="",E431="",F431="",I431="",J431="",K431="",O431=""),"Completar datos",IF(NOT(ISNUMBER(M431)),"Falta costo histórico","Revisar soporte"))))</x:f>
      </x:c>
      <x:c r="R431" s="9" t="n">
        <x:f>IF(B431="",0,IF(AND(D431="pagada",NOT(ISNUMBER(M431))),1,0))</x:f>
        <x:v>0</x:v>
      </x:c>
    </x:row>
    <x:row r="432" ht="22" customHeight="1">
      <x:c r="A432" s="11"/>
      <x:c r="B432" s="9"/>
      <x:c r="C432" s="9"/>
      <x:c r="D432" s="9"/>
      <x:c r="E432" s="9"/>
      <x:c r="F432" s="9"/>
      <x:c r="G432" s="9"/>
      <x:c r="H432" s="9"/>
      <x:c r="I432" s="13"/>
      <x:c r="J432" s="15"/>
      <x:c r="K432" s="15"/>
      <x:c r="L432" s="17" t="str">
        <x:f>IF(B432="","",IF(NOT(AND(ISNUMBER(J432),ISNUMBER(K432))),"",SUM(J432:K432)))</x:f>
      </x:c>
      <x:c r="M432" s="15"/>
      <x:c r="N432" s="17" t="str">
        <x:f>IF(OR(B432="",D432&lt;&gt;"pagada",NOT(ISNUMBER(J432)),NOT(ISNUMBER(M432))),"",J432-M432)</x:f>
      </x:c>
      <x:c r="O432" s="9"/>
      <x:c r="P432" s="9"/>
      <x:c r="Q432" s="1" t="str">
        <x:f>IF(B432="","",IF(COUNTIFS($B$7:$B$1006,B432,$C$7:$C$1006,C432)&gt;1,"ID duplicado",IF(OR(A432="",C432="",D432="",E432="",F432="",I432="",J432="",K432="",O432=""),"Completar datos",IF(NOT(ISNUMBER(M432)),"Falta costo histórico","Revisar soporte"))))</x:f>
      </x:c>
      <x:c r="R432" s="9" t="n">
        <x:f>IF(B432="",0,IF(AND(D432="pagada",NOT(ISNUMBER(M432))),1,0))</x:f>
        <x:v>0</x:v>
      </x:c>
    </x:row>
    <x:row r="433" ht="22" customHeight="1">
      <x:c r="A433" s="11"/>
      <x:c r="B433" s="9"/>
      <x:c r="C433" s="9"/>
      <x:c r="D433" s="9"/>
      <x:c r="E433" s="9"/>
      <x:c r="F433" s="9"/>
      <x:c r="G433" s="9"/>
      <x:c r="H433" s="9"/>
      <x:c r="I433" s="13"/>
      <x:c r="J433" s="15"/>
      <x:c r="K433" s="15"/>
      <x:c r="L433" s="17" t="str">
        <x:f>IF(B433="","",IF(NOT(AND(ISNUMBER(J433),ISNUMBER(K433))),"",SUM(J433:K433)))</x:f>
      </x:c>
      <x:c r="M433" s="15"/>
      <x:c r="N433" s="17" t="str">
        <x:f>IF(OR(B433="",D433&lt;&gt;"pagada",NOT(ISNUMBER(J433)),NOT(ISNUMBER(M433))),"",J433-M433)</x:f>
      </x:c>
      <x:c r="O433" s="9"/>
      <x:c r="P433" s="9"/>
      <x:c r="Q433" s="1" t="str">
        <x:f>IF(B433="","",IF(COUNTIFS($B$7:$B$1006,B433,$C$7:$C$1006,C433)&gt;1,"ID duplicado",IF(OR(A433="",C433="",D433="",E433="",F433="",I433="",J433="",K433="",O433=""),"Completar datos",IF(NOT(ISNUMBER(M433)),"Falta costo histórico","Revisar soporte"))))</x:f>
      </x:c>
      <x:c r="R433" s="9" t="n">
        <x:f>IF(B433="",0,IF(AND(D433="pagada",NOT(ISNUMBER(M433))),1,0))</x:f>
        <x:v>0</x:v>
      </x:c>
    </x:row>
    <x:row r="434" ht="22" customHeight="1">
      <x:c r="A434" s="11"/>
      <x:c r="B434" s="9"/>
      <x:c r="C434" s="9"/>
      <x:c r="D434" s="9"/>
      <x:c r="E434" s="9"/>
      <x:c r="F434" s="9"/>
      <x:c r="G434" s="9"/>
      <x:c r="H434" s="9"/>
      <x:c r="I434" s="13"/>
      <x:c r="J434" s="15"/>
      <x:c r="K434" s="15"/>
      <x:c r="L434" s="17" t="str">
        <x:f>IF(B434="","",IF(NOT(AND(ISNUMBER(J434),ISNUMBER(K434))),"",SUM(J434:K434)))</x:f>
      </x:c>
      <x:c r="M434" s="15"/>
      <x:c r="N434" s="17" t="str">
        <x:f>IF(OR(B434="",D434&lt;&gt;"pagada",NOT(ISNUMBER(J434)),NOT(ISNUMBER(M434))),"",J434-M434)</x:f>
      </x:c>
      <x:c r="O434" s="9"/>
      <x:c r="P434" s="9"/>
      <x:c r="Q434" s="1" t="str">
        <x:f>IF(B434="","",IF(COUNTIFS($B$7:$B$1006,B434,$C$7:$C$1006,C434)&gt;1,"ID duplicado",IF(OR(A434="",C434="",D434="",E434="",F434="",I434="",J434="",K434="",O434=""),"Completar datos",IF(NOT(ISNUMBER(M434)),"Falta costo histórico","Revisar soporte"))))</x:f>
      </x:c>
      <x:c r="R434" s="9" t="n">
        <x:f>IF(B434="",0,IF(AND(D434="pagada",NOT(ISNUMBER(M434))),1,0))</x:f>
        <x:v>0</x:v>
      </x:c>
    </x:row>
    <x:row r="435" ht="22" customHeight="1">
      <x:c r="A435" s="11"/>
      <x:c r="B435" s="9"/>
      <x:c r="C435" s="9"/>
      <x:c r="D435" s="9"/>
      <x:c r="E435" s="9"/>
      <x:c r="F435" s="9"/>
      <x:c r="G435" s="9"/>
      <x:c r="H435" s="9"/>
      <x:c r="I435" s="13"/>
      <x:c r="J435" s="15"/>
      <x:c r="K435" s="15"/>
      <x:c r="L435" s="17" t="str">
        <x:f>IF(B435="","",IF(NOT(AND(ISNUMBER(J435),ISNUMBER(K435))),"",SUM(J435:K435)))</x:f>
      </x:c>
      <x:c r="M435" s="15"/>
      <x:c r="N435" s="17" t="str">
        <x:f>IF(OR(B435="",D435&lt;&gt;"pagada",NOT(ISNUMBER(J435)),NOT(ISNUMBER(M435))),"",J435-M435)</x:f>
      </x:c>
      <x:c r="O435" s="9"/>
      <x:c r="P435" s="9"/>
      <x:c r="Q435" s="1" t="str">
        <x:f>IF(B435="","",IF(COUNTIFS($B$7:$B$1006,B435,$C$7:$C$1006,C435)&gt;1,"ID duplicado",IF(OR(A435="",C435="",D435="",E435="",F435="",I435="",J435="",K435="",O435=""),"Completar datos",IF(NOT(ISNUMBER(M435)),"Falta costo histórico","Revisar soporte"))))</x:f>
      </x:c>
      <x:c r="R435" s="9" t="n">
        <x:f>IF(B435="",0,IF(AND(D435="pagada",NOT(ISNUMBER(M435))),1,0))</x:f>
        <x:v>0</x:v>
      </x:c>
    </x:row>
    <x:row r="436" ht="22" customHeight="1">
      <x:c r="A436" s="11"/>
      <x:c r="B436" s="9"/>
      <x:c r="C436" s="9"/>
      <x:c r="D436" s="9"/>
      <x:c r="E436" s="9"/>
      <x:c r="F436" s="9"/>
      <x:c r="G436" s="9"/>
      <x:c r="H436" s="9"/>
      <x:c r="I436" s="13"/>
      <x:c r="J436" s="15"/>
      <x:c r="K436" s="15"/>
      <x:c r="L436" s="17" t="str">
        <x:f>IF(B436="","",IF(NOT(AND(ISNUMBER(J436),ISNUMBER(K436))),"",SUM(J436:K436)))</x:f>
      </x:c>
      <x:c r="M436" s="15"/>
      <x:c r="N436" s="17" t="str">
        <x:f>IF(OR(B436="",D436&lt;&gt;"pagada",NOT(ISNUMBER(J436)),NOT(ISNUMBER(M436))),"",J436-M436)</x:f>
      </x:c>
      <x:c r="O436" s="9"/>
      <x:c r="P436" s="9"/>
      <x:c r="Q436" s="1" t="str">
        <x:f>IF(B436="","",IF(COUNTIFS($B$7:$B$1006,B436,$C$7:$C$1006,C436)&gt;1,"ID duplicado",IF(OR(A436="",C436="",D436="",E436="",F436="",I436="",J436="",K436="",O436=""),"Completar datos",IF(NOT(ISNUMBER(M436)),"Falta costo histórico","Revisar soporte"))))</x:f>
      </x:c>
      <x:c r="R436" s="9" t="n">
        <x:f>IF(B436="",0,IF(AND(D436="pagada",NOT(ISNUMBER(M436))),1,0))</x:f>
        <x:v>0</x:v>
      </x:c>
    </x:row>
    <x:row r="437" ht="22" customHeight="1">
      <x:c r="A437" s="11"/>
      <x:c r="B437" s="9"/>
      <x:c r="C437" s="9"/>
      <x:c r="D437" s="9"/>
      <x:c r="E437" s="9"/>
      <x:c r="F437" s="9"/>
      <x:c r="G437" s="9"/>
      <x:c r="H437" s="9"/>
      <x:c r="I437" s="13"/>
      <x:c r="J437" s="15"/>
      <x:c r="K437" s="15"/>
      <x:c r="L437" s="17" t="str">
        <x:f>IF(B437="","",IF(NOT(AND(ISNUMBER(J437),ISNUMBER(K437))),"",SUM(J437:K437)))</x:f>
      </x:c>
      <x:c r="M437" s="15"/>
      <x:c r="N437" s="17" t="str">
        <x:f>IF(OR(B437="",D437&lt;&gt;"pagada",NOT(ISNUMBER(J437)),NOT(ISNUMBER(M437))),"",J437-M437)</x:f>
      </x:c>
      <x:c r="O437" s="9"/>
      <x:c r="P437" s="9"/>
      <x:c r="Q437" s="1" t="str">
        <x:f>IF(B437="","",IF(COUNTIFS($B$7:$B$1006,B437,$C$7:$C$1006,C437)&gt;1,"ID duplicado",IF(OR(A437="",C437="",D437="",E437="",F437="",I437="",J437="",K437="",O437=""),"Completar datos",IF(NOT(ISNUMBER(M437)),"Falta costo histórico","Revisar soporte"))))</x:f>
      </x:c>
      <x:c r="R437" s="9" t="n">
        <x:f>IF(B437="",0,IF(AND(D437="pagada",NOT(ISNUMBER(M437))),1,0))</x:f>
        <x:v>0</x:v>
      </x:c>
    </x:row>
    <x:row r="438" ht="22" customHeight="1">
      <x:c r="A438" s="11"/>
      <x:c r="B438" s="9"/>
      <x:c r="C438" s="9"/>
      <x:c r="D438" s="9"/>
      <x:c r="E438" s="9"/>
      <x:c r="F438" s="9"/>
      <x:c r="G438" s="9"/>
      <x:c r="H438" s="9"/>
      <x:c r="I438" s="13"/>
      <x:c r="J438" s="15"/>
      <x:c r="K438" s="15"/>
      <x:c r="L438" s="17" t="str">
        <x:f>IF(B438="","",IF(NOT(AND(ISNUMBER(J438),ISNUMBER(K438))),"",SUM(J438:K438)))</x:f>
      </x:c>
      <x:c r="M438" s="15"/>
      <x:c r="N438" s="17" t="str">
        <x:f>IF(OR(B438="",D438&lt;&gt;"pagada",NOT(ISNUMBER(J438)),NOT(ISNUMBER(M438))),"",J438-M438)</x:f>
      </x:c>
      <x:c r="O438" s="9"/>
      <x:c r="P438" s="9"/>
      <x:c r="Q438" s="1" t="str">
        <x:f>IF(B438="","",IF(COUNTIFS($B$7:$B$1006,B438,$C$7:$C$1006,C438)&gt;1,"ID duplicado",IF(OR(A438="",C438="",D438="",E438="",F438="",I438="",J438="",K438="",O438=""),"Completar datos",IF(NOT(ISNUMBER(M438)),"Falta costo histórico","Revisar soporte"))))</x:f>
      </x:c>
      <x:c r="R438" s="9" t="n">
        <x:f>IF(B438="",0,IF(AND(D438="pagada",NOT(ISNUMBER(M438))),1,0))</x:f>
        <x:v>0</x:v>
      </x:c>
    </x:row>
    <x:row r="439" ht="22" customHeight="1">
      <x:c r="A439" s="11"/>
      <x:c r="B439" s="9"/>
      <x:c r="C439" s="9"/>
      <x:c r="D439" s="9"/>
      <x:c r="E439" s="9"/>
      <x:c r="F439" s="9"/>
      <x:c r="G439" s="9"/>
      <x:c r="H439" s="9"/>
      <x:c r="I439" s="13"/>
      <x:c r="J439" s="15"/>
      <x:c r="K439" s="15"/>
      <x:c r="L439" s="17" t="str">
        <x:f>IF(B439="","",IF(NOT(AND(ISNUMBER(J439),ISNUMBER(K439))),"",SUM(J439:K439)))</x:f>
      </x:c>
      <x:c r="M439" s="15"/>
      <x:c r="N439" s="17" t="str">
        <x:f>IF(OR(B439="",D439&lt;&gt;"pagada",NOT(ISNUMBER(J439)),NOT(ISNUMBER(M439))),"",J439-M439)</x:f>
      </x:c>
      <x:c r="O439" s="9"/>
      <x:c r="P439" s="9"/>
      <x:c r="Q439" s="1" t="str">
        <x:f>IF(B439="","",IF(COUNTIFS($B$7:$B$1006,B439,$C$7:$C$1006,C439)&gt;1,"ID duplicado",IF(OR(A439="",C439="",D439="",E439="",F439="",I439="",J439="",K439="",O439=""),"Completar datos",IF(NOT(ISNUMBER(M439)),"Falta costo histórico","Revisar soporte"))))</x:f>
      </x:c>
      <x:c r="R439" s="9" t="n">
        <x:f>IF(B439="",0,IF(AND(D439="pagada",NOT(ISNUMBER(M439))),1,0))</x:f>
        <x:v>0</x:v>
      </x:c>
    </x:row>
    <x:row r="440" ht="22" customHeight="1">
      <x:c r="A440" s="11"/>
      <x:c r="B440" s="9"/>
      <x:c r="C440" s="9"/>
      <x:c r="D440" s="9"/>
      <x:c r="E440" s="9"/>
      <x:c r="F440" s="9"/>
      <x:c r="G440" s="9"/>
      <x:c r="H440" s="9"/>
      <x:c r="I440" s="13"/>
      <x:c r="J440" s="15"/>
      <x:c r="K440" s="15"/>
      <x:c r="L440" s="17" t="str">
        <x:f>IF(B440="","",IF(NOT(AND(ISNUMBER(J440),ISNUMBER(K440))),"",SUM(J440:K440)))</x:f>
      </x:c>
      <x:c r="M440" s="15"/>
      <x:c r="N440" s="17" t="str">
        <x:f>IF(OR(B440="",D440&lt;&gt;"pagada",NOT(ISNUMBER(J440)),NOT(ISNUMBER(M440))),"",J440-M440)</x:f>
      </x:c>
      <x:c r="O440" s="9"/>
      <x:c r="P440" s="9"/>
      <x:c r="Q440" s="1" t="str">
        <x:f>IF(B440="","",IF(COUNTIFS($B$7:$B$1006,B440,$C$7:$C$1006,C440)&gt;1,"ID duplicado",IF(OR(A440="",C440="",D440="",E440="",F440="",I440="",J440="",K440="",O440=""),"Completar datos",IF(NOT(ISNUMBER(M440)),"Falta costo histórico","Revisar soporte"))))</x:f>
      </x:c>
      <x:c r="R440" s="9" t="n">
        <x:f>IF(B440="",0,IF(AND(D440="pagada",NOT(ISNUMBER(M440))),1,0))</x:f>
        <x:v>0</x:v>
      </x:c>
    </x:row>
    <x:row r="441" ht="22" customHeight="1">
      <x:c r="A441" s="11"/>
      <x:c r="B441" s="9"/>
      <x:c r="C441" s="9"/>
      <x:c r="D441" s="9"/>
      <x:c r="E441" s="9"/>
      <x:c r="F441" s="9"/>
      <x:c r="G441" s="9"/>
      <x:c r="H441" s="9"/>
      <x:c r="I441" s="13"/>
      <x:c r="J441" s="15"/>
      <x:c r="K441" s="15"/>
      <x:c r="L441" s="17" t="str">
        <x:f>IF(B441="","",IF(NOT(AND(ISNUMBER(J441),ISNUMBER(K441))),"",SUM(J441:K441)))</x:f>
      </x:c>
      <x:c r="M441" s="15"/>
      <x:c r="N441" s="17" t="str">
        <x:f>IF(OR(B441="",D441&lt;&gt;"pagada",NOT(ISNUMBER(J441)),NOT(ISNUMBER(M441))),"",J441-M441)</x:f>
      </x:c>
      <x:c r="O441" s="9"/>
      <x:c r="P441" s="9"/>
      <x:c r="Q441" s="1" t="str">
        <x:f>IF(B441="","",IF(COUNTIFS($B$7:$B$1006,B441,$C$7:$C$1006,C441)&gt;1,"ID duplicado",IF(OR(A441="",C441="",D441="",E441="",F441="",I441="",J441="",K441="",O441=""),"Completar datos",IF(NOT(ISNUMBER(M441)),"Falta costo histórico","Revisar soporte"))))</x:f>
      </x:c>
      <x:c r="R441" s="9" t="n">
        <x:f>IF(B441="",0,IF(AND(D441="pagada",NOT(ISNUMBER(M441))),1,0))</x:f>
        <x:v>0</x:v>
      </x:c>
    </x:row>
    <x:row r="442" ht="22" customHeight="1">
      <x:c r="A442" s="11"/>
      <x:c r="B442" s="9"/>
      <x:c r="C442" s="9"/>
      <x:c r="D442" s="9"/>
      <x:c r="E442" s="9"/>
      <x:c r="F442" s="9"/>
      <x:c r="G442" s="9"/>
      <x:c r="H442" s="9"/>
      <x:c r="I442" s="13"/>
      <x:c r="J442" s="15"/>
      <x:c r="K442" s="15"/>
      <x:c r="L442" s="17" t="str">
        <x:f>IF(B442="","",IF(NOT(AND(ISNUMBER(J442),ISNUMBER(K442))),"",SUM(J442:K442)))</x:f>
      </x:c>
      <x:c r="M442" s="15"/>
      <x:c r="N442" s="17" t="str">
        <x:f>IF(OR(B442="",D442&lt;&gt;"pagada",NOT(ISNUMBER(J442)),NOT(ISNUMBER(M442))),"",J442-M442)</x:f>
      </x:c>
      <x:c r="O442" s="9"/>
      <x:c r="P442" s="9"/>
      <x:c r="Q442" s="1" t="str">
        <x:f>IF(B442="","",IF(COUNTIFS($B$7:$B$1006,B442,$C$7:$C$1006,C442)&gt;1,"ID duplicado",IF(OR(A442="",C442="",D442="",E442="",F442="",I442="",J442="",K442="",O442=""),"Completar datos",IF(NOT(ISNUMBER(M442)),"Falta costo histórico","Revisar soporte"))))</x:f>
      </x:c>
      <x:c r="R442" s="9" t="n">
        <x:f>IF(B442="",0,IF(AND(D442="pagada",NOT(ISNUMBER(M442))),1,0))</x:f>
        <x:v>0</x:v>
      </x:c>
    </x:row>
    <x:row r="443" ht="22" customHeight="1">
      <x:c r="A443" s="11"/>
      <x:c r="B443" s="9"/>
      <x:c r="C443" s="9"/>
      <x:c r="D443" s="9"/>
      <x:c r="E443" s="9"/>
      <x:c r="F443" s="9"/>
      <x:c r="G443" s="9"/>
      <x:c r="H443" s="9"/>
      <x:c r="I443" s="13"/>
      <x:c r="J443" s="15"/>
      <x:c r="K443" s="15"/>
      <x:c r="L443" s="17" t="str">
        <x:f>IF(B443="","",IF(NOT(AND(ISNUMBER(J443),ISNUMBER(K443))),"",SUM(J443:K443)))</x:f>
      </x:c>
      <x:c r="M443" s="15"/>
      <x:c r="N443" s="17" t="str">
        <x:f>IF(OR(B443="",D443&lt;&gt;"pagada",NOT(ISNUMBER(J443)),NOT(ISNUMBER(M443))),"",J443-M443)</x:f>
      </x:c>
      <x:c r="O443" s="9"/>
      <x:c r="P443" s="9"/>
      <x:c r="Q443" s="1" t="str">
        <x:f>IF(B443="","",IF(COUNTIFS($B$7:$B$1006,B443,$C$7:$C$1006,C443)&gt;1,"ID duplicado",IF(OR(A443="",C443="",D443="",E443="",F443="",I443="",J443="",K443="",O443=""),"Completar datos",IF(NOT(ISNUMBER(M443)),"Falta costo histórico","Revisar soporte"))))</x:f>
      </x:c>
      <x:c r="R443" s="9" t="n">
        <x:f>IF(B443="",0,IF(AND(D443="pagada",NOT(ISNUMBER(M443))),1,0))</x:f>
        <x:v>0</x:v>
      </x:c>
    </x:row>
    <x:row r="444" ht="22" customHeight="1">
      <x:c r="A444" s="11"/>
      <x:c r="B444" s="9"/>
      <x:c r="C444" s="9"/>
      <x:c r="D444" s="9"/>
      <x:c r="E444" s="9"/>
      <x:c r="F444" s="9"/>
      <x:c r="G444" s="9"/>
      <x:c r="H444" s="9"/>
      <x:c r="I444" s="13"/>
      <x:c r="J444" s="15"/>
      <x:c r="K444" s="15"/>
      <x:c r="L444" s="17" t="str">
        <x:f>IF(B444="","",IF(NOT(AND(ISNUMBER(J444),ISNUMBER(K444))),"",SUM(J444:K444)))</x:f>
      </x:c>
      <x:c r="M444" s="15"/>
      <x:c r="N444" s="17" t="str">
        <x:f>IF(OR(B444="",D444&lt;&gt;"pagada",NOT(ISNUMBER(J444)),NOT(ISNUMBER(M444))),"",J444-M444)</x:f>
      </x:c>
      <x:c r="O444" s="9"/>
      <x:c r="P444" s="9"/>
      <x:c r="Q444" s="1" t="str">
        <x:f>IF(B444="","",IF(COUNTIFS($B$7:$B$1006,B444,$C$7:$C$1006,C444)&gt;1,"ID duplicado",IF(OR(A444="",C444="",D444="",E444="",F444="",I444="",J444="",K444="",O444=""),"Completar datos",IF(NOT(ISNUMBER(M444)),"Falta costo histórico","Revisar soporte"))))</x:f>
      </x:c>
      <x:c r="R444" s="9" t="n">
        <x:f>IF(B444="",0,IF(AND(D444="pagada",NOT(ISNUMBER(M444))),1,0))</x:f>
        <x:v>0</x:v>
      </x:c>
    </x:row>
    <x:row r="445" ht="22" customHeight="1">
      <x:c r="A445" s="11"/>
      <x:c r="B445" s="9"/>
      <x:c r="C445" s="9"/>
      <x:c r="D445" s="9"/>
      <x:c r="E445" s="9"/>
      <x:c r="F445" s="9"/>
      <x:c r="G445" s="9"/>
      <x:c r="H445" s="9"/>
      <x:c r="I445" s="13"/>
      <x:c r="J445" s="15"/>
      <x:c r="K445" s="15"/>
      <x:c r="L445" s="17" t="str">
        <x:f>IF(B445="","",IF(NOT(AND(ISNUMBER(J445),ISNUMBER(K445))),"",SUM(J445:K445)))</x:f>
      </x:c>
      <x:c r="M445" s="15"/>
      <x:c r="N445" s="17" t="str">
        <x:f>IF(OR(B445="",D445&lt;&gt;"pagada",NOT(ISNUMBER(J445)),NOT(ISNUMBER(M445))),"",J445-M445)</x:f>
      </x:c>
      <x:c r="O445" s="9"/>
      <x:c r="P445" s="9"/>
      <x:c r="Q445" s="1" t="str">
        <x:f>IF(B445="","",IF(COUNTIFS($B$7:$B$1006,B445,$C$7:$C$1006,C445)&gt;1,"ID duplicado",IF(OR(A445="",C445="",D445="",E445="",F445="",I445="",J445="",K445="",O445=""),"Completar datos",IF(NOT(ISNUMBER(M445)),"Falta costo histórico","Revisar soporte"))))</x:f>
      </x:c>
      <x:c r="R445" s="9" t="n">
        <x:f>IF(B445="",0,IF(AND(D445="pagada",NOT(ISNUMBER(M445))),1,0))</x:f>
        <x:v>0</x:v>
      </x:c>
    </x:row>
    <x:row r="446" ht="22" customHeight="1">
      <x:c r="A446" s="11"/>
      <x:c r="B446" s="9"/>
      <x:c r="C446" s="9"/>
      <x:c r="D446" s="9"/>
      <x:c r="E446" s="9"/>
      <x:c r="F446" s="9"/>
      <x:c r="G446" s="9"/>
      <x:c r="H446" s="9"/>
      <x:c r="I446" s="13"/>
      <x:c r="J446" s="15"/>
      <x:c r="K446" s="15"/>
      <x:c r="L446" s="17" t="str">
        <x:f>IF(B446="","",IF(NOT(AND(ISNUMBER(J446),ISNUMBER(K446))),"",SUM(J446:K446)))</x:f>
      </x:c>
      <x:c r="M446" s="15"/>
      <x:c r="N446" s="17" t="str">
        <x:f>IF(OR(B446="",D446&lt;&gt;"pagada",NOT(ISNUMBER(J446)),NOT(ISNUMBER(M446))),"",J446-M446)</x:f>
      </x:c>
      <x:c r="O446" s="9"/>
      <x:c r="P446" s="9"/>
      <x:c r="Q446" s="1" t="str">
        <x:f>IF(B446="","",IF(COUNTIFS($B$7:$B$1006,B446,$C$7:$C$1006,C446)&gt;1,"ID duplicado",IF(OR(A446="",C446="",D446="",E446="",F446="",I446="",J446="",K446="",O446=""),"Completar datos",IF(NOT(ISNUMBER(M446)),"Falta costo histórico","Revisar soporte"))))</x:f>
      </x:c>
      <x:c r="R446" s="9" t="n">
        <x:f>IF(B446="",0,IF(AND(D446="pagada",NOT(ISNUMBER(M446))),1,0))</x:f>
        <x:v>0</x:v>
      </x:c>
    </x:row>
    <x:row r="447" ht="22" customHeight="1">
      <x:c r="A447" s="11"/>
      <x:c r="B447" s="9"/>
      <x:c r="C447" s="9"/>
      <x:c r="D447" s="9"/>
      <x:c r="E447" s="9"/>
      <x:c r="F447" s="9"/>
      <x:c r="G447" s="9"/>
      <x:c r="H447" s="9"/>
      <x:c r="I447" s="13"/>
      <x:c r="J447" s="15"/>
      <x:c r="K447" s="15"/>
      <x:c r="L447" s="17" t="str">
        <x:f>IF(B447="","",IF(NOT(AND(ISNUMBER(J447),ISNUMBER(K447))),"",SUM(J447:K447)))</x:f>
      </x:c>
      <x:c r="M447" s="15"/>
      <x:c r="N447" s="17" t="str">
        <x:f>IF(OR(B447="",D447&lt;&gt;"pagada",NOT(ISNUMBER(J447)),NOT(ISNUMBER(M447))),"",J447-M447)</x:f>
      </x:c>
      <x:c r="O447" s="9"/>
      <x:c r="P447" s="9"/>
      <x:c r="Q447" s="1" t="str">
        <x:f>IF(B447="","",IF(COUNTIFS($B$7:$B$1006,B447,$C$7:$C$1006,C447)&gt;1,"ID duplicado",IF(OR(A447="",C447="",D447="",E447="",F447="",I447="",J447="",K447="",O447=""),"Completar datos",IF(NOT(ISNUMBER(M447)),"Falta costo histórico","Revisar soporte"))))</x:f>
      </x:c>
      <x:c r="R447" s="9" t="n">
        <x:f>IF(B447="",0,IF(AND(D447="pagada",NOT(ISNUMBER(M447))),1,0))</x:f>
        <x:v>0</x:v>
      </x:c>
    </x:row>
    <x:row r="448" ht="22" customHeight="1">
      <x:c r="A448" s="11"/>
      <x:c r="B448" s="9"/>
      <x:c r="C448" s="9"/>
      <x:c r="D448" s="9"/>
      <x:c r="E448" s="9"/>
      <x:c r="F448" s="9"/>
      <x:c r="G448" s="9"/>
      <x:c r="H448" s="9"/>
      <x:c r="I448" s="13"/>
      <x:c r="J448" s="15"/>
      <x:c r="K448" s="15"/>
      <x:c r="L448" s="17" t="str">
        <x:f>IF(B448="","",IF(NOT(AND(ISNUMBER(J448),ISNUMBER(K448))),"",SUM(J448:K448)))</x:f>
      </x:c>
      <x:c r="M448" s="15"/>
      <x:c r="N448" s="17" t="str">
        <x:f>IF(OR(B448="",D448&lt;&gt;"pagada",NOT(ISNUMBER(J448)),NOT(ISNUMBER(M448))),"",J448-M448)</x:f>
      </x:c>
      <x:c r="O448" s="9"/>
      <x:c r="P448" s="9"/>
      <x:c r="Q448" s="1" t="str">
        <x:f>IF(B448="","",IF(COUNTIFS($B$7:$B$1006,B448,$C$7:$C$1006,C448)&gt;1,"ID duplicado",IF(OR(A448="",C448="",D448="",E448="",F448="",I448="",J448="",K448="",O448=""),"Completar datos",IF(NOT(ISNUMBER(M448)),"Falta costo histórico","Revisar soporte"))))</x:f>
      </x:c>
      <x:c r="R448" s="9" t="n">
        <x:f>IF(B448="",0,IF(AND(D448="pagada",NOT(ISNUMBER(M448))),1,0))</x:f>
        <x:v>0</x:v>
      </x:c>
    </x:row>
    <x:row r="449" ht="22" customHeight="1">
      <x:c r="A449" s="11"/>
      <x:c r="B449" s="9"/>
      <x:c r="C449" s="9"/>
      <x:c r="D449" s="9"/>
      <x:c r="E449" s="9"/>
      <x:c r="F449" s="9"/>
      <x:c r="G449" s="9"/>
      <x:c r="H449" s="9"/>
      <x:c r="I449" s="13"/>
      <x:c r="J449" s="15"/>
      <x:c r="K449" s="15"/>
      <x:c r="L449" s="17" t="str">
        <x:f>IF(B449="","",IF(NOT(AND(ISNUMBER(J449),ISNUMBER(K449))),"",SUM(J449:K449)))</x:f>
      </x:c>
      <x:c r="M449" s="15"/>
      <x:c r="N449" s="17" t="str">
        <x:f>IF(OR(B449="",D449&lt;&gt;"pagada",NOT(ISNUMBER(J449)),NOT(ISNUMBER(M449))),"",J449-M449)</x:f>
      </x:c>
      <x:c r="O449" s="9"/>
      <x:c r="P449" s="9"/>
      <x:c r="Q449" s="1" t="str">
        <x:f>IF(B449="","",IF(COUNTIFS($B$7:$B$1006,B449,$C$7:$C$1006,C449)&gt;1,"ID duplicado",IF(OR(A449="",C449="",D449="",E449="",F449="",I449="",J449="",K449="",O449=""),"Completar datos",IF(NOT(ISNUMBER(M449)),"Falta costo histórico","Revisar soporte"))))</x:f>
      </x:c>
      <x:c r="R449" s="9" t="n">
        <x:f>IF(B449="",0,IF(AND(D449="pagada",NOT(ISNUMBER(M449))),1,0))</x:f>
        <x:v>0</x:v>
      </x:c>
    </x:row>
    <x:row r="450" ht="22" customHeight="1">
      <x:c r="A450" s="11"/>
      <x:c r="B450" s="9"/>
      <x:c r="C450" s="9"/>
      <x:c r="D450" s="9"/>
      <x:c r="E450" s="9"/>
      <x:c r="F450" s="9"/>
      <x:c r="G450" s="9"/>
      <x:c r="H450" s="9"/>
      <x:c r="I450" s="13"/>
      <x:c r="J450" s="15"/>
      <x:c r="K450" s="15"/>
      <x:c r="L450" s="17" t="str">
        <x:f>IF(B450="","",IF(NOT(AND(ISNUMBER(J450),ISNUMBER(K450))),"",SUM(J450:K450)))</x:f>
      </x:c>
      <x:c r="M450" s="15"/>
      <x:c r="N450" s="17" t="str">
        <x:f>IF(OR(B450="",D450&lt;&gt;"pagada",NOT(ISNUMBER(J450)),NOT(ISNUMBER(M450))),"",J450-M450)</x:f>
      </x:c>
      <x:c r="O450" s="9"/>
      <x:c r="P450" s="9"/>
      <x:c r="Q450" s="1" t="str">
        <x:f>IF(B450="","",IF(COUNTIFS($B$7:$B$1006,B450,$C$7:$C$1006,C450)&gt;1,"ID duplicado",IF(OR(A450="",C450="",D450="",E450="",F450="",I450="",J450="",K450="",O450=""),"Completar datos",IF(NOT(ISNUMBER(M450)),"Falta costo histórico","Revisar soporte"))))</x:f>
      </x:c>
      <x:c r="R450" s="9" t="n">
        <x:f>IF(B450="",0,IF(AND(D450="pagada",NOT(ISNUMBER(M450))),1,0))</x:f>
        <x:v>0</x:v>
      </x:c>
    </x:row>
    <x:row r="451" ht="22" customHeight="1">
      <x:c r="A451" s="11"/>
      <x:c r="B451" s="9"/>
      <x:c r="C451" s="9"/>
      <x:c r="D451" s="9"/>
      <x:c r="E451" s="9"/>
      <x:c r="F451" s="9"/>
      <x:c r="G451" s="9"/>
      <x:c r="H451" s="9"/>
      <x:c r="I451" s="13"/>
      <x:c r="J451" s="15"/>
      <x:c r="K451" s="15"/>
      <x:c r="L451" s="17" t="str">
        <x:f>IF(B451="","",IF(NOT(AND(ISNUMBER(J451),ISNUMBER(K451))),"",SUM(J451:K451)))</x:f>
      </x:c>
      <x:c r="M451" s="15"/>
      <x:c r="N451" s="17" t="str">
        <x:f>IF(OR(B451="",D451&lt;&gt;"pagada",NOT(ISNUMBER(J451)),NOT(ISNUMBER(M451))),"",J451-M451)</x:f>
      </x:c>
      <x:c r="O451" s="9"/>
      <x:c r="P451" s="9"/>
      <x:c r="Q451" s="1" t="str">
        <x:f>IF(B451="","",IF(COUNTIFS($B$7:$B$1006,B451,$C$7:$C$1006,C451)&gt;1,"ID duplicado",IF(OR(A451="",C451="",D451="",E451="",F451="",I451="",J451="",K451="",O451=""),"Completar datos",IF(NOT(ISNUMBER(M451)),"Falta costo histórico","Revisar soporte"))))</x:f>
      </x:c>
      <x:c r="R451" s="9" t="n">
        <x:f>IF(B451="",0,IF(AND(D451="pagada",NOT(ISNUMBER(M451))),1,0))</x:f>
        <x:v>0</x:v>
      </x:c>
    </x:row>
    <x:row r="452" ht="22" customHeight="1">
      <x:c r="A452" s="11"/>
      <x:c r="B452" s="9"/>
      <x:c r="C452" s="9"/>
      <x:c r="D452" s="9"/>
      <x:c r="E452" s="9"/>
      <x:c r="F452" s="9"/>
      <x:c r="G452" s="9"/>
      <x:c r="H452" s="9"/>
      <x:c r="I452" s="13"/>
      <x:c r="J452" s="15"/>
      <x:c r="K452" s="15"/>
      <x:c r="L452" s="17" t="str">
        <x:f>IF(B452="","",IF(NOT(AND(ISNUMBER(J452),ISNUMBER(K452))),"",SUM(J452:K452)))</x:f>
      </x:c>
      <x:c r="M452" s="15"/>
      <x:c r="N452" s="17" t="str">
        <x:f>IF(OR(B452="",D452&lt;&gt;"pagada",NOT(ISNUMBER(J452)),NOT(ISNUMBER(M452))),"",J452-M452)</x:f>
      </x:c>
      <x:c r="O452" s="9"/>
      <x:c r="P452" s="9"/>
      <x:c r="Q452" s="1" t="str">
        <x:f>IF(B452="","",IF(COUNTIFS($B$7:$B$1006,B452,$C$7:$C$1006,C452)&gt;1,"ID duplicado",IF(OR(A452="",C452="",D452="",E452="",F452="",I452="",J452="",K452="",O452=""),"Completar datos",IF(NOT(ISNUMBER(M452)),"Falta costo histórico","Revisar soporte"))))</x:f>
      </x:c>
      <x:c r="R452" s="9" t="n">
        <x:f>IF(B452="",0,IF(AND(D452="pagada",NOT(ISNUMBER(M452))),1,0))</x:f>
        <x:v>0</x:v>
      </x:c>
    </x:row>
    <x:row r="453" ht="22" customHeight="1">
      <x:c r="A453" s="11"/>
      <x:c r="B453" s="9"/>
      <x:c r="C453" s="9"/>
      <x:c r="D453" s="9"/>
      <x:c r="E453" s="9"/>
      <x:c r="F453" s="9"/>
      <x:c r="G453" s="9"/>
      <x:c r="H453" s="9"/>
      <x:c r="I453" s="13"/>
      <x:c r="J453" s="15"/>
      <x:c r="K453" s="15"/>
      <x:c r="L453" s="17" t="str">
        <x:f>IF(B453="","",IF(NOT(AND(ISNUMBER(J453),ISNUMBER(K453))),"",SUM(J453:K453)))</x:f>
      </x:c>
      <x:c r="M453" s="15"/>
      <x:c r="N453" s="17" t="str">
        <x:f>IF(OR(B453="",D453&lt;&gt;"pagada",NOT(ISNUMBER(J453)),NOT(ISNUMBER(M453))),"",J453-M453)</x:f>
      </x:c>
      <x:c r="O453" s="9"/>
      <x:c r="P453" s="9"/>
      <x:c r="Q453" s="1" t="str">
        <x:f>IF(B453="","",IF(COUNTIFS($B$7:$B$1006,B453,$C$7:$C$1006,C453)&gt;1,"ID duplicado",IF(OR(A453="",C453="",D453="",E453="",F453="",I453="",J453="",K453="",O453=""),"Completar datos",IF(NOT(ISNUMBER(M453)),"Falta costo histórico","Revisar soporte"))))</x:f>
      </x:c>
      <x:c r="R453" s="9" t="n">
        <x:f>IF(B453="",0,IF(AND(D453="pagada",NOT(ISNUMBER(M453))),1,0))</x:f>
        <x:v>0</x:v>
      </x:c>
    </x:row>
    <x:row r="454" ht="22" customHeight="1">
      <x:c r="A454" s="11"/>
      <x:c r="B454" s="9"/>
      <x:c r="C454" s="9"/>
      <x:c r="D454" s="9"/>
      <x:c r="E454" s="9"/>
      <x:c r="F454" s="9"/>
      <x:c r="G454" s="9"/>
      <x:c r="H454" s="9"/>
      <x:c r="I454" s="13"/>
      <x:c r="J454" s="15"/>
      <x:c r="K454" s="15"/>
      <x:c r="L454" s="17" t="str">
        <x:f>IF(B454="","",IF(NOT(AND(ISNUMBER(J454),ISNUMBER(K454))),"",SUM(J454:K454)))</x:f>
      </x:c>
      <x:c r="M454" s="15"/>
      <x:c r="N454" s="17" t="str">
        <x:f>IF(OR(B454="",D454&lt;&gt;"pagada",NOT(ISNUMBER(J454)),NOT(ISNUMBER(M454))),"",J454-M454)</x:f>
      </x:c>
      <x:c r="O454" s="9"/>
      <x:c r="P454" s="9"/>
      <x:c r="Q454" s="1" t="str">
        <x:f>IF(B454="","",IF(COUNTIFS($B$7:$B$1006,B454,$C$7:$C$1006,C454)&gt;1,"ID duplicado",IF(OR(A454="",C454="",D454="",E454="",F454="",I454="",J454="",K454="",O454=""),"Completar datos",IF(NOT(ISNUMBER(M454)),"Falta costo histórico","Revisar soporte"))))</x:f>
      </x:c>
      <x:c r="R454" s="9" t="n">
        <x:f>IF(B454="",0,IF(AND(D454="pagada",NOT(ISNUMBER(M454))),1,0))</x:f>
        <x:v>0</x:v>
      </x:c>
    </x:row>
    <x:row r="455" ht="22" customHeight="1">
      <x:c r="A455" s="11"/>
      <x:c r="B455" s="9"/>
      <x:c r="C455" s="9"/>
      <x:c r="D455" s="9"/>
      <x:c r="E455" s="9"/>
      <x:c r="F455" s="9"/>
      <x:c r="G455" s="9"/>
      <x:c r="H455" s="9"/>
      <x:c r="I455" s="13"/>
      <x:c r="J455" s="15"/>
      <x:c r="K455" s="15"/>
      <x:c r="L455" s="17" t="str">
        <x:f>IF(B455="","",IF(NOT(AND(ISNUMBER(J455),ISNUMBER(K455))),"",SUM(J455:K455)))</x:f>
      </x:c>
      <x:c r="M455" s="15"/>
      <x:c r="N455" s="17" t="str">
        <x:f>IF(OR(B455="",D455&lt;&gt;"pagada",NOT(ISNUMBER(J455)),NOT(ISNUMBER(M455))),"",J455-M455)</x:f>
      </x:c>
      <x:c r="O455" s="9"/>
      <x:c r="P455" s="9"/>
      <x:c r="Q455" s="1" t="str">
        <x:f>IF(B455="","",IF(COUNTIFS($B$7:$B$1006,B455,$C$7:$C$1006,C455)&gt;1,"ID duplicado",IF(OR(A455="",C455="",D455="",E455="",F455="",I455="",J455="",K455="",O455=""),"Completar datos",IF(NOT(ISNUMBER(M455)),"Falta costo histórico","Revisar soporte"))))</x:f>
      </x:c>
      <x:c r="R455" s="9" t="n">
        <x:f>IF(B455="",0,IF(AND(D455="pagada",NOT(ISNUMBER(M455))),1,0))</x:f>
        <x:v>0</x:v>
      </x:c>
    </x:row>
    <x:row r="456" ht="22" customHeight="1">
      <x:c r="A456" s="11"/>
      <x:c r="B456" s="9"/>
      <x:c r="C456" s="9"/>
      <x:c r="D456" s="9"/>
      <x:c r="E456" s="9"/>
      <x:c r="F456" s="9"/>
      <x:c r="G456" s="9"/>
      <x:c r="H456" s="9"/>
      <x:c r="I456" s="13"/>
      <x:c r="J456" s="15"/>
      <x:c r="K456" s="15"/>
      <x:c r="L456" s="17" t="str">
        <x:f>IF(B456="","",IF(NOT(AND(ISNUMBER(J456),ISNUMBER(K456))),"",SUM(J456:K456)))</x:f>
      </x:c>
      <x:c r="M456" s="15"/>
      <x:c r="N456" s="17" t="str">
        <x:f>IF(OR(B456="",D456&lt;&gt;"pagada",NOT(ISNUMBER(J456)),NOT(ISNUMBER(M456))),"",J456-M456)</x:f>
      </x:c>
      <x:c r="O456" s="9"/>
      <x:c r="P456" s="9"/>
      <x:c r="Q456" s="1" t="str">
        <x:f>IF(B456="","",IF(COUNTIFS($B$7:$B$1006,B456,$C$7:$C$1006,C456)&gt;1,"ID duplicado",IF(OR(A456="",C456="",D456="",E456="",F456="",I456="",J456="",K456="",O456=""),"Completar datos",IF(NOT(ISNUMBER(M456)),"Falta costo histórico","Revisar soporte"))))</x:f>
      </x:c>
      <x:c r="R456" s="9" t="n">
        <x:f>IF(B456="",0,IF(AND(D456="pagada",NOT(ISNUMBER(M456))),1,0))</x:f>
        <x:v>0</x:v>
      </x:c>
    </x:row>
    <x:row r="457" ht="22" customHeight="1">
      <x:c r="A457" s="11"/>
      <x:c r="B457" s="9"/>
      <x:c r="C457" s="9"/>
      <x:c r="D457" s="9"/>
      <x:c r="E457" s="9"/>
      <x:c r="F457" s="9"/>
      <x:c r="G457" s="9"/>
      <x:c r="H457" s="9"/>
      <x:c r="I457" s="13"/>
      <x:c r="J457" s="15"/>
      <x:c r="K457" s="15"/>
      <x:c r="L457" s="17" t="str">
        <x:f>IF(B457="","",IF(NOT(AND(ISNUMBER(J457),ISNUMBER(K457))),"",SUM(J457:K457)))</x:f>
      </x:c>
      <x:c r="M457" s="15"/>
      <x:c r="N457" s="17" t="str">
        <x:f>IF(OR(B457="",D457&lt;&gt;"pagada",NOT(ISNUMBER(J457)),NOT(ISNUMBER(M457))),"",J457-M457)</x:f>
      </x:c>
      <x:c r="O457" s="9"/>
      <x:c r="P457" s="9"/>
      <x:c r="Q457" s="1" t="str">
        <x:f>IF(B457="","",IF(COUNTIFS($B$7:$B$1006,B457,$C$7:$C$1006,C457)&gt;1,"ID duplicado",IF(OR(A457="",C457="",D457="",E457="",F457="",I457="",J457="",K457="",O457=""),"Completar datos",IF(NOT(ISNUMBER(M457)),"Falta costo histórico","Revisar soporte"))))</x:f>
      </x:c>
      <x:c r="R457" s="9" t="n">
        <x:f>IF(B457="",0,IF(AND(D457="pagada",NOT(ISNUMBER(M457))),1,0))</x:f>
        <x:v>0</x:v>
      </x:c>
    </x:row>
    <x:row r="458" ht="22" customHeight="1">
      <x:c r="A458" s="11"/>
      <x:c r="B458" s="9"/>
      <x:c r="C458" s="9"/>
      <x:c r="D458" s="9"/>
      <x:c r="E458" s="9"/>
      <x:c r="F458" s="9"/>
      <x:c r="G458" s="9"/>
      <x:c r="H458" s="9"/>
      <x:c r="I458" s="13"/>
      <x:c r="J458" s="15"/>
      <x:c r="K458" s="15"/>
      <x:c r="L458" s="17" t="str">
        <x:f>IF(B458="","",IF(NOT(AND(ISNUMBER(J458),ISNUMBER(K458))),"",SUM(J458:K458)))</x:f>
      </x:c>
      <x:c r="M458" s="15"/>
      <x:c r="N458" s="17" t="str">
        <x:f>IF(OR(B458="",D458&lt;&gt;"pagada",NOT(ISNUMBER(J458)),NOT(ISNUMBER(M458))),"",J458-M458)</x:f>
      </x:c>
      <x:c r="O458" s="9"/>
      <x:c r="P458" s="9"/>
      <x:c r="Q458" s="1" t="str">
        <x:f>IF(B458="","",IF(COUNTIFS($B$7:$B$1006,B458,$C$7:$C$1006,C458)&gt;1,"ID duplicado",IF(OR(A458="",C458="",D458="",E458="",F458="",I458="",J458="",K458="",O458=""),"Completar datos",IF(NOT(ISNUMBER(M458)),"Falta costo histórico","Revisar soporte"))))</x:f>
      </x:c>
      <x:c r="R458" s="9" t="n">
        <x:f>IF(B458="",0,IF(AND(D458="pagada",NOT(ISNUMBER(M458))),1,0))</x:f>
        <x:v>0</x:v>
      </x:c>
    </x:row>
    <x:row r="459" ht="22" customHeight="1">
      <x:c r="A459" s="11"/>
      <x:c r="B459" s="9"/>
      <x:c r="C459" s="9"/>
      <x:c r="D459" s="9"/>
      <x:c r="E459" s="9"/>
      <x:c r="F459" s="9"/>
      <x:c r="G459" s="9"/>
      <x:c r="H459" s="9"/>
      <x:c r="I459" s="13"/>
      <x:c r="J459" s="15"/>
      <x:c r="K459" s="15"/>
      <x:c r="L459" s="17" t="str">
        <x:f>IF(B459="","",IF(NOT(AND(ISNUMBER(J459),ISNUMBER(K459))),"",SUM(J459:K459)))</x:f>
      </x:c>
      <x:c r="M459" s="15"/>
      <x:c r="N459" s="17" t="str">
        <x:f>IF(OR(B459="",D459&lt;&gt;"pagada",NOT(ISNUMBER(J459)),NOT(ISNUMBER(M459))),"",J459-M459)</x:f>
      </x:c>
      <x:c r="O459" s="9"/>
      <x:c r="P459" s="9"/>
      <x:c r="Q459" s="1" t="str">
        <x:f>IF(B459="","",IF(COUNTIFS($B$7:$B$1006,B459,$C$7:$C$1006,C459)&gt;1,"ID duplicado",IF(OR(A459="",C459="",D459="",E459="",F459="",I459="",J459="",K459="",O459=""),"Completar datos",IF(NOT(ISNUMBER(M459)),"Falta costo histórico","Revisar soporte"))))</x:f>
      </x:c>
      <x:c r="R459" s="9" t="n">
        <x:f>IF(B459="",0,IF(AND(D459="pagada",NOT(ISNUMBER(M459))),1,0))</x:f>
        <x:v>0</x:v>
      </x:c>
    </x:row>
    <x:row r="460" ht="22" customHeight="1">
      <x:c r="A460" s="11"/>
      <x:c r="B460" s="9"/>
      <x:c r="C460" s="9"/>
      <x:c r="D460" s="9"/>
      <x:c r="E460" s="9"/>
      <x:c r="F460" s="9"/>
      <x:c r="G460" s="9"/>
      <x:c r="H460" s="9"/>
      <x:c r="I460" s="13"/>
      <x:c r="J460" s="15"/>
      <x:c r="K460" s="15"/>
      <x:c r="L460" s="17" t="str">
        <x:f>IF(B460="","",IF(NOT(AND(ISNUMBER(J460),ISNUMBER(K460))),"",SUM(J460:K460)))</x:f>
      </x:c>
      <x:c r="M460" s="15"/>
      <x:c r="N460" s="17" t="str">
        <x:f>IF(OR(B460="",D460&lt;&gt;"pagada",NOT(ISNUMBER(J460)),NOT(ISNUMBER(M460))),"",J460-M460)</x:f>
      </x:c>
      <x:c r="O460" s="9"/>
      <x:c r="P460" s="9"/>
      <x:c r="Q460" s="1" t="str">
        <x:f>IF(B460="","",IF(COUNTIFS($B$7:$B$1006,B460,$C$7:$C$1006,C460)&gt;1,"ID duplicado",IF(OR(A460="",C460="",D460="",E460="",F460="",I460="",J460="",K460="",O460=""),"Completar datos",IF(NOT(ISNUMBER(M460)),"Falta costo histórico","Revisar soporte"))))</x:f>
      </x:c>
      <x:c r="R460" s="9" t="n">
        <x:f>IF(B460="",0,IF(AND(D460="pagada",NOT(ISNUMBER(M460))),1,0))</x:f>
        <x:v>0</x:v>
      </x:c>
    </x:row>
    <x:row r="461" ht="22" customHeight="1">
      <x:c r="A461" s="11"/>
      <x:c r="B461" s="9"/>
      <x:c r="C461" s="9"/>
      <x:c r="D461" s="9"/>
      <x:c r="E461" s="9"/>
      <x:c r="F461" s="9"/>
      <x:c r="G461" s="9"/>
      <x:c r="H461" s="9"/>
      <x:c r="I461" s="13"/>
      <x:c r="J461" s="15"/>
      <x:c r="K461" s="15"/>
      <x:c r="L461" s="17" t="str">
        <x:f>IF(B461="","",IF(NOT(AND(ISNUMBER(J461),ISNUMBER(K461))),"",SUM(J461:K461)))</x:f>
      </x:c>
      <x:c r="M461" s="15"/>
      <x:c r="N461" s="17" t="str">
        <x:f>IF(OR(B461="",D461&lt;&gt;"pagada",NOT(ISNUMBER(J461)),NOT(ISNUMBER(M461))),"",J461-M461)</x:f>
      </x:c>
      <x:c r="O461" s="9"/>
      <x:c r="P461" s="9"/>
      <x:c r="Q461" s="1" t="str">
        <x:f>IF(B461="","",IF(COUNTIFS($B$7:$B$1006,B461,$C$7:$C$1006,C461)&gt;1,"ID duplicado",IF(OR(A461="",C461="",D461="",E461="",F461="",I461="",J461="",K461="",O461=""),"Completar datos",IF(NOT(ISNUMBER(M461)),"Falta costo histórico","Revisar soporte"))))</x:f>
      </x:c>
      <x:c r="R461" s="9" t="n">
        <x:f>IF(B461="",0,IF(AND(D461="pagada",NOT(ISNUMBER(M461))),1,0))</x:f>
        <x:v>0</x:v>
      </x:c>
    </x:row>
    <x:row r="462" ht="22" customHeight="1">
      <x:c r="A462" s="11"/>
      <x:c r="B462" s="9"/>
      <x:c r="C462" s="9"/>
      <x:c r="D462" s="9"/>
      <x:c r="E462" s="9"/>
      <x:c r="F462" s="9"/>
      <x:c r="G462" s="9"/>
      <x:c r="H462" s="9"/>
      <x:c r="I462" s="13"/>
      <x:c r="J462" s="15"/>
      <x:c r="K462" s="15"/>
      <x:c r="L462" s="17" t="str">
        <x:f>IF(B462="","",IF(NOT(AND(ISNUMBER(J462),ISNUMBER(K462))),"",SUM(J462:K462)))</x:f>
      </x:c>
      <x:c r="M462" s="15"/>
      <x:c r="N462" s="17" t="str">
        <x:f>IF(OR(B462="",D462&lt;&gt;"pagada",NOT(ISNUMBER(J462)),NOT(ISNUMBER(M462))),"",J462-M462)</x:f>
      </x:c>
      <x:c r="O462" s="9"/>
      <x:c r="P462" s="9"/>
      <x:c r="Q462" s="1" t="str">
        <x:f>IF(B462="","",IF(COUNTIFS($B$7:$B$1006,B462,$C$7:$C$1006,C462)&gt;1,"ID duplicado",IF(OR(A462="",C462="",D462="",E462="",F462="",I462="",J462="",K462="",O462=""),"Completar datos",IF(NOT(ISNUMBER(M462)),"Falta costo histórico","Revisar soporte"))))</x:f>
      </x:c>
      <x:c r="R462" s="9" t="n">
        <x:f>IF(B462="",0,IF(AND(D462="pagada",NOT(ISNUMBER(M462))),1,0))</x:f>
        <x:v>0</x:v>
      </x:c>
    </x:row>
    <x:row r="463" ht="22" customHeight="1">
      <x:c r="A463" s="11"/>
      <x:c r="B463" s="9"/>
      <x:c r="C463" s="9"/>
      <x:c r="D463" s="9"/>
      <x:c r="E463" s="9"/>
      <x:c r="F463" s="9"/>
      <x:c r="G463" s="9"/>
      <x:c r="H463" s="9"/>
      <x:c r="I463" s="13"/>
      <x:c r="J463" s="15"/>
      <x:c r="K463" s="15"/>
      <x:c r="L463" s="17" t="str">
        <x:f>IF(B463="","",IF(NOT(AND(ISNUMBER(J463),ISNUMBER(K463))),"",SUM(J463:K463)))</x:f>
      </x:c>
      <x:c r="M463" s="15"/>
      <x:c r="N463" s="17" t="str">
        <x:f>IF(OR(B463="",D463&lt;&gt;"pagada",NOT(ISNUMBER(J463)),NOT(ISNUMBER(M463))),"",J463-M463)</x:f>
      </x:c>
      <x:c r="O463" s="9"/>
      <x:c r="P463" s="9"/>
      <x:c r="Q463" s="1" t="str">
        <x:f>IF(B463="","",IF(COUNTIFS($B$7:$B$1006,B463,$C$7:$C$1006,C463)&gt;1,"ID duplicado",IF(OR(A463="",C463="",D463="",E463="",F463="",I463="",J463="",K463="",O463=""),"Completar datos",IF(NOT(ISNUMBER(M463)),"Falta costo histórico","Revisar soporte"))))</x:f>
      </x:c>
      <x:c r="R463" s="9" t="n">
        <x:f>IF(B463="",0,IF(AND(D463="pagada",NOT(ISNUMBER(M463))),1,0))</x:f>
        <x:v>0</x:v>
      </x:c>
    </x:row>
    <x:row r="464" ht="22" customHeight="1">
      <x:c r="A464" s="11"/>
      <x:c r="B464" s="9"/>
      <x:c r="C464" s="9"/>
      <x:c r="D464" s="9"/>
      <x:c r="E464" s="9"/>
      <x:c r="F464" s="9"/>
      <x:c r="G464" s="9"/>
      <x:c r="H464" s="9"/>
      <x:c r="I464" s="13"/>
      <x:c r="J464" s="15"/>
      <x:c r="K464" s="15"/>
      <x:c r="L464" s="17" t="str">
        <x:f>IF(B464="","",IF(NOT(AND(ISNUMBER(J464),ISNUMBER(K464))),"",SUM(J464:K464)))</x:f>
      </x:c>
      <x:c r="M464" s="15"/>
      <x:c r="N464" s="17" t="str">
        <x:f>IF(OR(B464="",D464&lt;&gt;"pagada",NOT(ISNUMBER(J464)),NOT(ISNUMBER(M464))),"",J464-M464)</x:f>
      </x:c>
      <x:c r="O464" s="9"/>
      <x:c r="P464" s="9"/>
      <x:c r="Q464" s="1" t="str">
        <x:f>IF(B464="","",IF(COUNTIFS($B$7:$B$1006,B464,$C$7:$C$1006,C464)&gt;1,"ID duplicado",IF(OR(A464="",C464="",D464="",E464="",F464="",I464="",J464="",K464="",O464=""),"Completar datos",IF(NOT(ISNUMBER(M464)),"Falta costo histórico","Revisar soporte"))))</x:f>
      </x:c>
      <x:c r="R464" s="9" t="n">
        <x:f>IF(B464="",0,IF(AND(D464="pagada",NOT(ISNUMBER(M464))),1,0))</x:f>
        <x:v>0</x:v>
      </x:c>
    </x:row>
    <x:row r="465" ht="22" customHeight="1">
      <x:c r="A465" s="11"/>
      <x:c r="B465" s="9"/>
      <x:c r="C465" s="9"/>
      <x:c r="D465" s="9"/>
      <x:c r="E465" s="9"/>
      <x:c r="F465" s="9"/>
      <x:c r="G465" s="9"/>
      <x:c r="H465" s="9"/>
      <x:c r="I465" s="13"/>
      <x:c r="J465" s="15"/>
      <x:c r="K465" s="15"/>
      <x:c r="L465" s="17" t="str">
        <x:f>IF(B465="","",IF(NOT(AND(ISNUMBER(J465),ISNUMBER(K465))),"",SUM(J465:K465)))</x:f>
      </x:c>
      <x:c r="M465" s="15"/>
      <x:c r="N465" s="17" t="str">
        <x:f>IF(OR(B465="",D465&lt;&gt;"pagada",NOT(ISNUMBER(J465)),NOT(ISNUMBER(M465))),"",J465-M465)</x:f>
      </x:c>
      <x:c r="O465" s="9"/>
      <x:c r="P465" s="9"/>
      <x:c r="Q465" s="1" t="str">
        <x:f>IF(B465="","",IF(COUNTIFS($B$7:$B$1006,B465,$C$7:$C$1006,C465)&gt;1,"ID duplicado",IF(OR(A465="",C465="",D465="",E465="",F465="",I465="",J465="",K465="",O465=""),"Completar datos",IF(NOT(ISNUMBER(M465)),"Falta costo histórico","Revisar soporte"))))</x:f>
      </x:c>
      <x:c r="R465" s="9" t="n">
        <x:f>IF(B465="",0,IF(AND(D465="pagada",NOT(ISNUMBER(M465))),1,0))</x:f>
        <x:v>0</x:v>
      </x:c>
    </x:row>
    <x:row r="466" ht="22" customHeight="1">
      <x:c r="A466" s="11"/>
      <x:c r="B466" s="9"/>
      <x:c r="C466" s="9"/>
      <x:c r="D466" s="9"/>
      <x:c r="E466" s="9"/>
      <x:c r="F466" s="9"/>
      <x:c r="G466" s="9"/>
      <x:c r="H466" s="9"/>
      <x:c r="I466" s="13"/>
      <x:c r="J466" s="15"/>
      <x:c r="K466" s="15"/>
      <x:c r="L466" s="17" t="str">
        <x:f>IF(B466="","",IF(NOT(AND(ISNUMBER(J466),ISNUMBER(K466))),"",SUM(J466:K466)))</x:f>
      </x:c>
      <x:c r="M466" s="15"/>
      <x:c r="N466" s="17" t="str">
        <x:f>IF(OR(B466="",D466&lt;&gt;"pagada",NOT(ISNUMBER(J466)),NOT(ISNUMBER(M466))),"",J466-M466)</x:f>
      </x:c>
      <x:c r="O466" s="9"/>
      <x:c r="P466" s="9"/>
      <x:c r="Q466" s="1" t="str">
        <x:f>IF(B466="","",IF(COUNTIFS($B$7:$B$1006,B466,$C$7:$C$1006,C466)&gt;1,"ID duplicado",IF(OR(A466="",C466="",D466="",E466="",F466="",I466="",J466="",K466="",O466=""),"Completar datos",IF(NOT(ISNUMBER(M466)),"Falta costo histórico","Revisar soporte"))))</x:f>
      </x:c>
      <x:c r="R466" s="9" t="n">
        <x:f>IF(B466="",0,IF(AND(D466="pagada",NOT(ISNUMBER(M466))),1,0))</x:f>
        <x:v>0</x:v>
      </x:c>
    </x:row>
    <x:row r="467" ht="22" customHeight="1">
      <x:c r="A467" s="11"/>
      <x:c r="B467" s="9"/>
      <x:c r="C467" s="9"/>
      <x:c r="D467" s="9"/>
      <x:c r="E467" s="9"/>
      <x:c r="F467" s="9"/>
      <x:c r="G467" s="9"/>
      <x:c r="H467" s="9"/>
      <x:c r="I467" s="13"/>
      <x:c r="J467" s="15"/>
      <x:c r="K467" s="15"/>
      <x:c r="L467" s="17" t="str">
        <x:f>IF(B467="","",IF(NOT(AND(ISNUMBER(J467),ISNUMBER(K467))),"",SUM(J467:K467)))</x:f>
      </x:c>
      <x:c r="M467" s="15"/>
      <x:c r="N467" s="17" t="str">
        <x:f>IF(OR(B467="",D467&lt;&gt;"pagada",NOT(ISNUMBER(J467)),NOT(ISNUMBER(M467))),"",J467-M467)</x:f>
      </x:c>
      <x:c r="O467" s="9"/>
      <x:c r="P467" s="9"/>
      <x:c r="Q467" s="1" t="str">
        <x:f>IF(B467="","",IF(COUNTIFS($B$7:$B$1006,B467,$C$7:$C$1006,C467)&gt;1,"ID duplicado",IF(OR(A467="",C467="",D467="",E467="",F467="",I467="",J467="",K467="",O467=""),"Completar datos",IF(NOT(ISNUMBER(M467)),"Falta costo histórico","Revisar soporte"))))</x:f>
      </x:c>
      <x:c r="R467" s="9" t="n">
        <x:f>IF(B467="",0,IF(AND(D467="pagada",NOT(ISNUMBER(M467))),1,0))</x:f>
        <x:v>0</x:v>
      </x:c>
    </x:row>
    <x:row r="468" ht="22" customHeight="1">
      <x:c r="A468" s="11"/>
      <x:c r="B468" s="9"/>
      <x:c r="C468" s="9"/>
      <x:c r="D468" s="9"/>
      <x:c r="E468" s="9"/>
      <x:c r="F468" s="9"/>
      <x:c r="G468" s="9"/>
      <x:c r="H468" s="9"/>
      <x:c r="I468" s="13"/>
      <x:c r="J468" s="15"/>
      <x:c r="K468" s="15"/>
      <x:c r="L468" s="17" t="str">
        <x:f>IF(B468="","",IF(NOT(AND(ISNUMBER(J468),ISNUMBER(K468))),"",SUM(J468:K468)))</x:f>
      </x:c>
      <x:c r="M468" s="15"/>
      <x:c r="N468" s="17" t="str">
        <x:f>IF(OR(B468="",D468&lt;&gt;"pagada",NOT(ISNUMBER(J468)),NOT(ISNUMBER(M468))),"",J468-M468)</x:f>
      </x:c>
      <x:c r="O468" s="9"/>
      <x:c r="P468" s="9"/>
      <x:c r="Q468" s="1" t="str">
        <x:f>IF(B468="","",IF(COUNTIFS($B$7:$B$1006,B468,$C$7:$C$1006,C468)&gt;1,"ID duplicado",IF(OR(A468="",C468="",D468="",E468="",F468="",I468="",J468="",K468="",O468=""),"Completar datos",IF(NOT(ISNUMBER(M468)),"Falta costo histórico","Revisar soporte"))))</x:f>
      </x:c>
      <x:c r="R468" s="9" t="n">
        <x:f>IF(B468="",0,IF(AND(D468="pagada",NOT(ISNUMBER(M468))),1,0))</x:f>
        <x:v>0</x:v>
      </x:c>
    </x:row>
    <x:row r="469" ht="22" customHeight="1">
      <x:c r="A469" s="11"/>
      <x:c r="B469" s="9"/>
      <x:c r="C469" s="9"/>
      <x:c r="D469" s="9"/>
      <x:c r="E469" s="9"/>
      <x:c r="F469" s="9"/>
      <x:c r="G469" s="9"/>
      <x:c r="H469" s="9"/>
      <x:c r="I469" s="13"/>
      <x:c r="J469" s="15"/>
      <x:c r="K469" s="15"/>
      <x:c r="L469" s="17" t="str">
        <x:f>IF(B469="","",IF(NOT(AND(ISNUMBER(J469),ISNUMBER(K469))),"",SUM(J469:K469)))</x:f>
      </x:c>
      <x:c r="M469" s="15"/>
      <x:c r="N469" s="17" t="str">
        <x:f>IF(OR(B469="",D469&lt;&gt;"pagada",NOT(ISNUMBER(J469)),NOT(ISNUMBER(M469))),"",J469-M469)</x:f>
      </x:c>
      <x:c r="O469" s="9"/>
      <x:c r="P469" s="9"/>
      <x:c r="Q469" s="1" t="str">
        <x:f>IF(B469="","",IF(COUNTIFS($B$7:$B$1006,B469,$C$7:$C$1006,C469)&gt;1,"ID duplicado",IF(OR(A469="",C469="",D469="",E469="",F469="",I469="",J469="",K469="",O469=""),"Completar datos",IF(NOT(ISNUMBER(M469)),"Falta costo histórico","Revisar soporte"))))</x:f>
      </x:c>
      <x:c r="R469" s="9" t="n">
        <x:f>IF(B469="",0,IF(AND(D469="pagada",NOT(ISNUMBER(M469))),1,0))</x:f>
        <x:v>0</x:v>
      </x:c>
    </x:row>
    <x:row r="470" ht="22" customHeight="1">
      <x:c r="A470" s="11"/>
      <x:c r="B470" s="9"/>
      <x:c r="C470" s="9"/>
      <x:c r="D470" s="9"/>
      <x:c r="E470" s="9"/>
      <x:c r="F470" s="9"/>
      <x:c r="G470" s="9"/>
      <x:c r="H470" s="9"/>
      <x:c r="I470" s="13"/>
      <x:c r="J470" s="15"/>
      <x:c r="K470" s="15"/>
      <x:c r="L470" s="17" t="str">
        <x:f>IF(B470="","",IF(NOT(AND(ISNUMBER(J470),ISNUMBER(K470))),"",SUM(J470:K470)))</x:f>
      </x:c>
      <x:c r="M470" s="15"/>
      <x:c r="N470" s="17" t="str">
        <x:f>IF(OR(B470="",D470&lt;&gt;"pagada",NOT(ISNUMBER(J470)),NOT(ISNUMBER(M470))),"",J470-M470)</x:f>
      </x:c>
      <x:c r="O470" s="9"/>
      <x:c r="P470" s="9"/>
      <x:c r="Q470" s="1" t="str">
        <x:f>IF(B470="","",IF(COUNTIFS($B$7:$B$1006,B470,$C$7:$C$1006,C470)&gt;1,"ID duplicado",IF(OR(A470="",C470="",D470="",E470="",F470="",I470="",J470="",K470="",O470=""),"Completar datos",IF(NOT(ISNUMBER(M470)),"Falta costo histórico","Revisar soporte"))))</x:f>
      </x:c>
      <x:c r="R470" s="9" t="n">
        <x:f>IF(B470="",0,IF(AND(D470="pagada",NOT(ISNUMBER(M470))),1,0))</x:f>
        <x:v>0</x:v>
      </x:c>
    </x:row>
    <x:row r="471" ht="22" customHeight="1">
      <x:c r="A471" s="11"/>
      <x:c r="B471" s="9"/>
      <x:c r="C471" s="9"/>
      <x:c r="D471" s="9"/>
      <x:c r="E471" s="9"/>
      <x:c r="F471" s="9"/>
      <x:c r="G471" s="9"/>
      <x:c r="H471" s="9"/>
      <x:c r="I471" s="13"/>
      <x:c r="J471" s="15"/>
      <x:c r="K471" s="15"/>
      <x:c r="L471" s="17" t="str">
        <x:f>IF(B471="","",IF(NOT(AND(ISNUMBER(J471),ISNUMBER(K471))),"",SUM(J471:K471)))</x:f>
      </x:c>
      <x:c r="M471" s="15"/>
      <x:c r="N471" s="17" t="str">
        <x:f>IF(OR(B471="",D471&lt;&gt;"pagada",NOT(ISNUMBER(J471)),NOT(ISNUMBER(M471))),"",J471-M471)</x:f>
      </x:c>
      <x:c r="O471" s="9"/>
      <x:c r="P471" s="9"/>
      <x:c r="Q471" s="1" t="str">
        <x:f>IF(B471="","",IF(COUNTIFS($B$7:$B$1006,B471,$C$7:$C$1006,C471)&gt;1,"ID duplicado",IF(OR(A471="",C471="",D471="",E471="",F471="",I471="",J471="",K471="",O471=""),"Completar datos",IF(NOT(ISNUMBER(M471)),"Falta costo histórico","Revisar soporte"))))</x:f>
      </x:c>
      <x:c r="R471" s="9" t="n">
        <x:f>IF(B471="",0,IF(AND(D471="pagada",NOT(ISNUMBER(M471))),1,0))</x:f>
        <x:v>0</x:v>
      </x:c>
    </x:row>
    <x:row r="472" ht="22" customHeight="1">
      <x:c r="A472" s="11"/>
      <x:c r="B472" s="9"/>
      <x:c r="C472" s="9"/>
      <x:c r="D472" s="9"/>
      <x:c r="E472" s="9"/>
      <x:c r="F472" s="9"/>
      <x:c r="G472" s="9"/>
      <x:c r="H472" s="9"/>
      <x:c r="I472" s="13"/>
      <x:c r="J472" s="15"/>
      <x:c r="K472" s="15"/>
      <x:c r="L472" s="17" t="str">
        <x:f>IF(B472="","",IF(NOT(AND(ISNUMBER(J472),ISNUMBER(K472))),"",SUM(J472:K472)))</x:f>
      </x:c>
      <x:c r="M472" s="15"/>
      <x:c r="N472" s="17" t="str">
        <x:f>IF(OR(B472="",D472&lt;&gt;"pagada",NOT(ISNUMBER(J472)),NOT(ISNUMBER(M472))),"",J472-M472)</x:f>
      </x:c>
      <x:c r="O472" s="9"/>
      <x:c r="P472" s="9"/>
      <x:c r="Q472" s="1" t="str">
        <x:f>IF(B472="","",IF(COUNTIFS($B$7:$B$1006,B472,$C$7:$C$1006,C472)&gt;1,"ID duplicado",IF(OR(A472="",C472="",D472="",E472="",F472="",I472="",J472="",K472="",O472=""),"Completar datos",IF(NOT(ISNUMBER(M472)),"Falta costo histórico","Revisar soporte"))))</x:f>
      </x:c>
      <x:c r="R472" s="9" t="n">
        <x:f>IF(B472="",0,IF(AND(D472="pagada",NOT(ISNUMBER(M472))),1,0))</x:f>
        <x:v>0</x:v>
      </x:c>
    </x:row>
    <x:row r="473" ht="22" customHeight="1">
      <x:c r="A473" s="11"/>
      <x:c r="B473" s="9"/>
      <x:c r="C473" s="9"/>
      <x:c r="D473" s="9"/>
      <x:c r="E473" s="9"/>
      <x:c r="F473" s="9"/>
      <x:c r="G473" s="9"/>
      <x:c r="H473" s="9"/>
      <x:c r="I473" s="13"/>
      <x:c r="J473" s="15"/>
      <x:c r="K473" s="15"/>
      <x:c r="L473" s="17" t="str">
        <x:f>IF(B473="","",IF(NOT(AND(ISNUMBER(J473),ISNUMBER(K473))),"",SUM(J473:K473)))</x:f>
      </x:c>
      <x:c r="M473" s="15"/>
      <x:c r="N473" s="17" t="str">
        <x:f>IF(OR(B473="",D473&lt;&gt;"pagada",NOT(ISNUMBER(J473)),NOT(ISNUMBER(M473))),"",J473-M473)</x:f>
      </x:c>
      <x:c r="O473" s="9"/>
      <x:c r="P473" s="9"/>
      <x:c r="Q473" s="1" t="str">
        <x:f>IF(B473="","",IF(COUNTIFS($B$7:$B$1006,B473,$C$7:$C$1006,C473)&gt;1,"ID duplicado",IF(OR(A473="",C473="",D473="",E473="",F473="",I473="",J473="",K473="",O473=""),"Completar datos",IF(NOT(ISNUMBER(M473)),"Falta costo histórico","Revisar soporte"))))</x:f>
      </x:c>
      <x:c r="R473" s="9" t="n">
        <x:f>IF(B473="",0,IF(AND(D473="pagada",NOT(ISNUMBER(M473))),1,0))</x:f>
        <x:v>0</x:v>
      </x:c>
    </x:row>
    <x:row r="474" ht="22" customHeight="1">
      <x:c r="A474" s="11"/>
      <x:c r="B474" s="9"/>
      <x:c r="C474" s="9"/>
      <x:c r="D474" s="9"/>
      <x:c r="E474" s="9"/>
      <x:c r="F474" s="9"/>
      <x:c r="G474" s="9"/>
      <x:c r="H474" s="9"/>
      <x:c r="I474" s="13"/>
      <x:c r="J474" s="15"/>
      <x:c r="K474" s="15"/>
      <x:c r="L474" s="17" t="str">
        <x:f>IF(B474="","",IF(NOT(AND(ISNUMBER(J474),ISNUMBER(K474))),"",SUM(J474:K474)))</x:f>
      </x:c>
      <x:c r="M474" s="15"/>
      <x:c r="N474" s="17" t="str">
        <x:f>IF(OR(B474="",D474&lt;&gt;"pagada",NOT(ISNUMBER(J474)),NOT(ISNUMBER(M474))),"",J474-M474)</x:f>
      </x:c>
      <x:c r="O474" s="9"/>
      <x:c r="P474" s="9"/>
      <x:c r="Q474" s="1" t="str">
        <x:f>IF(B474="","",IF(COUNTIFS($B$7:$B$1006,B474,$C$7:$C$1006,C474)&gt;1,"ID duplicado",IF(OR(A474="",C474="",D474="",E474="",F474="",I474="",J474="",K474="",O474=""),"Completar datos",IF(NOT(ISNUMBER(M474)),"Falta costo histórico","Revisar soporte"))))</x:f>
      </x:c>
      <x:c r="R474" s="9" t="n">
        <x:f>IF(B474="",0,IF(AND(D474="pagada",NOT(ISNUMBER(M474))),1,0))</x:f>
        <x:v>0</x:v>
      </x:c>
    </x:row>
    <x:row r="475" ht="22" customHeight="1">
      <x:c r="A475" s="11"/>
      <x:c r="B475" s="9"/>
      <x:c r="C475" s="9"/>
      <x:c r="D475" s="9"/>
      <x:c r="E475" s="9"/>
      <x:c r="F475" s="9"/>
      <x:c r="G475" s="9"/>
      <x:c r="H475" s="9"/>
      <x:c r="I475" s="13"/>
      <x:c r="J475" s="15"/>
      <x:c r="K475" s="15"/>
      <x:c r="L475" s="17" t="str">
        <x:f>IF(B475="","",IF(NOT(AND(ISNUMBER(J475),ISNUMBER(K475))),"",SUM(J475:K475)))</x:f>
      </x:c>
      <x:c r="M475" s="15"/>
      <x:c r="N475" s="17" t="str">
        <x:f>IF(OR(B475="",D475&lt;&gt;"pagada",NOT(ISNUMBER(J475)),NOT(ISNUMBER(M475))),"",J475-M475)</x:f>
      </x:c>
      <x:c r="O475" s="9"/>
      <x:c r="P475" s="9"/>
      <x:c r="Q475" s="1" t="str">
        <x:f>IF(B475="","",IF(COUNTIFS($B$7:$B$1006,B475,$C$7:$C$1006,C475)&gt;1,"ID duplicado",IF(OR(A475="",C475="",D475="",E475="",F475="",I475="",J475="",K475="",O475=""),"Completar datos",IF(NOT(ISNUMBER(M475)),"Falta costo histórico","Revisar soporte"))))</x:f>
      </x:c>
      <x:c r="R475" s="9" t="n">
        <x:f>IF(B475="",0,IF(AND(D475="pagada",NOT(ISNUMBER(M475))),1,0))</x:f>
        <x:v>0</x:v>
      </x:c>
    </x:row>
    <x:row r="476" ht="22" customHeight="1">
      <x:c r="A476" s="11"/>
      <x:c r="B476" s="9"/>
      <x:c r="C476" s="9"/>
      <x:c r="D476" s="9"/>
      <x:c r="E476" s="9"/>
      <x:c r="F476" s="9"/>
      <x:c r="G476" s="9"/>
      <x:c r="H476" s="9"/>
      <x:c r="I476" s="13"/>
      <x:c r="J476" s="15"/>
      <x:c r="K476" s="15"/>
      <x:c r="L476" s="17" t="str">
        <x:f>IF(B476="","",IF(NOT(AND(ISNUMBER(J476),ISNUMBER(K476))),"",SUM(J476:K476)))</x:f>
      </x:c>
      <x:c r="M476" s="15"/>
      <x:c r="N476" s="17" t="str">
        <x:f>IF(OR(B476="",D476&lt;&gt;"pagada",NOT(ISNUMBER(J476)),NOT(ISNUMBER(M476))),"",J476-M476)</x:f>
      </x:c>
      <x:c r="O476" s="9"/>
      <x:c r="P476" s="9"/>
      <x:c r="Q476" s="1" t="str">
        <x:f>IF(B476="","",IF(COUNTIFS($B$7:$B$1006,B476,$C$7:$C$1006,C476)&gt;1,"ID duplicado",IF(OR(A476="",C476="",D476="",E476="",F476="",I476="",J476="",K476="",O476=""),"Completar datos",IF(NOT(ISNUMBER(M476)),"Falta costo histórico","Revisar soporte"))))</x:f>
      </x:c>
      <x:c r="R476" s="9" t="n">
        <x:f>IF(B476="",0,IF(AND(D476="pagada",NOT(ISNUMBER(M476))),1,0))</x:f>
        <x:v>0</x:v>
      </x:c>
    </x:row>
    <x:row r="477" ht="22" customHeight="1">
      <x:c r="A477" s="11"/>
      <x:c r="B477" s="9"/>
      <x:c r="C477" s="9"/>
      <x:c r="D477" s="9"/>
      <x:c r="E477" s="9"/>
      <x:c r="F477" s="9"/>
      <x:c r="G477" s="9"/>
      <x:c r="H477" s="9"/>
      <x:c r="I477" s="13"/>
      <x:c r="J477" s="15"/>
      <x:c r="K477" s="15"/>
      <x:c r="L477" s="17" t="str">
        <x:f>IF(B477="","",IF(NOT(AND(ISNUMBER(J477),ISNUMBER(K477))),"",SUM(J477:K477)))</x:f>
      </x:c>
      <x:c r="M477" s="15"/>
      <x:c r="N477" s="17" t="str">
        <x:f>IF(OR(B477="",D477&lt;&gt;"pagada",NOT(ISNUMBER(J477)),NOT(ISNUMBER(M477))),"",J477-M477)</x:f>
      </x:c>
      <x:c r="O477" s="9"/>
      <x:c r="P477" s="9"/>
      <x:c r="Q477" s="1" t="str">
        <x:f>IF(B477="","",IF(COUNTIFS($B$7:$B$1006,B477,$C$7:$C$1006,C477)&gt;1,"ID duplicado",IF(OR(A477="",C477="",D477="",E477="",F477="",I477="",J477="",K477="",O477=""),"Completar datos",IF(NOT(ISNUMBER(M477)),"Falta costo histórico","Revisar soporte"))))</x:f>
      </x:c>
      <x:c r="R477" s="9" t="n">
        <x:f>IF(B477="",0,IF(AND(D477="pagada",NOT(ISNUMBER(M477))),1,0))</x:f>
        <x:v>0</x:v>
      </x:c>
    </x:row>
    <x:row r="478" ht="22" customHeight="1">
      <x:c r="A478" s="11"/>
      <x:c r="B478" s="9"/>
      <x:c r="C478" s="9"/>
      <x:c r="D478" s="9"/>
      <x:c r="E478" s="9"/>
      <x:c r="F478" s="9"/>
      <x:c r="G478" s="9"/>
      <x:c r="H478" s="9"/>
      <x:c r="I478" s="13"/>
      <x:c r="J478" s="15"/>
      <x:c r="K478" s="15"/>
      <x:c r="L478" s="17" t="str">
        <x:f>IF(B478="","",IF(NOT(AND(ISNUMBER(J478),ISNUMBER(K478))),"",SUM(J478:K478)))</x:f>
      </x:c>
      <x:c r="M478" s="15"/>
      <x:c r="N478" s="17" t="str">
        <x:f>IF(OR(B478="",D478&lt;&gt;"pagada",NOT(ISNUMBER(J478)),NOT(ISNUMBER(M478))),"",J478-M478)</x:f>
      </x:c>
      <x:c r="O478" s="9"/>
      <x:c r="P478" s="9"/>
      <x:c r="Q478" s="1" t="str">
        <x:f>IF(B478="","",IF(COUNTIFS($B$7:$B$1006,B478,$C$7:$C$1006,C478)&gt;1,"ID duplicado",IF(OR(A478="",C478="",D478="",E478="",F478="",I478="",J478="",K478="",O478=""),"Completar datos",IF(NOT(ISNUMBER(M478)),"Falta costo histórico","Revisar soporte"))))</x:f>
      </x:c>
      <x:c r="R478" s="9" t="n">
        <x:f>IF(B478="",0,IF(AND(D478="pagada",NOT(ISNUMBER(M478))),1,0))</x:f>
        <x:v>0</x:v>
      </x:c>
    </x:row>
    <x:row r="479" ht="22" customHeight="1">
      <x:c r="A479" s="11"/>
      <x:c r="B479" s="9"/>
      <x:c r="C479" s="9"/>
      <x:c r="D479" s="9"/>
      <x:c r="E479" s="9"/>
      <x:c r="F479" s="9"/>
      <x:c r="G479" s="9"/>
      <x:c r="H479" s="9"/>
      <x:c r="I479" s="13"/>
      <x:c r="J479" s="15"/>
      <x:c r="K479" s="15"/>
      <x:c r="L479" s="17" t="str">
        <x:f>IF(B479="","",IF(NOT(AND(ISNUMBER(J479),ISNUMBER(K479))),"",SUM(J479:K479)))</x:f>
      </x:c>
      <x:c r="M479" s="15"/>
      <x:c r="N479" s="17" t="str">
        <x:f>IF(OR(B479="",D479&lt;&gt;"pagada",NOT(ISNUMBER(J479)),NOT(ISNUMBER(M479))),"",J479-M479)</x:f>
      </x:c>
      <x:c r="O479" s="9"/>
      <x:c r="P479" s="9"/>
      <x:c r="Q479" s="1" t="str">
        <x:f>IF(B479="","",IF(COUNTIFS($B$7:$B$1006,B479,$C$7:$C$1006,C479)&gt;1,"ID duplicado",IF(OR(A479="",C479="",D479="",E479="",F479="",I479="",J479="",K479="",O479=""),"Completar datos",IF(NOT(ISNUMBER(M479)),"Falta costo histórico","Revisar soporte"))))</x:f>
      </x:c>
      <x:c r="R479" s="9" t="n">
        <x:f>IF(B479="",0,IF(AND(D479="pagada",NOT(ISNUMBER(M479))),1,0))</x:f>
        <x:v>0</x:v>
      </x:c>
    </x:row>
    <x:row r="480" ht="22" customHeight="1">
      <x:c r="A480" s="11"/>
      <x:c r="B480" s="9"/>
      <x:c r="C480" s="9"/>
      <x:c r="D480" s="9"/>
      <x:c r="E480" s="9"/>
      <x:c r="F480" s="9"/>
      <x:c r="G480" s="9"/>
      <x:c r="H480" s="9"/>
      <x:c r="I480" s="13"/>
      <x:c r="J480" s="15"/>
      <x:c r="K480" s="15"/>
      <x:c r="L480" s="17" t="str">
        <x:f>IF(B480="","",IF(NOT(AND(ISNUMBER(J480),ISNUMBER(K480))),"",SUM(J480:K480)))</x:f>
      </x:c>
      <x:c r="M480" s="15"/>
      <x:c r="N480" s="17" t="str">
        <x:f>IF(OR(B480="",D480&lt;&gt;"pagada",NOT(ISNUMBER(J480)),NOT(ISNUMBER(M480))),"",J480-M480)</x:f>
      </x:c>
      <x:c r="O480" s="9"/>
      <x:c r="P480" s="9"/>
      <x:c r="Q480" s="1" t="str">
        <x:f>IF(B480="","",IF(COUNTIFS($B$7:$B$1006,B480,$C$7:$C$1006,C480)&gt;1,"ID duplicado",IF(OR(A480="",C480="",D480="",E480="",F480="",I480="",J480="",K480="",O480=""),"Completar datos",IF(NOT(ISNUMBER(M480)),"Falta costo histórico","Revisar soporte"))))</x:f>
      </x:c>
      <x:c r="R480" s="9" t="n">
        <x:f>IF(B480="",0,IF(AND(D480="pagada",NOT(ISNUMBER(M480))),1,0))</x:f>
        <x:v>0</x:v>
      </x:c>
    </x:row>
    <x:row r="481" ht="22" customHeight="1">
      <x:c r="A481" s="11"/>
      <x:c r="B481" s="9"/>
      <x:c r="C481" s="9"/>
      <x:c r="D481" s="9"/>
      <x:c r="E481" s="9"/>
      <x:c r="F481" s="9"/>
      <x:c r="G481" s="9"/>
      <x:c r="H481" s="9"/>
      <x:c r="I481" s="13"/>
      <x:c r="J481" s="15"/>
      <x:c r="K481" s="15"/>
      <x:c r="L481" s="17" t="str">
        <x:f>IF(B481="","",IF(NOT(AND(ISNUMBER(J481),ISNUMBER(K481))),"",SUM(J481:K481)))</x:f>
      </x:c>
      <x:c r="M481" s="15"/>
      <x:c r="N481" s="17" t="str">
        <x:f>IF(OR(B481="",D481&lt;&gt;"pagada",NOT(ISNUMBER(J481)),NOT(ISNUMBER(M481))),"",J481-M481)</x:f>
      </x:c>
      <x:c r="O481" s="9"/>
      <x:c r="P481" s="9"/>
      <x:c r="Q481" s="1" t="str">
        <x:f>IF(B481="","",IF(COUNTIFS($B$7:$B$1006,B481,$C$7:$C$1006,C481)&gt;1,"ID duplicado",IF(OR(A481="",C481="",D481="",E481="",F481="",I481="",J481="",K481="",O481=""),"Completar datos",IF(NOT(ISNUMBER(M481)),"Falta costo histórico","Revisar soporte"))))</x:f>
      </x:c>
      <x:c r="R481" s="9" t="n">
        <x:f>IF(B481="",0,IF(AND(D481="pagada",NOT(ISNUMBER(M481))),1,0))</x:f>
        <x:v>0</x:v>
      </x:c>
    </x:row>
    <x:row r="482" ht="22" customHeight="1">
      <x:c r="A482" s="11"/>
      <x:c r="B482" s="9"/>
      <x:c r="C482" s="9"/>
      <x:c r="D482" s="9"/>
      <x:c r="E482" s="9"/>
      <x:c r="F482" s="9"/>
      <x:c r="G482" s="9"/>
      <x:c r="H482" s="9"/>
      <x:c r="I482" s="13"/>
      <x:c r="J482" s="15"/>
      <x:c r="K482" s="15"/>
      <x:c r="L482" s="17" t="str">
        <x:f>IF(B482="","",IF(NOT(AND(ISNUMBER(J482),ISNUMBER(K482))),"",SUM(J482:K482)))</x:f>
      </x:c>
      <x:c r="M482" s="15"/>
      <x:c r="N482" s="17" t="str">
        <x:f>IF(OR(B482="",D482&lt;&gt;"pagada",NOT(ISNUMBER(J482)),NOT(ISNUMBER(M482))),"",J482-M482)</x:f>
      </x:c>
      <x:c r="O482" s="9"/>
      <x:c r="P482" s="9"/>
      <x:c r="Q482" s="1" t="str">
        <x:f>IF(B482="","",IF(COUNTIFS($B$7:$B$1006,B482,$C$7:$C$1006,C482)&gt;1,"ID duplicado",IF(OR(A482="",C482="",D482="",E482="",F482="",I482="",J482="",K482="",O482=""),"Completar datos",IF(NOT(ISNUMBER(M482)),"Falta costo histórico","Revisar soporte"))))</x:f>
      </x:c>
      <x:c r="R482" s="9" t="n">
        <x:f>IF(B482="",0,IF(AND(D482="pagada",NOT(ISNUMBER(M482))),1,0))</x:f>
        <x:v>0</x:v>
      </x:c>
    </x:row>
    <x:row r="483" ht="22" customHeight="1">
      <x:c r="A483" s="11"/>
      <x:c r="B483" s="9"/>
      <x:c r="C483" s="9"/>
      <x:c r="D483" s="9"/>
      <x:c r="E483" s="9"/>
      <x:c r="F483" s="9"/>
      <x:c r="G483" s="9"/>
      <x:c r="H483" s="9"/>
      <x:c r="I483" s="13"/>
      <x:c r="J483" s="15"/>
      <x:c r="K483" s="15"/>
      <x:c r="L483" s="17" t="str">
        <x:f>IF(B483="","",IF(NOT(AND(ISNUMBER(J483),ISNUMBER(K483))),"",SUM(J483:K483)))</x:f>
      </x:c>
      <x:c r="M483" s="15"/>
      <x:c r="N483" s="17" t="str">
        <x:f>IF(OR(B483="",D483&lt;&gt;"pagada",NOT(ISNUMBER(J483)),NOT(ISNUMBER(M483))),"",J483-M483)</x:f>
      </x:c>
      <x:c r="O483" s="9"/>
      <x:c r="P483" s="9"/>
      <x:c r="Q483" s="1" t="str">
        <x:f>IF(B483="","",IF(COUNTIFS($B$7:$B$1006,B483,$C$7:$C$1006,C483)&gt;1,"ID duplicado",IF(OR(A483="",C483="",D483="",E483="",F483="",I483="",J483="",K483="",O483=""),"Completar datos",IF(NOT(ISNUMBER(M483)),"Falta costo histórico","Revisar soporte"))))</x:f>
      </x:c>
      <x:c r="R483" s="9" t="n">
        <x:f>IF(B483="",0,IF(AND(D483="pagada",NOT(ISNUMBER(M483))),1,0))</x:f>
        <x:v>0</x:v>
      </x:c>
    </x:row>
    <x:row r="484" ht="22" customHeight="1">
      <x:c r="A484" s="11"/>
      <x:c r="B484" s="9"/>
      <x:c r="C484" s="9"/>
      <x:c r="D484" s="9"/>
      <x:c r="E484" s="9"/>
      <x:c r="F484" s="9"/>
      <x:c r="G484" s="9"/>
      <x:c r="H484" s="9"/>
      <x:c r="I484" s="13"/>
      <x:c r="J484" s="15"/>
      <x:c r="K484" s="15"/>
      <x:c r="L484" s="17" t="str">
        <x:f>IF(B484="","",IF(NOT(AND(ISNUMBER(J484),ISNUMBER(K484))),"",SUM(J484:K484)))</x:f>
      </x:c>
      <x:c r="M484" s="15"/>
      <x:c r="N484" s="17" t="str">
        <x:f>IF(OR(B484="",D484&lt;&gt;"pagada",NOT(ISNUMBER(J484)),NOT(ISNUMBER(M484))),"",J484-M484)</x:f>
      </x:c>
      <x:c r="O484" s="9"/>
      <x:c r="P484" s="9"/>
      <x:c r="Q484" s="1" t="str">
        <x:f>IF(B484="","",IF(COUNTIFS($B$7:$B$1006,B484,$C$7:$C$1006,C484)&gt;1,"ID duplicado",IF(OR(A484="",C484="",D484="",E484="",F484="",I484="",J484="",K484="",O484=""),"Completar datos",IF(NOT(ISNUMBER(M484)),"Falta costo histórico","Revisar soporte"))))</x:f>
      </x:c>
      <x:c r="R484" s="9" t="n">
        <x:f>IF(B484="",0,IF(AND(D484="pagada",NOT(ISNUMBER(M484))),1,0))</x:f>
        <x:v>0</x:v>
      </x:c>
    </x:row>
    <x:row r="485" ht="22" customHeight="1">
      <x:c r="A485" s="11"/>
      <x:c r="B485" s="9"/>
      <x:c r="C485" s="9"/>
      <x:c r="D485" s="9"/>
      <x:c r="E485" s="9"/>
      <x:c r="F485" s="9"/>
      <x:c r="G485" s="9"/>
      <x:c r="H485" s="9"/>
      <x:c r="I485" s="13"/>
      <x:c r="J485" s="15"/>
      <x:c r="K485" s="15"/>
      <x:c r="L485" s="17" t="str">
        <x:f>IF(B485="","",IF(NOT(AND(ISNUMBER(J485),ISNUMBER(K485))),"",SUM(J485:K485)))</x:f>
      </x:c>
      <x:c r="M485" s="15"/>
      <x:c r="N485" s="17" t="str">
        <x:f>IF(OR(B485="",D485&lt;&gt;"pagada",NOT(ISNUMBER(J485)),NOT(ISNUMBER(M485))),"",J485-M485)</x:f>
      </x:c>
      <x:c r="O485" s="9"/>
      <x:c r="P485" s="9"/>
      <x:c r="Q485" s="1" t="str">
        <x:f>IF(B485="","",IF(COUNTIFS($B$7:$B$1006,B485,$C$7:$C$1006,C485)&gt;1,"ID duplicado",IF(OR(A485="",C485="",D485="",E485="",F485="",I485="",J485="",K485="",O485=""),"Completar datos",IF(NOT(ISNUMBER(M485)),"Falta costo histórico","Revisar soporte"))))</x:f>
      </x:c>
      <x:c r="R485" s="9" t="n">
        <x:f>IF(B485="",0,IF(AND(D485="pagada",NOT(ISNUMBER(M485))),1,0))</x:f>
        <x:v>0</x:v>
      </x:c>
    </x:row>
    <x:row r="486" ht="22" customHeight="1">
      <x:c r="A486" s="11"/>
      <x:c r="B486" s="9"/>
      <x:c r="C486" s="9"/>
      <x:c r="D486" s="9"/>
      <x:c r="E486" s="9"/>
      <x:c r="F486" s="9"/>
      <x:c r="G486" s="9"/>
      <x:c r="H486" s="9"/>
      <x:c r="I486" s="13"/>
      <x:c r="J486" s="15"/>
      <x:c r="K486" s="15"/>
      <x:c r="L486" s="17" t="str">
        <x:f>IF(B486="","",IF(NOT(AND(ISNUMBER(J486),ISNUMBER(K486))),"",SUM(J486:K486)))</x:f>
      </x:c>
      <x:c r="M486" s="15"/>
      <x:c r="N486" s="17" t="str">
        <x:f>IF(OR(B486="",D486&lt;&gt;"pagada",NOT(ISNUMBER(J486)),NOT(ISNUMBER(M486))),"",J486-M486)</x:f>
      </x:c>
      <x:c r="O486" s="9"/>
      <x:c r="P486" s="9"/>
      <x:c r="Q486" s="1" t="str">
        <x:f>IF(B486="","",IF(COUNTIFS($B$7:$B$1006,B486,$C$7:$C$1006,C486)&gt;1,"ID duplicado",IF(OR(A486="",C486="",D486="",E486="",F486="",I486="",J486="",K486="",O486=""),"Completar datos",IF(NOT(ISNUMBER(M486)),"Falta costo histórico","Revisar soporte"))))</x:f>
      </x:c>
      <x:c r="R486" s="9" t="n">
        <x:f>IF(B486="",0,IF(AND(D486="pagada",NOT(ISNUMBER(M486))),1,0))</x:f>
        <x:v>0</x:v>
      </x:c>
    </x:row>
    <x:row r="487" ht="22" customHeight="1">
      <x:c r="A487" s="11"/>
      <x:c r="B487" s="9"/>
      <x:c r="C487" s="9"/>
      <x:c r="D487" s="9"/>
      <x:c r="E487" s="9"/>
      <x:c r="F487" s="9"/>
      <x:c r="G487" s="9"/>
      <x:c r="H487" s="9"/>
      <x:c r="I487" s="13"/>
      <x:c r="J487" s="15"/>
      <x:c r="K487" s="15"/>
      <x:c r="L487" s="17" t="str">
        <x:f>IF(B487="","",IF(NOT(AND(ISNUMBER(J487),ISNUMBER(K487))),"",SUM(J487:K487)))</x:f>
      </x:c>
      <x:c r="M487" s="15"/>
      <x:c r="N487" s="17" t="str">
        <x:f>IF(OR(B487="",D487&lt;&gt;"pagada",NOT(ISNUMBER(J487)),NOT(ISNUMBER(M487))),"",J487-M487)</x:f>
      </x:c>
      <x:c r="O487" s="9"/>
      <x:c r="P487" s="9"/>
      <x:c r="Q487" s="1" t="str">
        <x:f>IF(B487="","",IF(COUNTIFS($B$7:$B$1006,B487,$C$7:$C$1006,C487)&gt;1,"ID duplicado",IF(OR(A487="",C487="",D487="",E487="",F487="",I487="",J487="",K487="",O487=""),"Completar datos",IF(NOT(ISNUMBER(M487)),"Falta costo histórico","Revisar soporte"))))</x:f>
      </x:c>
      <x:c r="R487" s="9" t="n">
        <x:f>IF(B487="",0,IF(AND(D487="pagada",NOT(ISNUMBER(M487))),1,0))</x:f>
        <x:v>0</x:v>
      </x:c>
    </x:row>
    <x:row r="488" ht="22" customHeight="1">
      <x:c r="A488" s="11"/>
      <x:c r="B488" s="9"/>
      <x:c r="C488" s="9"/>
      <x:c r="D488" s="9"/>
      <x:c r="E488" s="9"/>
      <x:c r="F488" s="9"/>
      <x:c r="G488" s="9"/>
      <x:c r="H488" s="9"/>
      <x:c r="I488" s="13"/>
      <x:c r="J488" s="15"/>
      <x:c r="K488" s="15"/>
      <x:c r="L488" s="17" t="str">
        <x:f>IF(B488="","",IF(NOT(AND(ISNUMBER(J488),ISNUMBER(K488))),"",SUM(J488:K488)))</x:f>
      </x:c>
      <x:c r="M488" s="15"/>
      <x:c r="N488" s="17" t="str">
        <x:f>IF(OR(B488="",D488&lt;&gt;"pagada",NOT(ISNUMBER(J488)),NOT(ISNUMBER(M488))),"",J488-M488)</x:f>
      </x:c>
      <x:c r="O488" s="9"/>
      <x:c r="P488" s="9"/>
      <x:c r="Q488" s="1" t="str">
        <x:f>IF(B488="","",IF(COUNTIFS($B$7:$B$1006,B488,$C$7:$C$1006,C488)&gt;1,"ID duplicado",IF(OR(A488="",C488="",D488="",E488="",F488="",I488="",J488="",K488="",O488=""),"Completar datos",IF(NOT(ISNUMBER(M488)),"Falta costo histórico","Revisar soporte"))))</x:f>
      </x:c>
      <x:c r="R488" s="9" t="n">
        <x:f>IF(B488="",0,IF(AND(D488="pagada",NOT(ISNUMBER(M488))),1,0))</x:f>
        <x:v>0</x:v>
      </x:c>
    </x:row>
    <x:row r="489" ht="22" customHeight="1">
      <x:c r="A489" s="11"/>
      <x:c r="B489" s="9"/>
      <x:c r="C489" s="9"/>
      <x:c r="D489" s="9"/>
      <x:c r="E489" s="9"/>
      <x:c r="F489" s="9"/>
      <x:c r="G489" s="9"/>
      <x:c r="H489" s="9"/>
      <x:c r="I489" s="13"/>
      <x:c r="J489" s="15"/>
      <x:c r="K489" s="15"/>
      <x:c r="L489" s="17" t="str">
        <x:f>IF(B489="","",IF(NOT(AND(ISNUMBER(J489),ISNUMBER(K489))),"",SUM(J489:K489)))</x:f>
      </x:c>
      <x:c r="M489" s="15"/>
      <x:c r="N489" s="17" t="str">
        <x:f>IF(OR(B489="",D489&lt;&gt;"pagada",NOT(ISNUMBER(J489)),NOT(ISNUMBER(M489))),"",J489-M489)</x:f>
      </x:c>
      <x:c r="O489" s="9"/>
      <x:c r="P489" s="9"/>
      <x:c r="Q489" s="1" t="str">
        <x:f>IF(B489="","",IF(COUNTIFS($B$7:$B$1006,B489,$C$7:$C$1006,C489)&gt;1,"ID duplicado",IF(OR(A489="",C489="",D489="",E489="",F489="",I489="",J489="",K489="",O489=""),"Completar datos",IF(NOT(ISNUMBER(M489)),"Falta costo histórico","Revisar soporte"))))</x:f>
      </x:c>
      <x:c r="R489" s="9" t="n">
        <x:f>IF(B489="",0,IF(AND(D489="pagada",NOT(ISNUMBER(M489))),1,0))</x:f>
        <x:v>0</x:v>
      </x:c>
    </x:row>
    <x:row r="490" ht="22" customHeight="1">
      <x:c r="A490" s="11"/>
      <x:c r="B490" s="9"/>
      <x:c r="C490" s="9"/>
      <x:c r="D490" s="9"/>
      <x:c r="E490" s="9"/>
      <x:c r="F490" s="9"/>
      <x:c r="G490" s="9"/>
      <x:c r="H490" s="9"/>
      <x:c r="I490" s="13"/>
      <x:c r="J490" s="15"/>
      <x:c r="K490" s="15"/>
      <x:c r="L490" s="17" t="str">
        <x:f>IF(B490="","",IF(NOT(AND(ISNUMBER(J490),ISNUMBER(K490))),"",SUM(J490:K490)))</x:f>
      </x:c>
      <x:c r="M490" s="15"/>
      <x:c r="N490" s="17" t="str">
        <x:f>IF(OR(B490="",D490&lt;&gt;"pagada",NOT(ISNUMBER(J490)),NOT(ISNUMBER(M490))),"",J490-M490)</x:f>
      </x:c>
      <x:c r="O490" s="9"/>
      <x:c r="P490" s="9"/>
      <x:c r="Q490" s="1" t="str">
        <x:f>IF(B490="","",IF(COUNTIFS($B$7:$B$1006,B490,$C$7:$C$1006,C490)&gt;1,"ID duplicado",IF(OR(A490="",C490="",D490="",E490="",F490="",I490="",J490="",K490="",O490=""),"Completar datos",IF(NOT(ISNUMBER(M490)),"Falta costo histórico","Revisar soporte"))))</x:f>
      </x:c>
      <x:c r="R490" s="9" t="n">
        <x:f>IF(B490="",0,IF(AND(D490="pagada",NOT(ISNUMBER(M490))),1,0))</x:f>
        <x:v>0</x:v>
      </x:c>
    </x:row>
    <x:row r="491" ht="22" customHeight="1">
      <x:c r="A491" s="11"/>
      <x:c r="B491" s="9"/>
      <x:c r="C491" s="9"/>
      <x:c r="D491" s="9"/>
      <x:c r="E491" s="9"/>
      <x:c r="F491" s="9"/>
      <x:c r="G491" s="9"/>
      <x:c r="H491" s="9"/>
      <x:c r="I491" s="13"/>
      <x:c r="J491" s="15"/>
      <x:c r="K491" s="15"/>
      <x:c r="L491" s="17" t="str">
        <x:f>IF(B491="","",IF(NOT(AND(ISNUMBER(J491),ISNUMBER(K491))),"",SUM(J491:K491)))</x:f>
      </x:c>
      <x:c r="M491" s="15"/>
      <x:c r="N491" s="17" t="str">
        <x:f>IF(OR(B491="",D491&lt;&gt;"pagada",NOT(ISNUMBER(J491)),NOT(ISNUMBER(M491))),"",J491-M491)</x:f>
      </x:c>
      <x:c r="O491" s="9"/>
      <x:c r="P491" s="9"/>
      <x:c r="Q491" s="1" t="str">
        <x:f>IF(B491="","",IF(COUNTIFS($B$7:$B$1006,B491,$C$7:$C$1006,C491)&gt;1,"ID duplicado",IF(OR(A491="",C491="",D491="",E491="",F491="",I491="",J491="",K491="",O491=""),"Completar datos",IF(NOT(ISNUMBER(M491)),"Falta costo histórico","Revisar soporte"))))</x:f>
      </x:c>
      <x:c r="R491" s="9" t="n">
        <x:f>IF(B491="",0,IF(AND(D491="pagada",NOT(ISNUMBER(M491))),1,0))</x:f>
        <x:v>0</x:v>
      </x:c>
    </x:row>
    <x:row r="492" ht="22" customHeight="1">
      <x:c r="A492" s="11"/>
      <x:c r="B492" s="9"/>
      <x:c r="C492" s="9"/>
      <x:c r="D492" s="9"/>
      <x:c r="E492" s="9"/>
      <x:c r="F492" s="9"/>
      <x:c r="G492" s="9"/>
      <x:c r="H492" s="9"/>
      <x:c r="I492" s="13"/>
      <x:c r="J492" s="15"/>
      <x:c r="K492" s="15"/>
      <x:c r="L492" s="17" t="str">
        <x:f>IF(B492="","",IF(NOT(AND(ISNUMBER(J492),ISNUMBER(K492))),"",SUM(J492:K492)))</x:f>
      </x:c>
      <x:c r="M492" s="15"/>
      <x:c r="N492" s="17" t="str">
        <x:f>IF(OR(B492="",D492&lt;&gt;"pagada",NOT(ISNUMBER(J492)),NOT(ISNUMBER(M492))),"",J492-M492)</x:f>
      </x:c>
      <x:c r="O492" s="9"/>
      <x:c r="P492" s="9"/>
      <x:c r="Q492" s="1" t="str">
        <x:f>IF(B492="","",IF(COUNTIFS($B$7:$B$1006,B492,$C$7:$C$1006,C492)&gt;1,"ID duplicado",IF(OR(A492="",C492="",D492="",E492="",F492="",I492="",J492="",K492="",O492=""),"Completar datos",IF(NOT(ISNUMBER(M492)),"Falta costo histórico","Revisar soporte"))))</x:f>
      </x:c>
      <x:c r="R492" s="9" t="n">
        <x:f>IF(B492="",0,IF(AND(D492="pagada",NOT(ISNUMBER(M492))),1,0))</x:f>
        <x:v>0</x:v>
      </x:c>
    </x:row>
    <x:row r="493" ht="22" customHeight="1">
      <x:c r="A493" s="11"/>
      <x:c r="B493" s="9"/>
      <x:c r="C493" s="9"/>
      <x:c r="D493" s="9"/>
      <x:c r="E493" s="9"/>
      <x:c r="F493" s="9"/>
      <x:c r="G493" s="9"/>
      <x:c r="H493" s="9"/>
      <x:c r="I493" s="13"/>
      <x:c r="J493" s="15"/>
      <x:c r="K493" s="15"/>
      <x:c r="L493" s="17" t="str">
        <x:f>IF(B493="","",IF(NOT(AND(ISNUMBER(J493),ISNUMBER(K493))),"",SUM(J493:K493)))</x:f>
      </x:c>
      <x:c r="M493" s="15"/>
      <x:c r="N493" s="17" t="str">
        <x:f>IF(OR(B493="",D493&lt;&gt;"pagada",NOT(ISNUMBER(J493)),NOT(ISNUMBER(M493))),"",J493-M493)</x:f>
      </x:c>
      <x:c r="O493" s="9"/>
      <x:c r="P493" s="9"/>
      <x:c r="Q493" s="1" t="str">
        <x:f>IF(B493="","",IF(COUNTIFS($B$7:$B$1006,B493,$C$7:$C$1006,C493)&gt;1,"ID duplicado",IF(OR(A493="",C493="",D493="",E493="",F493="",I493="",J493="",K493="",O493=""),"Completar datos",IF(NOT(ISNUMBER(M493)),"Falta costo histórico","Revisar soporte"))))</x:f>
      </x:c>
      <x:c r="R493" s="9" t="n">
        <x:f>IF(B493="",0,IF(AND(D493="pagada",NOT(ISNUMBER(M493))),1,0))</x:f>
        <x:v>0</x:v>
      </x:c>
    </x:row>
    <x:row r="494" ht="22" customHeight="1">
      <x:c r="A494" s="11"/>
      <x:c r="B494" s="9"/>
      <x:c r="C494" s="9"/>
      <x:c r="D494" s="9"/>
      <x:c r="E494" s="9"/>
      <x:c r="F494" s="9"/>
      <x:c r="G494" s="9"/>
      <x:c r="H494" s="9"/>
      <x:c r="I494" s="13"/>
      <x:c r="J494" s="15"/>
      <x:c r="K494" s="15"/>
      <x:c r="L494" s="17" t="str">
        <x:f>IF(B494="","",IF(NOT(AND(ISNUMBER(J494),ISNUMBER(K494))),"",SUM(J494:K494)))</x:f>
      </x:c>
      <x:c r="M494" s="15"/>
      <x:c r="N494" s="17" t="str">
        <x:f>IF(OR(B494="",D494&lt;&gt;"pagada",NOT(ISNUMBER(J494)),NOT(ISNUMBER(M494))),"",J494-M494)</x:f>
      </x:c>
      <x:c r="O494" s="9"/>
      <x:c r="P494" s="9"/>
      <x:c r="Q494" s="1" t="str">
        <x:f>IF(B494="","",IF(COUNTIFS($B$7:$B$1006,B494,$C$7:$C$1006,C494)&gt;1,"ID duplicado",IF(OR(A494="",C494="",D494="",E494="",F494="",I494="",J494="",K494="",O494=""),"Completar datos",IF(NOT(ISNUMBER(M494)),"Falta costo histórico","Revisar soporte"))))</x:f>
      </x:c>
      <x:c r="R494" s="9" t="n">
        <x:f>IF(B494="",0,IF(AND(D494="pagada",NOT(ISNUMBER(M494))),1,0))</x:f>
        <x:v>0</x:v>
      </x:c>
    </x:row>
    <x:row r="495" ht="22" customHeight="1">
      <x:c r="A495" s="11"/>
      <x:c r="B495" s="9"/>
      <x:c r="C495" s="9"/>
      <x:c r="D495" s="9"/>
      <x:c r="E495" s="9"/>
      <x:c r="F495" s="9"/>
      <x:c r="G495" s="9"/>
      <x:c r="H495" s="9"/>
      <x:c r="I495" s="13"/>
      <x:c r="J495" s="15"/>
      <x:c r="K495" s="15"/>
      <x:c r="L495" s="17" t="str">
        <x:f>IF(B495="","",IF(NOT(AND(ISNUMBER(J495),ISNUMBER(K495))),"",SUM(J495:K495)))</x:f>
      </x:c>
      <x:c r="M495" s="15"/>
      <x:c r="N495" s="17" t="str">
        <x:f>IF(OR(B495="",D495&lt;&gt;"pagada",NOT(ISNUMBER(J495)),NOT(ISNUMBER(M495))),"",J495-M495)</x:f>
      </x:c>
      <x:c r="O495" s="9"/>
      <x:c r="P495" s="9"/>
      <x:c r="Q495" s="1" t="str">
        <x:f>IF(B495="","",IF(COUNTIFS($B$7:$B$1006,B495,$C$7:$C$1006,C495)&gt;1,"ID duplicado",IF(OR(A495="",C495="",D495="",E495="",F495="",I495="",J495="",K495="",O495=""),"Completar datos",IF(NOT(ISNUMBER(M495)),"Falta costo histórico","Revisar soporte"))))</x:f>
      </x:c>
      <x:c r="R495" s="9" t="n">
        <x:f>IF(B495="",0,IF(AND(D495="pagada",NOT(ISNUMBER(M495))),1,0))</x:f>
        <x:v>0</x:v>
      </x:c>
    </x:row>
    <x:row r="496" ht="22" customHeight="1">
      <x:c r="A496" s="11"/>
      <x:c r="B496" s="9"/>
      <x:c r="C496" s="9"/>
      <x:c r="D496" s="9"/>
      <x:c r="E496" s="9"/>
      <x:c r="F496" s="9"/>
      <x:c r="G496" s="9"/>
      <x:c r="H496" s="9"/>
      <x:c r="I496" s="13"/>
      <x:c r="J496" s="15"/>
      <x:c r="K496" s="15"/>
      <x:c r="L496" s="17" t="str">
        <x:f>IF(B496="","",IF(NOT(AND(ISNUMBER(J496),ISNUMBER(K496))),"",SUM(J496:K496)))</x:f>
      </x:c>
      <x:c r="M496" s="15"/>
      <x:c r="N496" s="17" t="str">
        <x:f>IF(OR(B496="",D496&lt;&gt;"pagada",NOT(ISNUMBER(J496)),NOT(ISNUMBER(M496))),"",J496-M496)</x:f>
      </x:c>
      <x:c r="O496" s="9"/>
      <x:c r="P496" s="9"/>
      <x:c r="Q496" s="1" t="str">
        <x:f>IF(B496="","",IF(COUNTIFS($B$7:$B$1006,B496,$C$7:$C$1006,C496)&gt;1,"ID duplicado",IF(OR(A496="",C496="",D496="",E496="",F496="",I496="",J496="",K496="",O496=""),"Completar datos",IF(NOT(ISNUMBER(M496)),"Falta costo histórico","Revisar soporte"))))</x:f>
      </x:c>
      <x:c r="R496" s="9" t="n">
        <x:f>IF(B496="",0,IF(AND(D496="pagada",NOT(ISNUMBER(M496))),1,0))</x:f>
        <x:v>0</x:v>
      </x:c>
    </x:row>
    <x:row r="497" ht="22" customHeight="1">
      <x:c r="A497" s="11"/>
      <x:c r="B497" s="9"/>
      <x:c r="C497" s="9"/>
      <x:c r="D497" s="9"/>
      <x:c r="E497" s="9"/>
      <x:c r="F497" s="9"/>
      <x:c r="G497" s="9"/>
      <x:c r="H497" s="9"/>
      <x:c r="I497" s="13"/>
      <x:c r="J497" s="15"/>
      <x:c r="K497" s="15"/>
      <x:c r="L497" s="17" t="str">
        <x:f>IF(B497="","",IF(NOT(AND(ISNUMBER(J497),ISNUMBER(K497))),"",SUM(J497:K497)))</x:f>
      </x:c>
      <x:c r="M497" s="15"/>
      <x:c r="N497" s="17" t="str">
        <x:f>IF(OR(B497="",D497&lt;&gt;"pagada",NOT(ISNUMBER(J497)),NOT(ISNUMBER(M497))),"",J497-M497)</x:f>
      </x:c>
      <x:c r="O497" s="9"/>
      <x:c r="P497" s="9"/>
      <x:c r="Q497" s="1" t="str">
        <x:f>IF(B497="","",IF(COUNTIFS($B$7:$B$1006,B497,$C$7:$C$1006,C497)&gt;1,"ID duplicado",IF(OR(A497="",C497="",D497="",E497="",F497="",I497="",J497="",K497="",O497=""),"Completar datos",IF(NOT(ISNUMBER(M497)),"Falta costo histórico","Revisar soporte"))))</x:f>
      </x:c>
      <x:c r="R497" s="9" t="n">
        <x:f>IF(B497="",0,IF(AND(D497="pagada",NOT(ISNUMBER(M497))),1,0))</x:f>
        <x:v>0</x:v>
      </x:c>
    </x:row>
    <x:row r="498" ht="22" customHeight="1">
      <x:c r="A498" s="11"/>
      <x:c r="B498" s="9"/>
      <x:c r="C498" s="9"/>
      <x:c r="D498" s="9"/>
      <x:c r="E498" s="9"/>
      <x:c r="F498" s="9"/>
      <x:c r="G498" s="9"/>
      <x:c r="H498" s="9"/>
      <x:c r="I498" s="13"/>
      <x:c r="J498" s="15"/>
      <x:c r="K498" s="15"/>
      <x:c r="L498" s="17" t="str">
        <x:f>IF(B498="","",IF(NOT(AND(ISNUMBER(J498),ISNUMBER(K498))),"",SUM(J498:K498)))</x:f>
      </x:c>
      <x:c r="M498" s="15"/>
      <x:c r="N498" s="17" t="str">
        <x:f>IF(OR(B498="",D498&lt;&gt;"pagada",NOT(ISNUMBER(J498)),NOT(ISNUMBER(M498))),"",J498-M498)</x:f>
      </x:c>
      <x:c r="O498" s="9"/>
      <x:c r="P498" s="9"/>
      <x:c r="Q498" s="1" t="str">
        <x:f>IF(B498="","",IF(COUNTIFS($B$7:$B$1006,B498,$C$7:$C$1006,C498)&gt;1,"ID duplicado",IF(OR(A498="",C498="",D498="",E498="",F498="",I498="",J498="",K498="",O498=""),"Completar datos",IF(NOT(ISNUMBER(M498)),"Falta costo histórico","Revisar soporte"))))</x:f>
      </x:c>
      <x:c r="R498" s="9" t="n">
        <x:f>IF(B498="",0,IF(AND(D498="pagada",NOT(ISNUMBER(M498))),1,0))</x:f>
        <x:v>0</x:v>
      </x:c>
    </x:row>
    <x:row r="499" ht="22" customHeight="1">
      <x:c r="A499" s="11"/>
      <x:c r="B499" s="9"/>
      <x:c r="C499" s="9"/>
      <x:c r="D499" s="9"/>
      <x:c r="E499" s="9"/>
      <x:c r="F499" s="9"/>
      <x:c r="G499" s="9"/>
      <x:c r="H499" s="9"/>
      <x:c r="I499" s="13"/>
      <x:c r="J499" s="15"/>
      <x:c r="K499" s="15"/>
      <x:c r="L499" s="17" t="str">
        <x:f>IF(B499="","",IF(NOT(AND(ISNUMBER(J499),ISNUMBER(K499))),"",SUM(J499:K499)))</x:f>
      </x:c>
      <x:c r="M499" s="15"/>
      <x:c r="N499" s="17" t="str">
        <x:f>IF(OR(B499="",D499&lt;&gt;"pagada",NOT(ISNUMBER(J499)),NOT(ISNUMBER(M499))),"",J499-M499)</x:f>
      </x:c>
      <x:c r="O499" s="9"/>
      <x:c r="P499" s="9"/>
      <x:c r="Q499" s="1" t="str">
        <x:f>IF(B499="","",IF(COUNTIFS($B$7:$B$1006,B499,$C$7:$C$1006,C499)&gt;1,"ID duplicado",IF(OR(A499="",C499="",D499="",E499="",F499="",I499="",J499="",K499="",O499=""),"Completar datos",IF(NOT(ISNUMBER(M499)),"Falta costo histórico","Revisar soporte"))))</x:f>
      </x:c>
      <x:c r="R499" s="9" t="n">
        <x:f>IF(B499="",0,IF(AND(D499="pagada",NOT(ISNUMBER(M499))),1,0))</x:f>
        <x:v>0</x:v>
      </x:c>
    </x:row>
    <x:row r="500" ht="22" customHeight="1">
      <x:c r="A500" s="11"/>
      <x:c r="B500" s="9"/>
      <x:c r="C500" s="9"/>
      <x:c r="D500" s="9"/>
      <x:c r="E500" s="9"/>
      <x:c r="F500" s="9"/>
      <x:c r="G500" s="9"/>
      <x:c r="H500" s="9"/>
      <x:c r="I500" s="13"/>
      <x:c r="J500" s="15"/>
      <x:c r="K500" s="15"/>
      <x:c r="L500" s="17" t="str">
        <x:f>IF(B500="","",IF(NOT(AND(ISNUMBER(J500),ISNUMBER(K500))),"",SUM(J500:K500)))</x:f>
      </x:c>
      <x:c r="M500" s="15"/>
      <x:c r="N500" s="17" t="str">
        <x:f>IF(OR(B500="",D500&lt;&gt;"pagada",NOT(ISNUMBER(J500)),NOT(ISNUMBER(M500))),"",J500-M500)</x:f>
      </x:c>
      <x:c r="O500" s="9"/>
      <x:c r="P500" s="9"/>
      <x:c r="Q500" s="1" t="str">
        <x:f>IF(B500="","",IF(COUNTIFS($B$7:$B$1006,B500,$C$7:$C$1006,C500)&gt;1,"ID duplicado",IF(OR(A500="",C500="",D500="",E500="",F500="",I500="",J500="",K500="",O500=""),"Completar datos",IF(NOT(ISNUMBER(M500)),"Falta costo histórico","Revisar soporte"))))</x:f>
      </x:c>
      <x:c r="R500" s="9" t="n">
        <x:f>IF(B500="",0,IF(AND(D500="pagada",NOT(ISNUMBER(M500))),1,0))</x:f>
        <x:v>0</x:v>
      </x:c>
    </x:row>
    <x:row r="501" ht="22" customHeight="1">
      <x:c r="A501" s="11"/>
      <x:c r="B501" s="9"/>
      <x:c r="C501" s="9"/>
      <x:c r="D501" s="9"/>
      <x:c r="E501" s="9"/>
      <x:c r="F501" s="9"/>
      <x:c r="G501" s="9"/>
      <x:c r="H501" s="9"/>
      <x:c r="I501" s="13"/>
      <x:c r="J501" s="15"/>
      <x:c r="K501" s="15"/>
      <x:c r="L501" s="17" t="str">
        <x:f>IF(B501="","",IF(NOT(AND(ISNUMBER(J501),ISNUMBER(K501))),"",SUM(J501:K501)))</x:f>
      </x:c>
      <x:c r="M501" s="15"/>
      <x:c r="N501" s="17" t="str">
        <x:f>IF(OR(B501="",D501&lt;&gt;"pagada",NOT(ISNUMBER(J501)),NOT(ISNUMBER(M501))),"",J501-M501)</x:f>
      </x:c>
      <x:c r="O501" s="9"/>
      <x:c r="P501" s="9"/>
      <x:c r="Q501" s="1" t="str">
        <x:f>IF(B501="","",IF(COUNTIFS($B$7:$B$1006,B501,$C$7:$C$1006,C501)&gt;1,"ID duplicado",IF(OR(A501="",C501="",D501="",E501="",F501="",I501="",J501="",K501="",O501=""),"Completar datos",IF(NOT(ISNUMBER(M501)),"Falta costo histórico","Revisar soporte"))))</x:f>
      </x:c>
      <x:c r="R501" s="9" t="n">
        <x:f>IF(B501="",0,IF(AND(D501="pagada",NOT(ISNUMBER(M501))),1,0))</x:f>
        <x:v>0</x:v>
      </x:c>
    </x:row>
    <x:row r="502" ht="22" customHeight="1">
      <x:c r="A502" s="11"/>
      <x:c r="B502" s="9"/>
      <x:c r="C502" s="9"/>
      <x:c r="D502" s="9"/>
      <x:c r="E502" s="9"/>
      <x:c r="F502" s="9"/>
      <x:c r="G502" s="9"/>
      <x:c r="H502" s="9"/>
      <x:c r="I502" s="13"/>
      <x:c r="J502" s="15"/>
      <x:c r="K502" s="15"/>
      <x:c r="L502" s="17" t="str">
        <x:f>IF(B502="","",IF(NOT(AND(ISNUMBER(J502),ISNUMBER(K502))),"",SUM(J502:K502)))</x:f>
      </x:c>
      <x:c r="M502" s="15"/>
      <x:c r="N502" s="17" t="str">
        <x:f>IF(OR(B502="",D502&lt;&gt;"pagada",NOT(ISNUMBER(J502)),NOT(ISNUMBER(M502))),"",J502-M502)</x:f>
      </x:c>
      <x:c r="O502" s="9"/>
      <x:c r="P502" s="9"/>
      <x:c r="Q502" s="1" t="str">
        <x:f>IF(B502="","",IF(COUNTIFS($B$7:$B$1006,B502,$C$7:$C$1006,C502)&gt;1,"ID duplicado",IF(OR(A502="",C502="",D502="",E502="",F502="",I502="",J502="",K502="",O502=""),"Completar datos",IF(NOT(ISNUMBER(M502)),"Falta costo histórico","Revisar soporte"))))</x:f>
      </x:c>
      <x:c r="R502" s="9" t="n">
        <x:f>IF(B502="",0,IF(AND(D502="pagada",NOT(ISNUMBER(M502))),1,0))</x:f>
        <x:v>0</x:v>
      </x:c>
    </x:row>
    <x:row r="503" ht="22" customHeight="1">
      <x:c r="A503" s="11"/>
      <x:c r="B503" s="9"/>
      <x:c r="C503" s="9"/>
      <x:c r="D503" s="9"/>
      <x:c r="E503" s="9"/>
      <x:c r="F503" s="9"/>
      <x:c r="G503" s="9"/>
      <x:c r="H503" s="9"/>
      <x:c r="I503" s="13"/>
      <x:c r="J503" s="15"/>
      <x:c r="K503" s="15"/>
      <x:c r="L503" s="17" t="str">
        <x:f>IF(B503="","",IF(NOT(AND(ISNUMBER(J503),ISNUMBER(K503))),"",SUM(J503:K503)))</x:f>
      </x:c>
      <x:c r="M503" s="15"/>
      <x:c r="N503" s="17" t="str">
        <x:f>IF(OR(B503="",D503&lt;&gt;"pagada",NOT(ISNUMBER(J503)),NOT(ISNUMBER(M503))),"",J503-M503)</x:f>
      </x:c>
      <x:c r="O503" s="9"/>
      <x:c r="P503" s="9"/>
      <x:c r="Q503" s="1" t="str">
        <x:f>IF(B503="","",IF(COUNTIFS($B$7:$B$1006,B503,$C$7:$C$1006,C503)&gt;1,"ID duplicado",IF(OR(A503="",C503="",D503="",E503="",F503="",I503="",J503="",K503="",O503=""),"Completar datos",IF(NOT(ISNUMBER(M503)),"Falta costo histórico","Revisar soporte"))))</x:f>
      </x:c>
      <x:c r="R503" s="9" t="n">
        <x:f>IF(B503="",0,IF(AND(D503="pagada",NOT(ISNUMBER(M503))),1,0))</x:f>
        <x:v>0</x:v>
      </x:c>
    </x:row>
    <x:row r="504" ht="22" customHeight="1">
      <x:c r="A504" s="11"/>
      <x:c r="B504" s="9"/>
      <x:c r="C504" s="9"/>
      <x:c r="D504" s="9"/>
      <x:c r="E504" s="9"/>
      <x:c r="F504" s="9"/>
      <x:c r="G504" s="9"/>
      <x:c r="H504" s="9"/>
      <x:c r="I504" s="13"/>
      <x:c r="J504" s="15"/>
      <x:c r="K504" s="15"/>
      <x:c r="L504" s="17" t="str">
        <x:f>IF(B504="","",IF(NOT(AND(ISNUMBER(J504),ISNUMBER(K504))),"",SUM(J504:K504)))</x:f>
      </x:c>
      <x:c r="M504" s="15"/>
      <x:c r="N504" s="17" t="str">
        <x:f>IF(OR(B504="",D504&lt;&gt;"pagada",NOT(ISNUMBER(J504)),NOT(ISNUMBER(M504))),"",J504-M504)</x:f>
      </x:c>
      <x:c r="O504" s="9"/>
      <x:c r="P504" s="9"/>
      <x:c r="Q504" s="1" t="str">
        <x:f>IF(B504="","",IF(COUNTIFS($B$7:$B$1006,B504,$C$7:$C$1006,C504)&gt;1,"ID duplicado",IF(OR(A504="",C504="",D504="",E504="",F504="",I504="",J504="",K504="",O504=""),"Completar datos",IF(NOT(ISNUMBER(M504)),"Falta costo histórico","Revisar soporte"))))</x:f>
      </x:c>
      <x:c r="R504" s="9" t="n">
        <x:f>IF(B504="",0,IF(AND(D504="pagada",NOT(ISNUMBER(M504))),1,0))</x:f>
        <x:v>0</x:v>
      </x:c>
    </x:row>
    <x:row r="505" ht="22" customHeight="1">
      <x:c r="A505" s="11"/>
      <x:c r="B505" s="9"/>
      <x:c r="C505" s="9"/>
      <x:c r="D505" s="9"/>
      <x:c r="E505" s="9"/>
      <x:c r="F505" s="9"/>
      <x:c r="G505" s="9"/>
      <x:c r="H505" s="9"/>
      <x:c r="I505" s="13"/>
      <x:c r="J505" s="15"/>
      <x:c r="K505" s="15"/>
      <x:c r="L505" s="17" t="str">
        <x:f>IF(B505="","",IF(NOT(AND(ISNUMBER(J505),ISNUMBER(K505))),"",SUM(J505:K505)))</x:f>
      </x:c>
      <x:c r="M505" s="15"/>
      <x:c r="N505" s="17" t="str">
        <x:f>IF(OR(B505="",D505&lt;&gt;"pagada",NOT(ISNUMBER(J505)),NOT(ISNUMBER(M505))),"",J505-M505)</x:f>
      </x:c>
      <x:c r="O505" s="9"/>
      <x:c r="P505" s="9"/>
      <x:c r="Q505" s="1" t="str">
        <x:f>IF(B505="","",IF(COUNTIFS($B$7:$B$1006,B505,$C$7:$C$1006,C505)&gt;1,"ID duplicado",IF(OR(A505="",C505="",D505="",E505="",F505="",I505="",J505="",K505="",O505=""),"Completar datos",IF(NOT(ISNUMBER(M505)),"Falta costo histórico","Revisar soporte"))))</x:f>
      </x:c>
      <x:c r="R505" s="9" t="n">
        <x:f>IF(B505="",0,IF(AND(D505="pagada",NOT(ISNUMBER(M505))),1,0))</x:f>
        <x:v>0</x:v>
      </x:c>
    </x:row>
    <x:row r="506" ht="22" customHeight="1">
      <x:c r="A506" s="11"/>
      <x:c r="B506" s="9"/>
      <x:c r="C506" s="9"/>
      <x:c r="D506" s="9"/>
      <x:c r="E506" s="9"/>
      <x:c r="F506" s="9"/>
      <x:c r="G506" s="9"/>
      <x:c r="H506" s="9"/>
      <x:c r="I506" s="13"/>
      <x:c r="J506" s="15"/>
      <x:c r="K506" s="15"/>
      <x:c r="L506" s="17" t="str">
        <x:f>IF(B506="","",IF(NOT(AND(ISNUMBER(J506),ISNUMBER(K506))),"",SUM(J506:K506)))</x:f>
      </x:c>
      <x:c r="M506" s="15"/>
      <x:c r="N506" s="17" t="str">
        <x:f>IF(OR(B506="",D506&lt;&gt;"pagada",NOT(ISNUMBER(J506)),NOT(ISNUMBER(M506))),"",J506-M506)</x:f>
      </x:c>
      <x:c r="O506" s="9"/>
      <x:c r="P506" s="9"/>
      <x:c r="Q506" s="1" t="str">
        <x:f>IF(B506="","",IF(COUNTIFS($B$7:$B$1006,B506,$C$7:$C$1006,C506)&gt;1,"ID duplicado",IF(OR(A506="",C506="",D506="",E506="",F506="",I506="",J506="",K506="",O506=""),"Completar datos",IF(NOT(ISNUMBER(M506)),"Falta costo histórico","Revisar soporte"))))</x:f>
      </x:c>
      <x:c r="R506" s="9" t="n">
        <x:f>IF(B506="",0,IF(AND(D506="pagada",NOT(ISNUMBER(M506))),1,0))</x:f>
        <x:v>0</x:v>
      </x:c>
    </x:row>
    <x:row r="507" ht="22" customHeight="1">
      <x:c r="A507" s="11"/>
      <x:c r="B507" s="9"/>
      <x:c r="C507" s="9"/>
      <x:c r="D507" s="9"/>
      <x:c r="E507" s="9"/>
      <x:c r="F507" s="9"/>
      <x:c r="G507" s="9"/>
      <x:c r="H507" s="9"/>
      <x:c r="I507" s="13"/>
      <x:c r="J507" s="15"/>
      <x:c r="K507" s="15"/>
      <x:c r="L507" s="17" t="str">
        <x:f>IF(B507="","",IF(NOT(AND(ISNUMBER(J507),ISNUMBER(K507))),"",SUM(J507:K507)))</x:f>
      </x:c>
      <x:c r="M507" s="15"/>
      <x:c r="N507" s="17" t="str">
        <x:f>IF(OR(B507="",D507&lt;&gt;"pagada",NOT(ISNUMBER(J507)),NOT(ISNUMBER(M507))),"",J507-M507)</x:f>
      </x:c>
      <x:c r="O507" s="9"/>
      <x:c r="P507" s="9"/>
      <x:c r="Q507" s="1" t="str">
        <x:f>IF(B507="","",IF(COUNTIFS($B$7:$B$1006,B507,$C$7:$C$1006,C507)&gt;1,"ID duplicado",IF(OR(A507="",C507="",D507="",E507="",F507="",I507="",J507="",K507="",O507=""),"Completar datos",IF(NOT(ISNUMBER(M507)),"Falta costo histórico","Revisar soporte"))))</x:f>
      </x:c>
      <x:c r="R507" s="9" t="n">
        <x:f>IF(B507="",0,IF(AND(D507="pagada",NOT(ISNUMBER(M507))),1,0))</x:f>
        <x:v>0</x:v>
      </x:c>
    </x:row>
    <x:row r="508" ht="22" customHeight="1">
      <x:c r="A508" s="11"/>
      <x:c r="B508" s="9"/>
      <x:c r="C508" s="9"/>
      <x:c r="D508" s="9"/>
      <x:c r="E508" s="9"/>
      <x:c r="F508" s="9"/>
      <x:c r="G508" s="9"/>
      <x:c r="H508" s="9"/>
      <x:c r="I508" s="13"/>
      <x:c r="J508" s="15"/>
      <x:c r="K508" s="15"/>
      <x:c r="L508" s="17" t="str">
        <x:f>IF(B508="","",IF(NOT(AND(ISNUMBER(J508),ISNUMBER(K508))),"",SUM(J508:K508)))</x:f>
      </x:c>
      <x:c r="M508" s="15"/>
      <x:c r="N508" s="17" t="str">
        <x:f>IF(OR(B508="",D508&lt;&gt;"pagada",NOT(ISNUMBER(J508)),NOT(ISNUMBER(M508))),"",J508-M508)</x:f>
      </x:c>
      <x:c r="O508" s="9"/>
      <x:c r="P508" s="9"/>
      <x:c r="Q508" s="1" t="str">
        <x:f>IF(B508="","",IF(COUNTIFS($B$7:$B$1006,B508,$C$7:$C$1006,C508)&gt;1,"ID duplicado",IF(OR(A508="",C508="",D508="",E508="",F508="",I508="",J508="",K508="",O508=""),"Completar datos",IF(NOT(ISNUMBER(M508)),"Falta costo histórico","Revisar soporte"))))</x:f>
      </x:c>
      <x:c r="R508" s="9" t="n">
        <x:f>IF(B508="",0,IF(AND(D508="pagada",NOT(ISNUMBER(M508))),1,0))</x:f>
        <x:v>0</x:v>
      </x:c>
    </x:row>
    <x:row r="509" ht="22" customHeight="1">
      <x:c r="A509" s="11"/>
      <x:c r="B509" s="9"/>
      <x:c r="C509" s="9"/>
      <x:c r="D509" s="9"/>
      <x:c r="E509" s="9"/>
      <x:c r="F509" s="9"/>
      <x:c r="G509" s="9"/>
      <x:c r="H509" s="9"/>
      <x:c r="I509" s="13"/>
      <x:c r="J509" s="15"/>
      <x:c r="K509" s="15"/>
      <x:c r="L509" s="17" t="str">
        <x:f>IF(B509="","",IF(NOT(AND(ISNUMBER(J509),ISNUMBER(K509))),"",SUM(J509:K509)))</x:f>
      </x:c>
      <x:c r="M509" s="15"/>
      <x:c r="N509" s="17" t="str">
        <x:f>IF(OR(B509="",D509&lt;&gt;"pagada",NOT(ISNUMBER(J509)),NOT(ISNUMBER(M509))),"",J509-M509)</x:f>
      </x:c>
      <x:c r="O509" s="9"/>
      <x:c r="P509" s="9"/>
      <x:c r="Q509" s="1" t="str">
        <x:f>IF(B509="","",IF(COUNTIFS($B$7:$B$1006,B509,$C$7:$C$1006,C509)&gt;1,"ID duplicado",IF(OR(A509="",C509="",D509="",E509="",F509="",I509="",J509="",K509="",O509=""),"Completar datos",IF(NOT(ISNUMBER(M509)),"Falta costo histórico","Revisar soporte"))))</x:f>
      </x:c>
      <x:c r="R509" s="9" t="n">
        <x:f>IF(B509="",0,IF(AND(D509="pagada",NOT(ISNUMBER(M509))),1,0))</x:f>
        <x:v>0</x:v>
      </x:c>
    </x:row>
    <x:row r="510" ht="22" customHeight="1">
      <x:c r="A510" s="11"/>
      <x:c r="B510" s="9"/>
      <x:c r="C510" s="9"/>
      <x:c r="D510" s="9"/>
      <x:c r="E510" s="9"/>
      <x:c r="F510" s="9"/>
      <x:c r="G510" s="9"/>
      <x:c r="H510" s="9"/>
      <x:c r="I510" s="13"/>
      <x:c r="J510" s="15"/>
      <x:c r="K510" s="15"/>
      <x:c r="L510" s="17" t="str">
        <x:f>IF(B510="","",IF(NOT(AND(ISNUMBER(J510),ISNUMBER(K510))),"",SUM(J510:K510)))</x:f>
      </x:c>
      <x:c r="M510" s="15"/>
      <x:c r="N510" s="17" t="str">
        <x:f>IF(OR(B510="",D510&lt;&gt;"pagada",NOT(ISNUMBER(J510)),NOT(ISNUMBER(M510))),"",J510-M510)</x:f>
      </x:c>
      <x:c r="O510" s="9"/>
      <x:c r="P510" s="9"/>
      <x:c r="Q510" s="1" t="str">
        <x:f>IF(B510="","",IF(COUNTIFS($B$7:$B$1006,B510,$C$7:$C$1006,C510)&gt;1,"ID duplicado",IF(OR(A510="",C510="",D510="",E510="",F510="",I510="",J510="",K510="",O510=""),"Completar datos",IF(NOT(ISNUMBER(M510)),"Falta costo histórico","Revisar soporte"))))</x:f>
      </x:c>
      <x:c r="R510" s="9" t="n">
        <x:f>IF(B510="",0,IF(AND(D510="pagada",NOT(ISNUMBER(M510))),1,0))</x:f>
        <x:v>0</x:v>
      </x:c>
    </x:row>
    <x:row r="511" ht="22" customHeight="1">
      <x:c r="A511" s="11"/>
      <x:c r="B511" s="9"/>
      <x:c r="C511" s="9"/>
      <x:c r="D511" s="9"/>
      <x:c r="E511" s="9"/>
      <x:c r="F511" s="9"/>
      <x:c r="G511" s="9"/>
      <x:c r="H511" s="9"/>
      <x:c r="I511" s="13"/>
      <x:c r="J511" s="15"/>
      <x:c r="K511" s="15"/>
      <x:c r="L511" s="17" t="str">
        <x:f>IF(B511="","",IF(NOT(AND(ISNUMBER(J511),ISNUMBER(K511))),"",SUM(J511:K511)))</x:f>
      </x:c>
      <x:c r="M511" s="15"/>
      <x:c r="N511" s="17" t="str">
        <x:f>IF(OR(B511="",D511&lt;&gt;"pagada",NOT(ISNUMBER(J511)),NOT(ISNUMBER(M511))),"",J511-M511)</x:f>
      </x:c>
      <x:c r="O511" s="9"/>
      <x:c r="P511" s="9"/>
      <x:c r="Q511" s="1" t="str">
        <x:f>IF(B511="","",IF(COUNTIFS($B$7:$B$1006,B511,$C$7:$C$1006,C511)&gt;1,"ID duplicado",IF(OR(A511="",C511="",D511="",E511="",F511="",I511="",J511="",K511="",O511=""),"Completar datos",IF(NOT(ISNUMBER(M511)),"Falta costo histórico","Revisar soporte"))))</x:f>
      </x:c>
      <x:c r="R511" s="9" t="n">
        <x:f>IF(B511="",0,IF(AND(D511="pagada",NOT(ISNUMBER(M511))),1,0))</x:f>
        <x:v>0</x:v>
      </x:c>
    </x:row>
    <x:row r="512" ht="22" customHeight="1">
      <x:c r="A512" s="11"/>
      <x:c r="B512" s="9"/>
      <x:c r="C512" s="9"/>
      <x:c r="D512" s="9"/>
      <x:c r="E512" s="9"/>
      <x:c r="F512" s="9"/>
      <x:c r="G512" s="9"/>
      <x:c r="H512" s="9"/>
      <x:c r="I512" s="13"/>
      <x:c r="J512" s="15"/>
      <x:c r="K512" s="15"/>
      <x:c r="L512" s="17" t="str">
        <x:f>IF(B512="","",IF(NOT(AND(ISNUMBER(J512),ISNUMBER(K512))),"",SUM(J512:K512)))</x:f>
      </x:c>
      <x:c r="M512" s="15"/>
      <x:c r="N512" s="17" t="str">
        <x:f>IF(OR(B512="",D512&lt;&gt;"pagada",NOT(ISNUMBER(J512)),NOT(ISNUMBER(M512))),"",J512-M512)</x:f>
      </x:c>
      <x:c r="O512" s="9"/>
      <x:c r="P512" s="9"/>
      <x:c r="Q512" s="1" t="str">
        <x:f>IF(B512="","",IF(COUNTIFS($B$7:$B$1006,B512,$C$7:$C$1006,C512)&gt;1,"ID duplicado",IF(OR(A512="",C512="",D512="",E512="",F512="",I512="",J512="",K512="",O512=""),"Completar datos",IF(NOT(ISNUMBER(M512)),"Falta costo histórico","Revisar soporte"))))</x:f>
      </x:c>
      <x:c r="R512" s="9" t="n">
        <x:f>IF(B512="",0,IF(AND(D512="pagada",NOT(ISNUMBER(M512))),1,0))</x:f>
        <x:v>0</x:v>
      </x:c>
    </x:row>
    <x:row r="513" ht="22" customHeight="1">
      <x:c r="A513" s="11"/>
      <x:c r="B513" s="9"/>
      <x:c r="C513" s="9"/>
      <x:c r="D513" s="9"/>
      <x:c r="E513" s="9"/>
      <x:c r="F513" s="9"/>
      <x:c r="G513" s="9"/>
      <x:c r="H513" s="9"/>
      <x:c r="I513" s="13"/>
      <x:c r="J513" s="15"/>
      <x:c r="K513" s="15"/>
      <x:c r="L513" s="17" t="str">
        <x:f>IF(B513="","",IF(NOT(AND(ISNUMBER(J513),ISNUMBER(K513))),"",SUM(J513:K513)))</x:f>
      </x:c>
      <x:c r="M513" s="15"/>
      <x:c r="N513" s="17" t="str">
        <x:f>IF(OR(B513="",D513&lt;&gt;"pagada",NOT(ISNUMBER(J513)),NOT(ISNUMBER(M513))),"",J513-M513)</x:f>
      </x:c>
      <x:c r="O513" s="9"/>
      <x:c r="P513" s="9"/>
      <x:c r="Q513" s="1" t="str">
        <x:f>IF(B513="","",IF(COUNTIFS($B$7:$B$1006,B513,$C$7:$C$1006,C513)&gt;1,"ID duplicado",IF(OR(A513="",C513="",D513="",E513="",F513="",I513="",J513="",K513="",O513=""),"Completar datos",IF(NOT(ISNUMBER(M513)),"Falta costo histórico","Revisar soporte"))))</x:f>
      </x:c>
      <x:c r="R513" s="9" t="n">
        <x:f>IF(B513="",0,IF(AND(D513="pagada",NOT(ISNUMBER(M513))),1,0))</x:f>
        <x:v>0</x:v>
      </x:c>
    </x:row>
    <x:row r="514" ht="22" customHeight="1">
      <x:c r="A514" s="11"/>
      <x:c r="B514" s="9"/>
      <x:c r="C514" s="9"/>
      <x:c r="D514" s="9"/>
      <x:c r="E514" s="9"/>
      <x:c r="F514" s="9"/>
      <x:c r="G514" s="9"/>
      <x:c r="H514" s="9"/>
      <x:c r="I514" s="13"/>
      <x:c r="J514" s="15"/>
      <x:c r="K514" s="15"/>
      <x:c r="L514" s="17" t="str">
        <x:f>IF(B514="","",IF(NOT(AND(ISNUMBER(J514),ISNUMBER(K514))),"",SUM(J514:K514)))</x:f>
      </x:c>
      <x:c r="M514" s="15"/>
      <x:c r="N514" s="17" t="str">
        <x:f>IF(OR(B514="",D514&lt;&gt;"pagada",NOT(ISNUMBER(J514)),NOT(ISNUMBER(M514))),"",J514-M514)</x:f>
      </x:c>
      <x:c r="O514" s="9"/>
      <x:c r="P514" s="9"/>
      <x:c r="Q514" s="1" t="str">
        <x:f>IF(B514="","",IF(COUNTIFS($B$7:$B$1006,B514,$C$7:$C$1006,C514)&gt;1,"ID duplicado",IF(OR(A514="",C514="",D514="",E514="",F514="",I514="",J514="",K514="",O514=""),"Completar datos",IF(NOT(ISNUMBER(M514)),"Falta costo histórico","Revisar soporte"))))</x:f>
      </x:c>
      <x:c r="R514" s="9" t="n">
        <x:f>IF(B514="",0,IF(AND(D514="pagada",NOT(ISNUMBER(M514))),1,0))</x:f>
        <x:v>0</x:v>
      </x:c>
    </x:row>
    <x:row r="515" ht="22" customHeight="1">
      <x:c r="A515" s="11"/>
      <x:c r="B515" s="9"/>
      <x:c r="C515" s="9"/>
      <x:c r="D515" s="9"/>
      <x:c r="E515" s="9"/>
      <x:c r="F515" s="9"/>
      <x:c r="G515" s="9"/>
      <x:c r="H515" s="9"/>
      <x:c r="I515" s="13"/>
      <x:c r="J515" s="15"/>
      <x:c r="K515" s="15"/>
      <x:c r="L515" s="17" t="str">
        <x:f>IF(B515="","",IF(NOT(AND(ISNUMBER(J515),ISNUMBER(K515))),"",SUM(J515:K515)))</x:f>
      </x:c>
      <x:c r="M515" s="15"/>
      <x:c r="N515" s="17" t="str">
        <x:f>IF(OR(B515="",D515&lt;&gt;"pagada",NOT(ISNUMBER(J515)),NOT(ISNUMBER(M515))),"",J515-M515)</x:f>
      </x:c>
      <x:c r="O515" s="9"/>
      <x:c r="P515" s="9"/>
      <x:c r="Q515" s="1" t="str">
        <x:f>IF(B515="","",IF(COUNTIFS($B$7:$B$1006,B515,$C$7:$C$1006,C515)&gt;1,"ID duplicado",IF(OR(A515="",C515="",D515="",E515="",F515="",I515="",J515="",K515="",O515=""),"Completar datos",IF(NOT(ISNUMBER(M515)),"Falta costo histórico","Revisar soporte"))))</x:f>
      </x:c>
      <x:c r="R515" s="9" t="n">
        <x:f>IF(B515="",0,IF(AND(D515="pagada",NOT(ISNUMBER(M515))),1,0))</x:f>
        <x:v>0</x:v>
      </x:c>
    </x:row>
    <x:row r="516" ht="22" customHeight="1">
      <x:c r="A516" s="11"/>
      <x:c r="B516" s="9"/>
      <x:c r="C516" s="9"/>
      <x:c r="D516" s="9"/>
      <x:c r="E516" s="9"/>
      <x:c r="F516" s="9"/>
      <x:c r="G516" s="9"/>
      <x:c r="H516" s="9"/>
      <x:c r="I516" s="13"/>
      <x:c r="J516" s="15"/>
      <x:c r="K516" s="15"/>
      <x:c r="L516" s="17" t="str">
        <x:f>IF(B516="","",IF(NOT(AND(ISNUMBER(J516),ISNUMBER(K516))),"",SUM(J516:K516)))</x:f>
      </x:c>
      <x:c r="M516" s="15"/>
      <x:c r="N516" s="17" t="str">
        <x:f>IF(OR(B516="",D516&lt;&gt;"pagada",NOT(ISNUMBER(J516)),NOT(ISNUMBER(M516))),"",J516-M516)</x:f>
      </x:c>
      <x:c r="O516" s="9"/>
      <x:c r="P516" s="9"/>
      <x:c r="Q516" s="1" t="str">
        <x:f>IF(B516="","",IF(COUNTIFS($B$7:$B$1006,B516,$C$7:$C$1006,C516)&gt;1,"ID duplicado",IF(OR(A516="",C516="",D516="",E516="",F516="",I516="",J516="",K516="",O516=""),"Completar datos",IF(NOT(ISNUMBER(M516)),"Falta costo histórico","Revisar soporte"))))</x:f>
      </x:c>
      <x:c r="R516" s="9" t="n">
        <x:f>IF(B516="",0,IF(AND(D516="pagada",NOT(ISNUMBER(M516))),1,0))</x:f>
        <x:v>0</x:v>
      </x:c>
    </x:row>
    <x:row r="517" ht="22" customHeight="1">
      <x:c r="A517" s="11"/>
      <x:c r="B517" s="9"/>
      <x:c r="C517" s="9"/>
      <x:c r="D517" s="9"/>
      <x:c r="E517" s="9"/>
      <x:c r="F517" s="9"/>
      <x:c r="G517" s="9"/>
      <x:c r="H517" s="9"/>
      <x:c r="I517" s="13"/>
      <x:c r="J517" s="15"/>
      <x:c r="K517" s="15"/>
      <x:c r="L517" s="17" t="str">
        <x:f>IF(B517="","",IF(NOT(AND(ISNUMBER(J517),ISNUMBER(K517))),"",SUM(J517:K517)))</x:f>
      </x:c>
      <x:c r="M517" s="15"/>
      <x:c r="N517" s="17" t="str">
        <x:f>IF(OR(B517="",D517&lt;&gt;"pagada",NOT(ISNUMBER(J517)),NOT(ISNUMBER(M517))),"",J517-M517)</x:f>
      </x:c>
      <x:c r="O517" s="9"/>
      <x:c r="P517" s="9"/>
      <x:c r="Q517" s="1" t="str">
        <x:f>IF(B517="","",IF(COUNTIFS($B$7:$B$1006,B517,$C$7:$C$1006,C517)&gt;1,"ID duplicado",IF(OR(A517="",C517="",D517="",E517="",F517="",I517="",J517="",K517="",O517=""),"Completar datos",IF(NOT(ISNUMBER(M517)),"Falta costo histórico","Revisar soporte"))))</x:f>
      </x:c>
      <x:c r="R517" s="9" t="n">
        <x:f>IF(B517="",0,IF(AND(D517="pagada",NOT(ISNUMBER(M517))),1,0))</x:f>
        <x:v>0</x:v>
      </x:c>
    </x:row>
    <x:row r="518" ht="22" customHeight="1">
      <x:c r="A518" s="11"/>
      <x:c r="B518" s="9"/>
      <x:c r="C518" s="9"/>
      <x:c r="D518" s="9"/>
      <x:c r="E518" s="9"/>
      <x:c r="F518" s="9"/>
      <x:c r="G518" s="9"/>
      <x:c r="H518" s="9"/>
      <x:c r="I518" s="13"/>
      <x:c r="J518" s="15"/>
      <x:c r="K518" s="15"/>
      <x:c r="L518" s="17" t="str">
        <x:f>IF(B518="","",IF(NOT(AND(ISNUMBER(J518),ISNUMBER(K518))),"",SUM(J518:K518)))</x:f>
      </x:c>
      <x:c r="M518" s="15"/>
      <x:c r="N518" s="17" t="str">
        <x:f>IF(OR(B518="",D518&lt;&gt;"pagada",NOT(ISNUMBER(J518)),NOT(ISNUMBER(M518))),"",J518-M518)</x:f>
      </x:c>
      <x:c r="O518" s="9"/>
      <x:c r="P518" s="9"/>
      <x:c r="Q518" s="1" t="str">
        <x:f>IF(B518="","",IF(COUNTIFS($B$7:$B$1006,B518,$C$7:$C$1006,C518)&gt;1,"ID duplicado",IF(OR(A518="",C518="",D518="",E518="",F518="",I518="",J518="",K518="",O518=""),"Completar datos",IF(NOT(ISNUMBER(M518)),"Falta costo histórico","Revisar soporte"))))</x:f>
      </x:c>
      <x:c r="R518" s="9" t="n">
        <x:f>IF(B518="",0,IF(AND(D518="pagada",NOT(ISNUMBER(M518))),1,0))</x:f>
        <x:v>0</x:v>
      </x:c>
    </x:row>
    <x:row r="519" ht="22" customHeight="1">
      <x:c r="A519" s="11"/>
      <x:c r="B519" s="9"/>
      <x:c r="C519" s="9"/>
      <x:c r="D519" s="9"/>
      <x:c r="E519" s="9"/>
      <x:c r="F519" s="9"/>
      <x:c r="G519" s="9"/>
      <x:c r="H519" s="9"/>
      <x:c r="I519" s="13"/>
      <x:c r="J519" s="15"/>
      <x:c r="K519" s="15"/>
      <x:c r="L519" s="17" t="str">
        <x:f>IF(B519="","",IF(NOT(AND(ISNUMBER(J519),ISNUMBER(K519))),"",SUM(J519:K519)))</x:f>
      </x:c>
      <x:c r="M519" s="15"/>
      <x:c r="N519" s="17" t="str">
        <x:f>IF(OR(B519="",D519&lt;&gt;"pagada",NOT(ISNUMBER(J519)),NOT(ISNUMBER(M519))),"",J519-M519)</x:f>
      </x:c>
      <x:c r="O519" s="9"/>
      <x:c r="P519" s="9"/>
      <x:c r="Q519" s="1" t="str">
        <x:f>IF(B519="","",IF(COUNTIFS($B$7:$B$1006,B519,$C$7:$C$1006,C519)&gt;1,"ID duplicado",IF(OR(A519="",C519="",D519="",E519="",F519="",I519="",J519="",K519="",O519=""),"Completar datos",IF(NOT(ISNUMBER(M519)),"Falta costo histórico","Revisar soporte"))))</x:f>
      </x:c>
      <x:c r="R519" s="9" t="n">
        <x:f>IF(B519="",0,IF(AND(D519="pagada",NOT(ISNUMBER(M519))),1,0))</x:f>
        <x:v>0</x:v>
      </x:c>
    </x:row>
    <x:row r="520" ht="22" customHeight="1">
      <x:c r="A520" s="11"/>
      <x:c r="B520" s="9"/>
      <x:c r="C520" s="9"/>
      <x:c r="D520" s="9"/>
      <x:c r="E520" s="9"/>
      <x:c r="F520" s="9"/>
      <x:c r="G520" s="9"/>
      <x:c r="H520" s="9"/>
      <x:c r="I520" s="13"/>
      <x:c r="J520" s="15"/>
      <x:c r="K520" s="15"/>
      <x:c r="L520" s="17" t="str">
        <x:f>IF(B520="","",IF(NOT(AND(ISNUMBER(J520),ISNUMBER(K520))),"",SUM(J520:K520)))</x:f>
      </x:c>
      <x:c r="M520" s="15"/>
      <x:c r="N520" s="17" t="str">
        <x:f>IF(OR(B520="",D520&lt;&gt;"pagada",NOT(ISNUMBER(J520)),NOT(ISNUMBER(M520))),"",J520-M520)</x:f>
      </x:c>
      <x:c r="O520" s="9"/>
      <x:c r="P520" s="9"/>
      <x:c r="Q520" s="1" t="str">
        <x:f>IF(B520="","",IF(COUNTIFS($B$7:$B$1006,B520,$C$7:$C$1006,C520)&gt;1,"ID duplicado",IF(OR(A520="",C520="",D520="",E520="",F520="",I520="",J520="",K520="",O520=""),"Completar datos",IF(NOT(ISNUMBER(M520)),"Falta costo histórico","Revisar soporte"))))</x:f>
      </x:c>
      <x:c r="R520" s="9" t="n">
        <x:f>IF(B520="",0,IF(AND(D520="pagada",NOT(ISNUMBER(M520))),1,0))</x:f>
        <x:v>0</x:v>
      </x:c>
    </x:row>
    <x:row r="521" ht="22" customHeight="1">
      <x:c r="A521" s="11"/>
      <x:c r="B521" s="9"/>
      <x:c r="C521" s="9"/>
      <x:c r="D521" s="9"/>
      <x:c r="E521" s="9"/>
      <x:c r="F521" s="9"/>
      <x:c r="G521" s="9"/>
      <x:c r="H521" s="9"/>
      <x:c r="I521" s="13"/>
      <x:c r="J521" s="15"/>
      <x:c r="K521" s="15"/>
      <x:c r="L521" s="17" t="str">
        <x:f>IF(B521="","",IF(NOT(AND(ISNUMBER(J521),ISNUMBER(K521))),"",SUM(J521:K521)))</x:f>
      </x:c>
      <x:c r="M521" s="15"/>
      <x:c r="N521" s="17" t="str">
        <x:f>IF(OR(B521="",D521&lt;&gt;"pagada",NOT(ISNUMBER(J521)),NOT(ISNUMBER(M521))),"",J521-M521)</x:f>
      </x:c>
      <x:c r="O521" s="9"/>
      <x:c r="P521" s="9"/>
      <x:c r="Q521" s="1" t="str">
        <x:f>IF(B521="","",IF(COUNTIFS($B$7:$B$1006,B521,$C$7:$C$1006,C521)&gt;1,"ID duplicado",IF(OR(A521="",C521="",D521="",E521="",F521="",I521="",J521="",K521="",O521=""),"Completar datos",IF(NOT(ISNUMBER(M521)),"Falta costo histórico","Revisar soporte"))))</x:f>
      </x:c>
      <x:c r="R521" s="9" t="n">
        <x:f>IF(B521="",0,IF(AND(D521="pagada",NOT(ISNUMBER(M521))),1,0))</x:f>
        <x:v>0</x:v>
      </x:c>
    </x:row>
    <x:row r="522" ht="22" customHeight="1">
      <x:c r="A522" s="11"/>
      <x:c r="B522" s="9"/>
      <x:c r="C522" s="9"/>
      <x:c r="D522" s="9"/>
      <x:c r="E522" s="9"/>
      <x:c r="F522" s="9"/>
      <x:c r="G522" s="9"/>
      <x:c r="H522" s="9"/>
      <x:c r="I522" s="13"/>
      <x:c r="J522" s="15"/>
      <x:c r="K522" s="15"/>
      <x:c r="L522" s="17" t="str">
        <x:f>IF(B522="","",IF(NOT(AND(ISNUMBER(J522),ISNUMBER(K522))),"",SUM(J522:K522)))</x:f>
      </x:c>
      <x:c r="M522" s="15"/>
      <x:c r="N522" s="17" t="str">
        <x:f>IF(OR(B522="",D522&lt;&gt;"pagada",NOT(ISNUMBER(J522)),NOT(ISNUMBER(M522))),"",J522-M522)</x:f>
      </x:c>
      <x:c r="O522" s="9"/>
      <x:c r="P522" s="9"/>
      <x:c r="Q522" s="1" t="str">
        <x:f>IF(B522="","",IF(COUNTIFS($B$7:$B$1006,B522,$C$7:$C$1006,C522)&gt;1,"ID duplicado",IF(OR(A522="",C522="",D522="",E522="",F522="",I522="",J522="",K522="",O522=""),"Completar datos",IF(NOT(ISNUMBER(M522)),"Falta costo histórico","Revisar soporte"))))</x:f>
      </x:c>
      <x:c r="R522" s="9" t="n">
        <x:f>IF(B522="",0,IF(AND(D522="pagada",NOT(ISNUMBER(M522))),1,0))</x:f>
        <x:v>0</x:v>
      </x:c>
    </x:row>
    <x:row r="523" ht="22" customHeight="1">
      <x:c r="A523" s="11"/>
      <x:c r="B523" s="9"/>
      <x:c r="C523" s="9"/>
      <x:c r="D523" s="9"/>
      <x:c r="E523" s="9"/>
      <x:c r="F523" s="9"/>
      <x:c r="G523" s="9"/>
      <x:c r="H523" s="9"/>
      <x:c r="I523" s="13"/>
      <x:c r="J523" s="15"/>
      <x:c r="K523" s="15"/>
      <x:c r="L523" s="17" t="str">
        <x:f>IF(B523="","",IF(NOT(AND(ISNUMBER(J523),ISNUMBER(K523))),"",SUM(J523:K523)))</x:f>
      </x:c>
      <x:c r="M523" s="15"/>
      <x:c r="N523" s="17" t="str">
        <x:f>IF(OR(B523="",D523&lt;&gt;"pagada",NOT(ISNUMBER(J523)),NOT(ISNUMBER(M523))),"",J523-M523)</x:f>
      </x:c>
      <x:c r="O523" s="9"/>
      <x:c r="P523" s="9"/>
      <x:c r="Q523" s="1" t="str">
        <x:f>IF(B523="","",IF(COUNTIFS($B$7:$B$1006,B523,$C$7:$C$1006,C523)&gt;1,"ID duplicado",IF(OR(A523="",C523="",D523="",E523="",F523="",I523="",J523="",K523="",O523=""),"Completar datos",IF(NOT(ISNUMBER(M523)),"Falta costo histórico","Revisar soporte"))))</x:f>
      </x:c>
      <x:c r="R523" s="9" t="n">
        <x:f>IF(B523="",0,IF(AND(D523="pagada",NOT(ISNUMBER(M523))),1,0))</x:f>
        <x:v>0</x:v>
      </x:c>
    </x:row>
    <x:row r="524" ht="22" customHeight="1">
      <x:c r="A524" s="11"/>
      <x:c r="B524" s="9"/>
      <x:c r="C524" s="9"/>
      <x:c r="D524" s="9"/>
      <x:c r="E524" s="9"/>
      <x:c r="F524" s="9"/>
      <x:c r="G524" s="9"/>
      <x:c r="H524" s="9"/>
      <x:c r="I524" s="13"/>
      <x:c r="J524" s="15"/>
      <x:c r="K524" s="15"/>
      <x:c r="L524" s="17" t="str">
        <x:f>IF(B524="","",IF(NOT(AND(ISNUMBER(J524),ISNUMBER(K524))),"",SUM(J524:K524)))</x:f>
      </x:c>
      <x:c r="M524" s="15"/>
      <x:c r="N524" s="17" t="str">
        <x:f>IF(OR(B524="",D524&lt;&gt;"pagada",NOT(ISNUMBER(J524)),NOT(ISNUMBER(M524))),"",J524-M524)</x:f>
      </x:c>
      <x:c r="O524" s="9"/>
      <x:c r="P524" s="9"/>
      <x:c r="Q524" s="1" t="str">
        <x:f>IF(B524="","",IF(COUNTIFS($B$7:$B$1006,B524,$C$7:$C$1006,C524)&gt;1,"ID duplicado",IF(OR(A524="",C524="",D524="",E524="",F524="",I524="",J524="",K524="",O524=""),"Completar datos",IF(NOT(ISNUMBER(M524)),"Falta costo histórico","Revisar soporte"))))</x:f>
      </x:c>
      <x:c r="R524" s="9" t="n">
        <x:f>IF(B524="",0,IF(AND(D524="pagada",NOT(ISNUMBER(M524))),1,0))</x:f>
        <x:v>0</x:v>
      </x:c>
    </x:row>
    <x:row r="525" ht="22" customHeight="1">
      <x:c r="A525" s="11"/>
      <x:c r="B525" s="9"/>
      <x:c r="C525" s="9"/>
      <x:c r="D525" s="9"/>
      <x:c r="E525" s="9"/>
      <x:c r="F525" s="9"/>
      <x:c r="G525" s="9"/>
      <x:c r="H525" s="9"/>
      <x:c r="I525" s="13"/>
      <x:c r="J525" s="15"/>
      <x:c r="K525" s="15"/>
      <x:c r="L525" s="17" t="str">
        <x:f>IF(B525="","",IF(NOT(AND(ISNUMBER(J525),ISNUMBER(K525))),"",SUM(J525:K525)))</x:f>
      </x:c>
      <x:c r="M525" s="15"/>
      <x:c r="N525" s="17" t="str">
        <x:f>IF(OR(B525="",D525&lt;&gt;"pagada",NOT(ISNUMBER(J525)),NOT(ISNUMBER(M525))),"",J525-M525)</x:f>
      </x:c>
      <x:c r="O525" s="9"/>
      <x:c r="P525" s="9"/>
      <x:c r="Q525" s="1" t="str">
        <x:f>IF(B525="","",IF(COUNTIFS($B$7:$B$1006,B525,$C$7:$C$1006,C525)&gt;1,"ID duplicado",IF(OR(A525="",C525="",D525="",E525="",F525="",I525="",J525="",K525="",O525=""),"Completar datos",IF(NOT(ISNUMBER(M525)),"Falta costo histórico","Revisar soporte"))))</x:f>
      </x:c>
      <x:c r="R525" s="9" t="n">
        <x:f>IF(B525="",0,IF(AND(D525="pagada",NOT(ISNUMBER(M525))),1,0))</x:f>
        <x:v>0</x:v>
      </x:c>
    </x:row>
    <x:row r="526" ht="22" customHeight="1">
      <x:c r="A526" s="11"/>
      <x:c r="B526" s="9"/>
      <x:c r="C526" s="9"/>
      <x:c r="D526" s="9"/>
      <x:c r="E526" s="9"/>
      <x:c r="F526" s="9"/>
      <x:c r="G526" s="9"/>
      <x:c r="H526" s="9"/>
      <x:c r="I526" s="13"/>
      <x:c r="J526" s="15"/>
      <x:c r="K526" s="15"/>
      <x:c r="L526" s="17" t="str">
        <x:f>IF(B526="","",IF(NOT(AND(ISNUMBER(J526),ISNUMBER(K526))),"",SUM(J526:K526)))</x:f>
      </x:c>
      <x:c r="M526" s="15"/>
      <x:c r="N526" s="17" t="str">
        <x:f>IF(OR(B526="",D526&lt;&gt;"pagada",NOT(ISNUMBER(J526)),NOT(ISNUMBER(M526))),"",J526-M526)</x:f>
      </x:c>
      <x:c r="O526" s="9"/>
      <x:c r="P526" s="9"/>
      <x:c r="Q526" s="1" t="str">
        <x:f>IF(B526="","",IF(COUNTIFS($B$7:$B$1006,B526,$C$7:$C$1006,C526)&gt;1,"ID duplicado",IF(OR(A526="",C526="",D526="",E526="",F526="",I526="",J526="",K526="",O526=""),"Completar datos",IF(NOT(ISNUMBER(M526)),"Falta costo histórico","Revisar soporte"))))</x:f>
      </x:c>
      <x:c r="R526" s="9" t="n">
        <x:f>IF(B526="",0,IF(AND(D526="pagada",NOT(ISNUMBER(M526))),1,0))</x:f>
        <x:v>0</x:v>
      </x:c>
    </x:row>
    <x:row r="527" ht="22" customHeight="1">
      <x:c r="A527" s="11"/>
      <x:c r="B527" s="9"/>
      <x:c r="C527" s="9"/>
      <x:c r="D527" s="9"/>
      <x:c r="E527" s="9"/>
      <x:c r="F527" s="9"/>
      <x:c r="G527" s="9"/>
      <x:c r="H527" s="9"/>
      <x:c r="I527" s="13"/>
      <x:c r="J527" s="15"/>
      <x:c r="K527" s="15"/>
      <x:c r="L527" s="17" t="str">
        <x:f>IF(B527="","",IF(NOT(AND(ISNUMBER(J527),ISNUMBER(K527))),"",SUM(J527:K527)))</x:f>
      </x:c>
      <x:c r="M527" s="15"/>
      <x:c r="N527" s="17" t="str">
        <x:f>IF(OR(B527="",D527&lt;&gt;"pagada",NOT(ISNUMBER(J527)),NOT(ISNUMBER(M527))),"",J527-M527)</x:f>
      </x:c>
      <x:c r="O527" s="9"/>
      <x:c r="P527" s="9"/>
      <x:c r="Q527" s="1" t="str">
        <x:f>IF(B527="","",IF(COUNTIFS($B$7:$B$1006,B527,$C$7:$C$1006,C527)&gt;1,"ID duplicado",IF(OR(A527="",C527="",D527="",E527="",F527="",I527="",J527="",K527="",O527=""),"Completar datos",IF(NOT(ISNUMBER(M527)),"Falta costo histórico","Revisar soporte"))))</x:f>
      </x:c>
      <x:c r="R527" s="9" t="n">
        <x:f>IF(B527="",0,IF(AND(D527="pagada",NOT(ISNUMBER(M527))),1,0))</x:f>
        <x:v>0</x:v>
      </x:c>
    </x:row>
    <x:row r="528" ht="22" customHeight="1">
      <x:c r="A528" s="11"/>
      <x:c r="B528" s="9"/>
      <x:c r="C528" s="9"/>
      <x:c r="D528" s="9"/>
      <x:c r="E528" s="9"/>
      <x:c r="F528" s="9"/>
      <x:c r="G528" s="9"/>
      <x:c r="H528" s="9"/>
      <x:c r="I528" s="13"/>
      <x:c r="J528" s="15"/>
      <x:c r="K528" s="15"/>
      <x:c r="L528" s="17" t="str">
        <x:f>IF(B528="","",IF(NOT(AND(ISNUMBER(J528),ISNUMBER(K528))),"",SUM(J528:K528)))</x:f>
      </x:c>
      <x:c r="M528" s="15"/>
      <x:c r="N528" s="17" t="str">
        <x:f>IF(OR(B528="",D528&lt;&gt;"pagada",NOT(ISNUMBER(J528)),NOT(ISNUMBER(M528))),"",J528-M528)</x:f>
      </x:c>
      <x:c r="O528" s="9"/>
      <x:c r="P528" s="9"/>
      <x:c r="Q528" s="1" t="str">
        <x:f>IF(B528="","",IF(COUNTIFS($B$7:$B$1006,B528,$C$7:$C$1006,C528)&gt;1,"ID duplicado",IF(OR(A528="",C528="",D528="",E528="",F528="",I528="",J528="",K528="",O528=""),"Completar datos",IF(NOT(ISNUMBER(M528)),"Falta costo histórico","Revisar soporte"))))</x:f>
      </x:c>
      <x:c r="R528" s="9" t="n">
        <x:f>IF(B528="",0,IF(AND(D528="pagada",NOT(ISNUMBER(M528))),1,0))</x:f>
        <x:v>0</x:v>
      </x:c>
    </x:row>
    <x:row r="529" ht="22" customHeight="1">
      <x:c r="A529" s="11"/>
      <x:c r="B529" s="9"/>
      <x:c r="C529" s="9"/>
      <x:c r="D529" s="9"/>
      <x:c r="E529" s="9"/>
      <x:c r="F529" s="9"/>
      <x:c r="G529" s="9"/>
      <x:c r="H529" s="9"/>
      <x:c r="I529" s="13"/>
      <x:c r="J529" s="15"/>
      <x:c r="K529" s="15"/>
      <x:c r="L529" s="17" t="str">
        <x:f>IF(B529="","",IF(NOT(AND(ISNUMBER(J529),ISNUMBER(K529))),"",SUM(J529:K529)))</x:f>
      </x:c>
      <x:c r="M529" s="15"/>
      <x:c r="N529" s="17" t="str">
        <x:f>IF(OR(B529="",D529&lt;&gt;"pagada",NOT(ISNUMBER(J529)),NOT(ISNUMBER(M529))),"",J529-M529)</x:f>
      </x:c>
      <x:c r="O529" s="9"/>
      <x:c r="P529" s="9"/>
      <x:c r="Q529" s="1" t="str">
        <x:f>IF(B529="","",IF(COUNTIFS($B$7:$B$1006,B529,$C$7:$C$1006,C529)&gt;1,"ID duplicado",IF(OR(A529="",C529="",D529="",E529="",F529="",I529="",J529="",K529="",O529=""),"Completar datos",IF(NOT(ISNUMBER(M529)),"Falta costo histórico","Revisar soporte"))))</x:f>
      </x:c>
      <x:c r="R529" s="9" t="n">
        <x:f>IF(B529="",0,IF(AND(D529="pagada",NOT(ISNUMBER(M529))),1,0))</x:f>
        <x:v>0</x:v>
      </x:c>
    </x:row>
    <x:row r="530" ht="22" customHeight="1">
      <x:c r="A530" s="11"/>
      <x:c r="B530" s="9"/>
      <x:c r="C530" s="9"/>
      <x:c r="D530" s="9"/>
      <x:c r="E530" s="9"/>
      <x:c r="F530" s="9"/>
      <x:c r="G530" s="9"/>
      <x:c r="H530" s="9"/>
      <x:c r="I530" s="13"/>
      <x:c r="J530" s="15"/>
      <x:c r="K530" s="15"/>
      <x:c r="L530" s="17" t="str">
        <x:f>IF(B530="","",IF(NOT(AND(ISNUMBER(J530),ISNUMBER(K530))),"",SUM(J530:K530)))</x:f>
      </x:c>
      <x:c r="M530" s="15"/>
      <x:c r="N530" s="17" t="str">
        <x:f>IF(OR(B530="",D530&lt;&gt;"pagada",NOT(ISNUMBER(J530)),NOT(ISNUMBER(M530))),"",J530-M530)</x:f>
      </x:c>
      <x:c r="O530" s="9"/>
      <x:c r="P530" s="9"/>
      <x:c r="Q530" s="1" t="str">
        <x:f>IF(B530="","",IF(COUNTIFS($B$7:$B$1006,B530,$C$7:$C$1006,C530)&gt;1,"ID duplicado",IF(OR(A530="",C530="",D530="",E530="",F530="",I530="",J530="",K530="",O530=""),"Completar datos",IF(NOT(ISNUMBER(M530)),"Falta costo histórico","Revisar soporte"))))</x:f>
      </x:c>
      <x:c r="R530" s="9" t="n">
        <x:f>IF(B530="",0,IF(AND(D530="pagada",NOT(ISNUMBER(M530))),1,0))</x:f>
        <x:v>0</x:v>
      </x:c>
    </x:row>
    <x:row r="531" ht="22" customHeight="1">
      <x:c r="A531" s="11"/>
      <x:c r="B531" s="9"/>
      <x:c r="C531" s="9"/>
      <x:c r="D531" s="9"/>
      <x:c r="E531" s="9"/>
      <x:c r="F531" s="9"/>
      <x:c r="G531" s="9"/>
      <x:c r="H531" s="9"/>
      <x:c r="I531" s="13"/>
      <x:c r="J531" s="15"/>
      <x:c r="K531" s="15"/>
      <x:c r="L531" s="17" t="str">
        <x:f>IF(B531="","",IF(NOT(AND(ISNUMBER(J531),ISNUMBER(K531))),"",SUM(J531:K531)))</x:f>
      </x:c>
      <x:c r="M531" s="15"/>
      <x:c r="N531" s="17" t="str">
        <x:f>IF(OR(B531="",D531&lt;&gt;"pagada",NOT(ISNUMBER(J531)),NOT(ISNUMBER(M531))),"",J531-M531)</x:f>
      </x:c>
      <x:c r="O531" s="9"/>
      <x:c r="P531" s="9"/>
      <x:c r="Q531" s="1" t="str">
        <x:f>IF(B531="","",IF(COUNTIFS($B$7:$B$1006,B531,$C$7:$C$1006,C531)&gt;1,"ID duplicado",IF(OR(A531="",C531="",D531="",E531="",F531="",I531="",J531="",K531="",O531=""),"Completar datos",IF(NOT(ISNUMBER(M531)),"Falta costo histórico","Revisar soporte"))))</x:f>
      </x:c>
      <x:c r="R531" s="9" t="n">
        <x:f>IF(B531="",0,IF(AND(D531="pagada",NOT(ISNUMBER(M531))),1,0))</x:f>
        <x:v>0</x:v>
      </x:c>
    </x:row>
    <x:row r="532" ht="22" customHeight="1">
      <x:c r="A532" s="11"/>
      <x:c r="B532" s="9"/>
      <x:c r="C532" s="9"/>
      <x:c r="D532" s="9"/>
      <x:c r="E532" s="9"/>
      <x:c r="F532" s="9"/>
      <x:c r="G532" s="9"/>
      <x:c r="H532" s="9"/>
      <x:c r="I532" s="13"/>
      <x:c r="J532" s="15"/>
      <x:c r="K532" s="15"/>
      <x:c r="L532" s="17" t="str">
        <x:f>IF(B532="","",IF(NOT(AND(ISNUMBER(J532),ISNUMBER(K532))),"",SUM(J532:K532)))</x:f>
      </x:c>
      <x:c r="M532" s="15"/>
      <x:c r="N532" s="17" t="str">
        <x:f>IF(OR(B532="",D532&lt;&gt;"pagada",NOT(ISNUMBER(J532)),NOT(ISNUMBER(M532))),"",J532-M532)</x:f>
      </x:c>
      <x:c r="O532" s="9"/>
      <x:c r="P532" s="9"/>
      <x:c r="Q532" s="1" t="str">
        <x:f>IF(B532="","",IF(COUNTIFS($B$7:$B$1006,B532,$C$7:$C$1006,C532)&gt;1,"ID duplicado",IF(OR(A532="",C532="",D532="",E532="",F532="",I532="",J532="",K532="",O532=""),"Completar datos",IF(NOT(ISNUMBER(M532)),"Falta costo histórico","Revisar soporte"))))</x:f>
      </x:c>
      <x:c r="R532" s="9" t="n">
        <x:f>IF(B532="",0,IF(AND(D532="pagada",NOT(ISNUMBER(M532))),1,0))</x:f>
        <x:v>0</x:v>
      </x:c>
    </x:row>
    <x:row r="533" ht="22" customHeight="1">
      <x:c r="A533" s="11"/>
      <x:c r="B533" s="9"/>
      <x:c r="C533" s="9"/>
      <x:c r="D533" s="9"/>
      <x:c r="E533" s="9"/>
      <x:c r="F533" s="9"/>
      <x:c r="G533" s="9"/>
      <x:c r="H533" s="9"/>
      <x:c r="I533" s="13"/>
      <x:c r="J533" s="15"/>
      <x:c r="K533" s="15"/>
      <x:c r="L533" s="17" t="str">
        <x:f>IF(B533="","",IF(NOT(AND(ISNUMBER(J533),ISNUMBER(K533))),"",SUM(J533:K533)))</x:f>
      </x:c>
      <x:c r="M533" s="15"/>
      <x:c r="N533" s="17" t="str">
        <x:f>IF(OR(B533="",D533&lt;&gt;"pagada",NOT(ISNUMBER(J533)),NOT(ISNUMBER(M533))),"",J533-M533)</x:f>
      </x:c>
      <x:c r="O533" s="9"/>
      <x:c r="P533" s="9"/>
      <x:c r="Q533" s="1" t="str">
        <x:f>IF(B533="","",IF(COUNTIFS($B$7:$B$1006,B533,$C$7:$C$1006,C533)&gt;1,"ID duplicado",IF(OR(A533="",C533="",D533="",E533="",F533="",I533="",J533="",K533="",O533=""),"Completar datos",IF(NOT(ISNUMBER(M533)),"Falta costo histórico","Revisar soporte"))))</x:f>
      </x:c>
      <x:c r="R533" s="9" t="n">
        <x:f>IF(B533="",0,IF(AND(D533="pagada",NOT(ISNUMBER(M533))),1,0))</x:f>
        <x:v>0</x:v>
      </x:c>
    </x:row>
    <x:row r="534" ht="22" customHeight="1">
      <x:c r="A534" s="11"/>
      <x:c r="B534" s="9"/>
      <x:c r="C534" s="9"/>
      <x:c r="D534" s="9"/>
      <x:c r="E534" s="9"/>
      <x:c r="F534" s="9"/>
      <x:c r="G534" s="9"/>
      <x:c r="H534" s="9"/>
      <x:c r="I534" s="13"/>
      <x:c r="J534" s="15"/>
      <x:c r="K534" s="15"/>
      <x:c r="L534" s="17" t="str">
        <x:f>IF(B534="","",IF(NOT(AND(ISNUMBER(J534),ISNUMBER(K534))),"",SUM(J534:K534)))</x:f>
      </x:c>
      <x:c r="M534" s="15"/>
      <x:c r="N534" s="17" t="str">
        <x:f>IF(OR(B534="",D534&lt;&gt;"pagada",NOT(ISNUMBER(J534)),NOT(ISNUMBER(M534))),"",J534-M534)</x:f>
      </x:c>
      <x:c r="O534" s="9"/>
      <x:c r="P534" s="9"/>
      <x:c r="Q534" s="1" t="str">
        <x:f>IF(B534="","",IF(COUNTIFS($B$7:$B$1006,B534,$C$7:$C$1006,C534)&gt;1,"ID duplicado",IF(OR(A534="",C534="",D534="",E534="",F534="",I534="",J534="",K534="",O534=""),"Completar datos",IF(NOT(ISNUMBER(M534)),"Falta costo histórico","Revisar soporte"))))</x:f>
      </x:c>
      <x:c r="R534" s="9" t="n">
        <x:f>IF(B534="",0,IF(AND(D534="pagada",NOT(ISNUMBER(M534))),1,0))</x:f>
        <x:v>0</x:v>
      </x:c>
    </x:row>
    <x:row r="535" ht="22" customHeight="1">
      <x:c r="A535" s="11"/>
      <x:c r="B535" s="9"/>
      <x:c r="C535" s="9"/>
      <x:c r="D535" s="9"/>
      <x:c r="E535" s="9"/>
      <x:c r="F535" s="9"/>
      <x:c r="G535" s="9"/>
      <x:c r="H535" s="9"/>
      <x:c r="I535" s="13"/>
      <x:c r="J535" s="15"/>
      <x:c r="K535" s="15"/>
      <x:c r="L535" s="17" t="str">
        <x:f>IF(B535="","",IF(NOT(AND(ISNUMBER(J535),ISNUMBER(K535))),"",SUM(J535:K535)))</x:f>
      </x:c>
      <x:c r="M535" s="15"/>
      <x:c r="N535" s="17" t="str">
        <x:f>IF(OR(B535="",D535&lt;&gt;"pagada",NOT(ISNUMBER(J535)),NOT(ISNUMBER(M535))),"",J535-M535)</x:f>
      </x:c>
      <x:c r="O535" s="9"/>
      <x:c r="P535" s="9"/>
      <x:c r="Q535" s="1" t="str">
        <x:f>IF(B535="","",IF(COUNTIFS($B$7:$B$1006,B535,$C$7:$C$1006,C535)&gt;1,"ID duplicado",IF(OR(A535="",C535="",D535="",E535="",F535="",I535="",J535="",K535="",O535=""),"Completar datos",IF(NOT(ISNUMBER(M535)),"Falta costo histórico","Revisar soporte"))))</x:f>
      </x:c>
      <x:c r="R535" s="9" t="n">
        <x:f>IF(B535="",0,IF(AND(D535="pagada",NOT(ISNUMBER(M535))),1,0))</x:f>
        <x:v>0</x:v>
      </x:c>
    </x:row>
    <x:row r="536" ht="22" customHeight="1">
      <x:c r="A536" s="11"/>
      <x:c r="B536" s="9"/>
      <x:c r="C536" s="9"/>
      <x:c r="D536" s="9"/>
      <x:c r="E536" s="9"/>
      <x:c r="F536" s="9"/>
      <x:c r="G536" s="9"/>
      <x:c r="H536" s="9"/>
      <x:c r="I536" s="13"/>
      <x:c r="J536" s="15"/>
      <x:c r="K536" s="15"/>
      <x:c r="L536" s="17" t="str">
        <x:f>IF(B536="","",IF(NOT(AND(ISNUMBER(J536),ISNUMBER(K536))),"",SUM(J536:K536)))</x:f>
      </x:c>
      <x:c r="M536" s="15"/>
      <x:c r="N536" s="17" t="str">
        <x:f>IF(OR(B536="",D536&lt;&gt;"pagada",NOT(ISNUMBER(J536)),NOT(ISNUMBER(M536))),"",J536-M536)</x:f>
      </x:c>
      <x:c r="O536" s="9"/>
      <x:c r="P536" s="9"/>
      <x:c r="Q536" s="1" t="str">
        <x:f>IF(B536="","",IF(COUNTIFS($B$7:$B$1006,B536,$C$7:$C$1006,C536)&gt;1,"ID duplicado",IF(OR(A536="",C536="",D536="",E536="",F536="",I536="",J536="",K536="",O536=""),"Completar datos",IF(NOT(ISNUMBER(M536)),"Falta costo histórico","Revisar soporte"))))</x:f>
      </x:c>
      <x:c r="R536" s="9" t="n">
        <x:f>IF(B536="",0,IF(AND(D536="pagada",NOT(ISNUMBER(M536))),1,0))</x:f>
        <x:v>0</x:v>
      </x:c>
    </x:row>
    <x:row r="537" ht="22" customHeight="1">
      <x:c r="A537" s="11"/>
      <x:c r="B537" s="9"/>
      <x:c r="C537" s="9"/>
      <x:c r="D537" s="9"/>
      <x:c r="E537" s="9"/>
      <x:c r="F537" s="9"/>
      <x:c r="G537" s="9"/>
      <x:c r="H537" s="9"/>
      <x:c r="I537" s="13"/>
      <x:c r="J537" s="15"/>
      <x:c r="K537" s="15"/>
      <x:c r="L537" s="17" t="str">
        <x:f>IF(B537="","",IF(NOT(AND(ISNUMBER(J537),ISNUMBER(K537))),"",SUM(J537:K537)))</x:f>
      </x:c>
      <x:c r="M537" s="15"/>
      <x:c r="N537" s="17" t="str">
        <x:f>IF(OR(B537="",D537&lt;&gt;"pagada",NOT(ISNUMBER(J537)),NOT(ISNUMBER(M537))),"",J537-M537)</x:f>
      </x:c>
      <x:c r="O537" s="9"/>
      <x:c r="P537" s="9"/>
      <x:c r="Q537" s="1" t="str">
        <x:f>IF(B537="","",IF(COUNTIFS($B$7:$B$1006,B537,$C$7:$C$1006,C537)&gt;1,"ID duplicado",IF(OR(A537="",C537="",D537="",E537="",F537="",I537="",J537="",K537="",O537=""),"Completar datos",IF(NOT(ISNUMBER(M537)),"Falta costo histórico","Revisar soporte"))))</x:f>
      </x:c>
      <x:c r="R537" s="9" t="n">
        <x:f>IF(B537="",0,IF(AND(D537="pagada",NOT(ISNUMBER(M537))),1,0))</x:f>
        <x:v>0</x:v>
      </x:c>
    </x:row>
    <x:row r="538" ht="22" customHeight="1">
      <x:c r="A538" s="11"/>
      <x:c r="B538" s="9"/>
      <x:c r="C538" s="9"/>
      <x:c r="D538" s="9"/>
      <x:c r="E538" s="9"/>
      <x:c r="F538" s="9"/>
      <x:c r="G538" s="9"/>
      <x:c r="H538" s="9"/>
      <x:c r="I538" s="13"/>
      <x:c r="J538" s="15"/>
      <x:c r="K538" s="15"/>
      <x:c r="L538" s="17" t="str">
        <x:f>IF(B538="","",IF(NOT(AND(ISNUMBER(J538),ISNUMBER(K538))),"",SUM(J538:K538)))</x:f>
      </x:c>
      <x:c r="M538" s="15"/>
      <x:c r="N538" s="17" t="str">
        <x:f>IF(OR(B538="",D538&lt;&gt;"pagada",NOT(ISNUMBER(J538)),NOT(ISNUMBER(M538))),"",J538-M538)</x:f>
      </x:c>
      <x:c r="O538" s="9"/>
      <x:c r="P538" s="9"/>
      <x:c r="Q538" s="1" t="str">
        <x:f>IF(B538="","",IF(COUNTIFS($B$7:$B$1006,B538,$C$7:$C$1006,C538)&gt;1,"ID duplicado",IF(OR(A538="",C538="",D538="",E538="",F538="",I538="",J538="",K538="",O538=""),"Completar datos",IF(NOT(ISNUMBER(M538)),"Falta costo histórico","Revisar soporte"))))</x:f>
      </x:c>
      <x:c r="R538" s="9" t="n">
        <x:f>IF(B538="",0,IF(AND(D538="pagada",NOT(ISNUMBER(M538))),1,0))</x:f>
        <x:v>0</x:v>
      </x:c>
    </x:row>
    <x:row r="539" ht="22" customHeight="1">
      <x:c r="A539" s="11"/>
      <x:c r="B539" s="9"/>
      <x:c r="C539" s="9"/>
      <x:c r="D539" s="9"/>
      <x:c r="E539" s="9"/>
      <x:c r="F539" s="9"/>
      <x:c r="G539" s="9"/>
      <x:c r="H539" s="9"/>
      <x:c r="I539" s="13"/>
      <x:c r="J539" s="15"/>
      <x:c r="K539" s="15"/>
      <x:c r="L539" s="17" t="str">
        <x:f>IF(B539="","",IF(NOT(AND(ISNUMBER(J539),ISNUMBER(K539))),"",SUM(J539:K539)))</x:f>
      </x:c>
      <x:c r="M539" s="15"/>
      <x:c r="N539" s="17" t="str">
        <x:f>IF(OR(B539="",D539&lt;&gt;"pagada",NOT(ISNUMBER(J539)),NOT(ISNUMBER(M539))),"",J539-M539)</x:f>
      </x:c>
      <x:c r="O539" s="9"/>
      <x:c r="P539" s="9"/>
      <x:c r="Q539" s="1" t="str">
        <x:f>IF(B539="","",IF(COUNTIFS($B$7:$B$1006,B539,$C$7:$C$1006,C539)&gt;1,"ID duplicado",IF(OR(A539="",C539="",D539="",E539="",F539="",I539="",J539="",K539="",O539=""),"Completar datos",IF(NOT(ISNUMBER(M539)),"Falta costo histórico","Revisar soporte"))))</x:f>
      </x:c>
      <x:c r="R539" s="9" t="n">
        <x:f>IF(B539="",0,IF(AND(D539="pagada",NOT(ISNUMBER(M539))),1,0))</x:f>
        <x:v>0</x:v>
      </x:c>
    </x:row>
    <x:row r="540" ht="22" customHeight="1">
      <x:c r="A540" s="11"/>
      <x:c r="B540" s="9"/>
      <x:c r="C540" s="9"/>
      <x:c r="D540" s="9"/>
      <x:c r="E540" s="9"/>
      <x:c r="F540" s="9"/>
      <x:c r="G540" s="9"/>
      <x:c r="H540" s="9"/>
      <x:c r="I540" s="13"/>
      <x:c r="J540" s="15"/>
      <x:c r="K540" s="15"/>
      <x:c r="L540" s="17" t="str">
        <x:f>IF(B540="","",IF(NOT(AND(ISNUMBER(J540),ISNUMBER(K540))),"",SUM(J540:K540)))</x:f>
      </x:c>
      <x:c r="M540" s="15"/>
      <x:c r="N540" s="17" t="str">
        <x:f>IF(OR(B540="",D540&lt;&gt;"pagada",NOT(ISNUMBER(J540)),NOT(ISNUMBER(M540))),"",J540-M540)</x:f>
      </x:c>
      <x:c r="O540" s="9"/>
      <x:c r="P540" s="9"/>
      <x:c r="Q540" s="1" t="str">
        <x:f>IF(B540="","",IF(COUNTIFS($B$7:$B$1006,B540,$C$7:$C$1006,C540)&gt;1,"ID duplicado",IF(OR(A540="",C540="",D540="",E540="",F540="",I540="",J540="",K540="",O540=""),"Completar datos",IF(NOT(ISNUMBER(M540)),"Falta costo histórico","Revisar soporte"))))</x:f>
      </x:c>
      <x:c r="R540" s="9" t="n">
        <x:f>IF(B540="",0,IF(AND(D540="pagada",NOT(ISNUMBER(M540))),1,0))</x:f>
        <x:v>0</x:v>
      </x:c>
    </x:row>
    <x:row r="541" ht="22" customHeight="1">
      <x:c r="A541" s="11"/>
      <x:c r="B541" s="9"/>
      <x:c r="C541" s="9"/>
      <x:c r="D541" s="9"/>
      <x:c r="E541" s="9"/>
      <x:c r="F541" s="9"/>
      <x:c r="G541" s="9"/>
      <x:c r="H541" s="9"/>
      <x:c r="I541" s="13"/>
      <x:c r="J541" s="15"/>
      <x:c r="K541" s="15"/>
      <x:c r="L541" s="17" t="str">
        <x:f>IF(B541="","",IF(NOT(AND(ISNUMBER(J541),ISNUMBER(K541))),"",SUM(J541:K541)))</x:f>
      </x:c>
      <x:c r="M541" s="15"/>
      <x:c r="N541" s="17" t="str">
        <x:f>IF(OR(B541="",D541&lt;&gt;"pagada",NOT(ISNUMBER(J541)),NOT(ISNUMBER(M541))),"",J541-M541)</x:f>
      </x:c>
      <x:c r="O541" s="9"/>
      <x:c r="P541" s="9"/>
      <x:c r="Q541" s="1" t="str">
        <x:f>IF(B541="","",IF(COUNTIFS($B$7:$B$1006,B541,$C$7:$C$1006,C541)&gt;1,"ID duplicado",IF(OR(A541="",C541="",D541="",E541="",F541="",I541="",J541="",K541="",O541=""),"Completar datos",IF(NOT(ISNUMBER(M541)),"Falta costo histórico","Revisar soporte"))))</x:f>
      </x:c>
      <x:c r="R541" s="9" t="n">
        <x:f>IF(B541="",0,IF(AND(D541="pagada",NOT(ISNUMBER(M541))),1,0))</x:f>
        <x:v>0</x:v>
      </x:c>
    </x:row>
    <x:row r="542" ht="22" customHeight="1">
      <x:c r="A542" s="11"/>
      <x:c r="B542" s="9"/>
      <x:c r="C542" s="9"/>
      <x:c r="D542" s="9"/>
      <x:c r="E542" s="9"/>
      <x:c r="F542" s="9"/>
      <x:c r="G542" s="9"/>
      <x:c r="H542" s="9"/>
      <x:c r="I542" s="13"/>
      <x:c r="J542" s="15"/>
      <x:c r="K542" s="15"/>
      <x:c r="L542" s="17" t="str">
        <x:f>IF(B542="","",IF(NOT(AND(ISNUMBER(J542),ISNUMBER(K542))),"",SUM(J542:K542)))</x:f>
      </x:c>
      <x:c r="M542" s="15"/>
      <x:c r="N542" s="17" t="str">
        <x:f>IF(OR(B542="",D542&lt;&gt;"pagada",NOT(ISNUMBER(J542)),NOT(ISNUMBER(M542))),"",J542-M542)</x:f>
      </x:c>
      <x:c r="O542" s="9"/>
      <x:c r="P542" s="9"/>
      <x:c r="Q542" s="1" t="str">
        <x:f>IF(B542="","",IF(COUNTIFS($B$7:$B$1006,B542,$C$7:$C$1006,C542)&gt;1,"ID duplicado",IF(OR(A542="",C542="",D542="",E542="",F542="",I542="",J542="",K542="",O542=""),"Completar datos",IF(NOT(ISNUMBER(M542)),"Falta costo histórico","Revisar soporte"))))</x:f>
      </x:c>
      <x:c r="R542" s="9" t="n">
        <x:f>IF(B542="",0,IF(AND(D542="pagada",NOT(ISNUMBER(M542))),1,0))</x:f>
        <x:v>0</x:v>
      </x:c>
    </x:row>
    <x:row r="543" ht="22" customHeight="1">
      <x:c r="A543" s="11"/>
      <x:c r="B543" s="9"/>
      <x:c r="C543" s="9"/>
      <x:c r="D543" s="9"/>
      <x:c r="E543" s="9"/>
      <x:c r="F543" s="9"/>
      <x:c r="G543" s="9"/>
      <x:c r="H543" s="9"/>
      <x:c r="I543" s="13"/>
      <x:c r="J543" s="15"/>
      <x:c r="K543" s="15"/>
      <x:c r="L543" s="17" t="str">
        <x:f>IF(B543="","",IF(NOT(AND(ISNUMBER(J543),ISNUMBER(K543))),"",SUM(J543:K543)))</x:f>
      </x:c>
      <x:c r="M543" s="15"/>
      <x:c r="N543" s="17" t="str">
        <x:f>IF(OR(B543="",D543&lt;&gt;"pagada",NOT(ISNUMBER(J543)),NOT(ISNUMBER(M543))),"",J543-M543)</x:f>
      </x:c>
      <x:c r="O543" s="9"/>
      <x:c r="P543" s="9"/>
      <x:c r="Q543" s="1" t="str">
        <x:f>IF(B543="","",IF(COUNTIFS($B$7:$B$1006,B543,$C$7:$C$1006,C543)&gt;1,"ID duplicado",IF(OR(A543="",C543="",D543="",E543="",F543="",I543="",J543="",K543="",O543=""),"Completar datos",IF(NOT(ISNUMBER(M543)),"Falta costo histórico","Revisar soporte"))))</x:f>
      </x:c>
      <x:c r="R543" s="9" t="n">
        <x:f>IF(B543="",0,IF(AND(D543="pagada",NOT(ISNUMBER(M543))),1,0))</x:f>
        <x:v>0</x:v>
      </x:c>
    </x:row>
    <x:row r="544" ht="22" customHeight="1">
      <x:c r="A544" s="11"/>
      <x:c r="B544" s="9"/>
      <x:c r="C544" s="9"/>
      <x:c r="D544" s="9"/>
      <x:c r="E544" s="9"/>
      <x:c r="F544" s="9"/>
      <x:c r="G544" s="9"/>
      <x:c r="H544" s="9"/>
      <x:c r="I544" s="13"/>
      <x:c r="J544" s="15"/>
      <x:c r="K544" s="15"/>
      <x:c r="L544" s="17" t="str">
        <x:f>IF(B544="","",IF(NOT(AND(ISNUMBER(J544),ISNUMBER(K544))),"",SUM(J544:K544)))</x:f>
      </x:c>
      <x:c r="M544" s="15"/>
      <x:c r="N544" s="17" t="str">
        <x:f>IF(OR(B544="",D544&lt;&gt;"pagada",NOT(ISNUMBER(J544)),NOT(ISNUMBER(M544))),"",J544-M544)</x:f>
      </x:c>
      <x:c r="O544" s="9"/>
      <x:c r="P544" s="9"/>
      <x:c r="Q544" s="1" t="str">
        <x:f>IF(B544="","",IF(COUNTIFS($B$7:$B$1006,B544,$C$7:$C$1006,C544)&gt;1,"ID duplicado",IF(OR(A544="",C544="",D544="",E544="",F544="",I544="",J544="",K544="",O544=""),"Completar datos",IF(NOT(ISNUMBER(M544)),"Falta costo histórico","Revisar soporte"))))</x:f>
      </x:c>
      <x:c r="R544" s="9" t="n">
        <x:f>IF(B544="",0,IF(AND(D544="pagada",NOT(ISNUMBER(M544))),1,0))</x:f>
        <x:v>0</x:v>
      </x:c>
    </x:row>
    <x:row r="545" ht="22" customHeight="1">
      <x:c r="A545" s="11"/>
      <x:c r="B545" s="9"/>
      <x:c r="C545" s="9"/>
      <x:c r="D545" s="9"/>
      <x:c r="E545" s="9"/>
      <x:c r="F545" s="9"/>
      <x:c r="G545" s="9"/>
      <x:c r="H545" s="9"/>
      <x:c r="I545" s="13"/>
      <x:c r="J545" s="15"/>
      <x:c r="K545" s="15"/>
      <x:c r="L545" s="17" t="str">
        <x:f>IF(B545="","",IF(NOT(AND(ISNUMBER(J545),ISNUMBER(K545))),"",SUM(J545:K545)))</x:f>
      </x:c>
      <x:c r="M545" s="15"/>
      <x:c r="N545" s="17" t="str">
        <x:f>IF(OR(B545="",D545&lt;&gt;"pagada",NOT(ISNUMBER(J545)),NOT(ISNUMBER(M545))),"",J545-M545)</x:f>
      </x:c>
      <x:c r="O545" s="9"/>
      <x:c r="P545" s="9"/>
      <x:c r="Q545" s="1" t="str">
        <x:f>IF(B545="","",IF(COUNTIFS($B$7:$B$1006,B545,$C$7:$C$1006,C545)&gt;1,"ID duplicado",IF(OR(A545="",C545="",D545="",E545="",F545="",I545="",J545="",K545="",O545=""),"Completar datos",IF(NOT(ISNUMBER(M545)),"Falta costo histórico","Revisar soporte"))))</x:f>
      </x:c>
      <x:c r="R545" s="9" t="n">
        <x:f>IF(B545="",0,IF(AND(D545="pagada",NOT(ISNUMBER(M545))),1,0))</x:f>
        <x:v>0</x:v>
      </x:c>
    </x:row>
    <x:row r="546" ht="22" customHeight="1">
      <x:c r="A546" s="11"/>
      <x:c r="B546" s="9"/>
      <x:c r="C546" s="9"/>
      <x:c r="D546" s="9"/>
      <x:c r="E546" s="9"/>
      <x:c r="F546" s="9"/>
      <x:c r="G546" s="9"/>
      <x:c r="H546" s="9"/>
      <x:c r="I546" s="13"/>
      <x:c r="J546" s="15"/>
      <x:c r="K546" s="15"/>
      <x:c r="L546" s="17" t="str">
        <x:f>IF(B546="","",IF(NOT(AND(ISNUMBER(J546),ISNUMBER(K546))),"",SUM(J546:K546)))</x:f>
      </x:c>
      <x:c r="M546" s="15"/>
      <x:c r="N546" s="17" t="str">
        <x:f>IF(OR(B546="",D546&lt;&gt;"pagada",NOT(ISNUMBER(J546)),NOT(ISNUMBER(M546))),"",J546-M546)</x:f>
      </x:c>
      <x:c r="O546" s="9"/>
      <x:c r="P546" s="9"/>
      <x:c r="Q546" s="1" t="str">
        <x:f>IF(B546="","",IF(COUNTIFS($B$7:$B$1006,B546,$C$7:$C$1006,C546)&gt;1,"ID duplicado",IF(OR(A546="",C546="",D546="",E546="",F546="",I546="",J546="",K546="",O546=""),"Completar datos",IF(NOT(ISNUMBER(M546)),"Falta costo histórico","Revisar soporte"))))</x:f>
      </x:c>
      <x:c r="R546" s="9" t="n">
        <x:f>IF(B546="",0,IF(AND(D546="pagada",NOT(ISNUMBER(M546))),1,0))</x:f>
        <x:v>0</x:v>
      </x:c>
    </x:row>
    <x:row r="547" ht="22" customHeight="1">
      <x:c r="A547" s="11"/>
      <x:c r="B547" s="9"/>
      <x:c r="C547" s="9"/>
      <x:c r="D547" s="9"/>
      <x:c r="E547" s="9"/>
      <x:c r="F547" s="9"/>
      <x:c r="G547" s="9"/>
      <x:c r="H547" s="9"/>
      <x:c r="I547" s="13"/>
      <x:c r="J547" s="15"/>
      <x:c r="K547" s="15"/>
      <x:c r="L547" s="17" t="str">
        <x:f>IF(B547="","",IF(NOT(AND(ISNUMBER(J547),ISNUMBER(K547))),"",SUM(J547:K547)))</x:f>
      </x:c>
      <x:c r="M547" s="15"/>
      <x:c r="N547" s="17" t="str">
        <x:f>IF(OR(B547="",D547&lt;&gt;"pagada",NOT(ISNUMBER(J547)),NOT(ISNUMBER(M547))),"",J547-M547)</x:f>
      </x:c>
      <x:c r="O547" s="9"/>
      <x:c r="P547" s="9"/>
      <x:c r="Q547" s="1" t="str">
        <x:f>IF(B547="","",IF(COUNTIFS($B$7:$B$1006,B547,$C$7:$C$1006,C547)&gt;1,"ID duplicado",IF(OR(A547="",C547="",D547="",E547="",F547="",I547="",J547="",K547="",O547=""),"Completar datos",IF(NOT(ISNUMBER(M547)),"Falta costo histórico","Revisar soporte"))))</x:f>
      </x:c>
      <x:c r="R547" s="9" t="n">
        <x:f>IF(B547="",0,IF(AND(D547="pagada",NOT(ISNUMBER(M547))),1,0))</x:f>
        <x:v>0</x:v>
      </x:c>
    </x:row>
    <x:row r="548" ht="22" customHeight="1">
      <x:c r="A548" s="11"/>
      <x:c r="B548" s="9"/>
      <x:c r="C548" s="9"/>
      <x:c r="D548" s="9"/>
      <x:c r="E548" s="9"/>
      <x:c r="F548" s="9"/>
      <x:c r="G548" s="9"/>
      <x:c r="H548" s="9"/>
      <x:c r="I548" s="13"/>
      <x:c r="J548" s="15"/>
      <x:c r="K548" s="15"/>
      <x:c r="L548" s="17" t="str">
        <x:f>IF(B548="","",IF(NOT(AND(ISNUMBER(J548),ISNUMBER(K548))),"",SUM(J548:K548)))</x:f>
      </x:c>
      <x:c r="M548" s="15"/>
      <x:c r="N548" s="17" t="str">
        <x:f>IF(OR(B548="",D548&lt;&gt;"pagada",NOT(ISNUMBER(J548)),NOT(ISNUMBER(M548))),"",J548-M548)</x:f>
      </x:c>
      <x:c r="O548" s="9"/>
      <x:c r="P548" s="9"/>
      <x:c r="Q548" s="1" t="str">
        <x:f>IF(B548="","",IF(COUNTIFS($B$7:$B$1006,B548,$C$7:$C$1006,C548)&gt;1,"ID duplicado",IF(OR(A548="",C548="",D548="",E548="",F548="",I548="",J548="",K548="",O548=""),"Completar datos",IF(NOT(ISNUMBER(M548)),"Falta costo histórico","Revisar soporte"))))</x:f>
      </x:c>
      <x:c r="R548" s="9" t="n">
        <x:f>IF(B548="",0,IF(AND(D548="pagada",NOT(ISNUMBER(M548))),1,0))</x:f>
        <x:v>0</x:v>
      </x:c>
    </x:row>
    <x:row r="549" ht="22" customHeight="1">
      <x:c r="A549" s="11"/>
      <x:c r="B549" s="9"/>
      <x:c r="C549" s="9"/>
      <x:c r="D549" s="9"/>
      <x:c r="E549" s="9"/>
      <x:c r="F549" s="9"/>
      <x:c r="G549" s="9"/>
      <x:c r="H549" s="9"/>
      <x:c r="I549" s="13"/>
      <x:c r="J549" s="15"/>
      <x:c r="K549" s="15"/>
      <x:c r="L549" s="17" t="str">
        <x:f>IF(B549="","",IF(NOT(AND(ISNUMBER(J549),ISNUMBER(K549))),"",SUM(J549:K549)))</x:f>
      </x:c>
      <x:c r="M549" s="15"/>
      <x:c r="N549" s="17" t="str">
        <x:f>IF(OR(B549="",D549&lt;&gt;"pagada",NOT(ISNUMBER(J549)),NOT(ISNUMBER(M549))),"",J549-M549)</x:f>
      </x:c>
      <x:c r="O549" s="9"/>
      <x:c r="P549" s="9"/>
      <x:c r="Q549" s="1" t="str">
        <x:f>IF(B549="","",IF(COUNTIFS($B$7:$B$1006,B549,$C$7:$C$1006,C549)&gt;1,"ID duplicado",IF(OR(A549="",C549="",D549="",E549="",F549="",I549="",J549="",K549="",O549=""),"Completar datos",IF(NOT(ISNUMBER(M549)),"Falta costo histórico","Revisar soporte"))))</x:f>
      </x:c>
      <x:c r="R549" s="9" t="n">
        <x:f>IF(B549="",0,IF(AND(D549="pagada",NOT(ISNUMBER(M549))),1,0))</x:f>
        <x:v>0</x:v>
      </x:c>
    </x:row>
    <x:row r="550" ht="22" customHeight="1">
      <x:c r="A550" s="11"/>
      <x:c r="B550" s="9"/>
      <x:c r="C550" s="9"/>
      <x:c r="D550" s="9"/>
      <x:c r="E550" s="9"/>
      <x:c r="F550" s="9"/>
      <x:c r="G550" s="9"/>
      <x:c r="H550" s="9"/>
      <x:c r="I550" s="13"/>
      <x:c r="J550" s="15"/>
      <x:c r="K550" s="15"/>
      <x:c r="L550" s="17" t="str">
        <x:f>IF(B550="","",IF(NOT(AND(ISNUMBER(J550),ISNUMBER(K550))),"",SUM(J550:K550)))</x:f>
      </x:c>
      <x:c r="M550" s="15"/>
      <x:c r="N550" s="17" t="str">
        <x:f>IF(OR(B550="",D550&lt;&gt;"pagada",NOT(ISNUMBER(J550)),NOT(ISNUMBER(M550))),"",J550-M550)</x:f>
      </x:c>
      <x:c r="O550" s="9"/>
      <x:c r="P550" s="9"/>
      <x:c r="Q550" s="1" t="str">
        <x:f>IF(B550="","",IF(COUNTIFS($B$7:$B$1006,B550,$C$7:$C$1006,C550)&gt;1,"ID duplicado",IF(OR(A550="",C550="",D550="",E550="",F550="",I550="",J550="",K550="",O550=""),"Completar datos",IF(NOT(ISNUMBER(M550)),"Falta costo histórico","Revisar soporte"))))</x:f>
      </x:c>
      <x:c r="R550" s="9" t="n">
        <x:f>IF(B550="",0,IF(AND(D550="pagada",NOT(ISNUMBER(M550))),1,0))</x:f>
        <x:v>0</x:v>
      </x:c>
    </x:row>
    <x:row r="551" ht="22" customHeight="1">
      <x:c r="A551" s="11"/>
      <x:c r="B551" s="9"/>
      <x:c r="C551" s="9"/>
      <x:c r="D551" s="9"/>
      <x:c r="E551" s="9"/>
      <x:c r="F551" s="9"/>
      <x:c r="G551" s="9"/>
      <x:c r="H551" s="9"/>
      <x:c r="I551" s="13"/>
      <x:c r="J551" s="15"/>
      <x:c r="K551" s="15"/>
      <x:c r="L551" s="17" t="str">
        <x:f>IF(B551="","",IF(NOT(AND(ISNUMBER(J551),ISNUMBER(K551))),"",SUM(J551:K551)))</x:f>
      </x:c>
      <x:c r="M551" s="15"/>
      <x:c r="N551" s="17" t="str">
        <x:f>IF(OR(B551="",D551&lt;&gt;"pagada",NOT(ISNUMBER(J551)),NOT(ISNUMBER(M551))),"",J551-M551)</x:f>
      </x:c>
      <x:c r="O551" s="9"/>
      <x:c r="P551" s="9"/>
      <x:c r="Q551" s="1" t="str">
        <x:f>IF(B551="","",IF(COUNTIFS($B$7:$B$1006,B551,$C$7:$C$1006,C551)&gt;1,"ID duplicado",IF(OR(A551="",C551="",D551="",E551="",F551="",I551="",J551="",K551="",O551=""),"Completar datos",IF(NOT(ISNUMBER(M551)),"Falta costo histórico","Revisar soporte"))))</x:f>
      </x:c>
      <x:c r="R551" s="9" t="n">
        <x:f>IF(B551="",0,IF(AND(D551="pagada",NOT(ISNUMBER(M551))),1,0))</x:f>
        <x:v>0</x:v>
      </x:c>
    </x:row>
    <x:row r="552" ht="22" customHeight="1">
      <x:c r="A552" s="11"/>
      <x:c r="B552" s="9"/>
      <x:c r="C552" s="9"/>
      <x:c r="D552" s="9"/>
      <x:c r="E552" s="9"/>
      <x:c r="F552" s="9"/>
      <x:c r="G552" s="9"/>
      <x:c r="H552" s="9"/>
      <x:c r="I552" s="13"/>
      <x:c r="J552" s="15"/>
      <x:c r="K552" s="15"/>
      <x:c r="L552" s="17" t="str">
        <x:f>IF(B552="","",IF(NOT(AND(ISNUMBER(J552),ISNUMBER(K552))),"",SUM(J552:K552)))</x:f>
      </x:c>
      <x:c r="M552" s="15"/>
      <x:c r="N552" s="17" t="str">
        <x:f>IF(OR(B552="",D552&lt;&gt;"pagada",NOT(ISNUMBER(J552)),NOT(ISNUMBER(M552))),"",J552-M552)</x:f>
      </x:c>
      <x:c r="O552" s="9"/>
      <x:c r="P552" s="9"/>
      <x:c r="Q552" s="1" t="str">
        <x:f>IF(B552="","",IF(COUNTIFS($B$7:$B$1006,B552,$C$7:$C$1006,C552)&gt;1,"ID duplicado",IF(OR(A552="",C552="",D552="",E552="",F552="",I552="",J552="",K552="",O552=""),"Completar datos",IF(NOT(ISNUMBER(M552)),"Falta costo histórico","Revisar soporte"))))</x:f>
      </x:c>
      <x:c r="R552" s="9" t="n">
        <x:f>IF(B552="",0,IF(AND(D552="pagada",NOT(ISNUMBER(M552))),1,0))</x:f>
        <x:v>0</x:v>
      </x:c>
    </x:row>
    <x:row r="553" ht="22" customHeight="1">
      <x:c r="A553" s="11"/>
      <x:c r="B553" s="9"/>
      <x:c r="C553" s="9"/>
      <x:c r="D553" s="9"/>
      <x:c r="E553" s="9"/>
      <x:c r="F553" s="9"/>
      <x:c r="G553" s="9"/>
      <x:c r="H553" s="9"/>
      <x:c r="I553" s="13"/>
      <x:c r="J553" s="15"/>
      <x:c r="K553" s="15"/>
      <x:c r="L553" s="17" t="str">
        <x:f>IF(B553="","",IF(NOT(AND(ISNUMBER(J553),ISNUMBER(K553))),"",SUM(J553:K553)))</x:f>
      </x:c>
      <x:c r="M553" s="15"/>
      <x:c r="N553" s="17" t="str">
        <x:f>IF(OR(B553="",D553&lt;&gt;"pagada",NOT(ISNUMBER(J553)),NOT(ISNUMBER(M553))),"",J553-M553)</x:f>
      </x:c>
      <x:c r="O553" s="9"/>
      <x:c r="P553" s="9"/>
      <x:c r="Q553" s="1" t="str">
        <x:f>IF(B553="","",IF(COUNTIFS($B$7:$B$1006,B553,$C$7:$C$1006,C553)&gt;1,"ID duplicado",IF(OR(A553="",C553="",D553="",E553="",F553="",I553="",J553="",K553="",O553=""),"Completar datos",IF(NOT(ISNUMBER(M553)),"Falta costo histórico","Revisar soporte"))))</x:f>
      </x:c>
      <x:c r="R553" s="9" t="n">
        <x:f>IF(B553="",0,IF(AND(D553="pagada",NOT(ISNUMBER(M553))),1,0))</x:f>
        <x:v>0</x:v>
      </x:c>
    </x:row>
    <x:row r="554" ht="22" customHeight="1">
      <x:c r="A554" s="11"/>
      <x:c r="B554" s="9"/>
      <x:c r="C554" s="9"/>
      <x:c r="D554" s="9"/>
      <x:c r="E554" s="9"/>
      <x:c r="F554" s="9"/>
      <x:c r="G554" s="9"/>
      <x:c r="H554" s="9"/>
      <x:c r="I554" s="13"/>
      <x:c r="J554" s="15"/>
      <x:c r="K554" s="15"/>
      <x:c r="L554" s="17" t="str">
        <x:f>IF(B554="","",IF(NOT(AND(ISNUMBER(J554),ISNUMBER(K554))),"",SUM(J554:K554)))</x:f>
      </x:c>
      <x:c r="M554" s="15"/>
      <x:c r="N554" s="17" t="str">
        <x:f>IF(OR(B554="",D554&lt;&gt;"pagada",NOT(ISNUMBER(J554)),NOT(ISNUMBER(M554))),"",J554-M554)</x:f>
      </x:c>
      <x:c r="O554" s="9"/>
      <x:c r="P554" s="9"/>
      <x:c r="Q554" s="1" t="str">
        <x:f>IF(B554="","",IF(COUNTIFS($B$7:$B$1006,B554,$C$7:$C$1006,C554)&gt;1,"ID duplicado",IF(OR(A554="",C554="",D554="",E554="",F554="",I554="",J554="",K554="",O554=""),"Completar datos",IF(NOT(ISNUMBER(M554)),"Falta costo histórico","Revisar soporte"))))</x:f>
      </x:c>
      <x:c r="R554" s="9" t="n">
        <x:f>IF(B554="",0,IF(AND(D554="pagada",NOT(ISNUMBER(M554))),1,0))</x:f>
        <x:v>0</x:v>
      </x:c>
    </x:row>
    <x:row r="555" ht="22" customHeight="1">
      <x:c r="A555" s="11"/>
      <x:c r="B555" s="9"/>
      <x:c r="C555" s="9"/>
      <x:c r="D555" s="9"/>
      <x:c r="E555" s="9"/>
      <x:c r="F555" s="9"/>
      <x:c r="G555" s="9"/>
      <x:c r="H555" s="9"/>
      <x:c r="I555" s="13"/>
      <x:c r="J555" s="15"/>
      <x:c r="K555" s="15"/>
      <x:c r="L555" s="17" t="str">
        <x:f>IF(B555="","",IF(NOT(AND(ISNUMBER(J555),ISNUMBER(K555))),"",SUM(J555:K555)))</x:f>
      </x:c>
      <x:c r="M555" s="15"/>
      <x:c r="N555" s="17" t="str">
        <x:f>IF(OR(B555="",D555&lt;&gt;"pagada",NOT(ISNUMBER(J555)),NOT(ISNUMBER(M555))),"",J555-M555)</x:f>
      </x:c>
      <x:c r="O555" s="9"/>
      <x:c r="P555" s="9"/>
      <x:c r="Q555" s="1" t="str">
        <x:f>IF(B555="","",IF(COUNTIFS($B$7:$B$1006,B555,$C$7:$C$1006,C555)&gt;1,"ID duplicado",IF(OR(A555="",C555="",D555="",E555="",F555="",I555="",J555="",K555="",O555=""),"Completar datos",IF(NOT(ISNUMBER(M555)),"Falta costo histórico","Revisar soporte"))))</x:f>
      </x:c>
      <x:c r="R555" s="9" t="n">
        <x:f>IF(B555="",0,IF(AND(D555="pagada",NOT(ISNUMBER(M555))),1,0))</x:f>
        <x:v>0</x:v>
      </x:c>
    </x:row>
    <x:row r="556" ht="22" customHeight="1">
      <x:c r="A556" s="11"/>
      <x:c r="B556" s="9"/>
      <x:c r="C556" s="9"/>
      <x:c r="D556" s="9"/>
      <x:c r="E556" s="9"/>
      <x:c r="F556" s="9"/>
      <x:c r="G556" s="9"/>
      <x:c r="H556" s="9"/>
      <x:c r="I556" s="13"/>
      <x:c r="J556" s="15"/>
      <x:c r="K556" s="15"/>
      <x:c r="L556" s="17" t="str">
        <x:f>IF(B556="","",IF(NOT(AND(ISNUMBER(J556),ISNUMBER(K556))),"",SUM(J556:K556)))</x:f>
      </x:c>
      <x:c r="M556" s="15"/>
      <x:c r="N556" s="17" t="str">
        <x:f>IF(OR(B556="",D556&lt;&gt;"pagada",NOT(ISNUMBER(J556)),NOT(ISNUMBER(M556))),"",J556-M556)</x:f>
      </x:c>
      <x:c r="O556" s="9"/>
      <x:c r="P556" s="9"/>
      <x:c r="Q556" s="1" t="str">
        <x:f>IF(B556="","",IF(COUNTIFS($B$7:$B$1006,B556,$C$7:$C$1006,C556)&gt;1,"ID duplicado",IF(OR(A556="",C556="",D556="",E556="",F556="",I556="",J556="",K556="",O556=""),"Completar datos",IF(NOT(ISNUMBER(M556)),"Falta costo histórico","Revisar soporte"))))</x:f>
      </x:c>
      <x:c r="R556" s="9" t="n">
        <x:f>IF(B556="",0,IF(AND(D556="pagada",NOT(ISNUMBER(M556))),1,0))</x:f>
        <x:v>0</x:v>
      </x:c>
    </x:row>
    <x:row r="557" ht="22" customHeight="1">
      <x:c r="A557" s="11"/>
      <x:c r="B557" s="9"/>
      <x:c r="C557" s="9"/>
      <x:c r="D557" s="9"/>
      <x:c r="E557" s="9"/>
      <x:c r="F557" s="9"/>
      <x:c r="G557" s="9"/>
      <x:c r="H557" s="9"/>
      <x:c r="I557" s="13"/>
      <x:c r="J557" s="15"/>
      <x:c r="K557" s="15"/>
      <x:c r="L557" s="17" t="str">
        <x:f>IF(B557="","",IF(NOT(AND(ISNUMBER(J557),ISNUMBER(K557))),"",SUM(J557:K557)))</x:f>
      </x:c>
      <x:c r="M557" s="15"/>
      <x:c r="N557" s="17" t="str">
        <x:f>IF(OR(B557="",D557&lt;&gt;"pagada",NOT(ISNUMBER(J557)),NOT(ISNUMBER(M557))),"",J557-M557)</x:f>
      </x:c>
      <x:c r="O557" s="9"/>
      <x:c r="P557" s="9"/>
      <x:c r="Q557" s="1" t="str">
        <x:f>IF(B557="","",IF(COUNTIFS($B$7:$B$1006,B557,$C$7:$C$1006,C557)&gt;1,"ID duplicado",IF(OR(A557="",C557="",D557="",E557="",F557="",I557="",J557="",K557="",O557=""),"Completar datos",IF(NOT(ISNUMBER(M557)),"Falta costo histórico","Revisar soporte"))))</x:f>
      </x:c>
      <x:c r="R557" s="9" t="n">
        <x:f>IF(B557="",0,IF(AND(D557="pagada",NOT(ISNUMBER(M557))),1,0))</x:f>
        <x:v>0</x:v>
      </x:c>
    </x:row>
    <x:row r="558" ht="22" customHeight="1">
      <x:c r="A558" s="11"/>
      <x:c r="B558" s="9"/>
      <x:c r="C558" s="9"/>
      <x:c r="D558" s="9"/>
      <x:c r="E558" s="9"/>
      <x:c r="F558" s="9"/>
      <x:c r="G558" s="9"/>
      <x:c r="H558" s="9"/>
      <x:c r="I558" s="13"/>
      <x:c r="J558" s="15"/>
      <x:c r="K558" s="15"/>
      <x:c r="L558" s="17" t="str">
        <x:f>IF(B558="","",IF(NOT(AND(ISNUMBER(J558),ISNUMBER(K558))),"",SUM(J558:K558)))</x:f>
      </x:c>
      <x:c r="M558" s="15"/>
      <x:c r="N558" s="17" t="str">
        <x:f>IF(OR(B558="",D558&lt;&gt;"pagada",NOT(ISNUMBER(J558)),NOT(ISNUMBER(M558))),"",J558-M558)</x:f>
      </x:c>
      <x:c r="O558" s="9"/>
      <x:c r="P558" s="9"/>
      <x:c r="Q558" s="1" t="str">
        <x:f>IF(B558="","",IF(COUNTIFS($B$7:$B$1006,B558,$C$7:$C$1006,C558)&gt;1,"ID duplicado",IF(OR(A558="",C558="",D558="",E558="",F558="",I558="",J558="",K558="",O558=""),"Completar datos",IF(NOT(ISNUMBER(M558)),"Falta costo histórico","Revisar soporte"))))</x:f>
      </x:c>
      <x:c r="R558" s="9" t="n">
        <x:f>IF(B558="",0,IF(AND(D558="pagada",NOT(ISNUMBER(M558))),1,0))</x:f>
        <x:v>0</x:v>
      </x:c>
    </x:row>
    <x:row r="559" ht="22" customHeight="1">
      <x:c r="A559" s="11"/>
      <x:c r="B559" s="9"/>
      <x:c r="C559" s="9"/>
      <x:c r="D559" s="9"/>
      <x:c r="E559" s="9"/>
      <x:c r="F559" s="9"/>
      <x:c r="G559" s="9"/>
      <x:c r="H559" s="9"/>
      <x:c r="I559" s="13"/>
      <x:c r="J559" s="15"/>
      <x:c r="K559" s="15"/>
      <x:c r="L559" s="17" t="str">
        <x:f>IF(B559="","",IF(NOT(AND(ISNUMBER(J559),ISNUMBER(K559))),"",SUM(J559:K559)))</x:f>
      </x:c>
      <x:c r="M559" s="15"/>
      <x:c r="N559" s="17" t="str">
        <x:f>IF(OR(B559="",D559&lt;&gt;"pagada",NOT(ISNUMBER(J559)),NOT(ISNUMBER(M559))),"",J559-M559)</x:f>
      </x:c>
      <x:c r="O559" s="9"/>
      <x:c r="P559" s="9"/>
      <x:c r="Q559" s="1" t="str">
        <x:f>IF(B559="","",IF(COUNTIFS($B$7:$B$1006,B559,$C$7:$C$1006,C559)&gt;1,"ID duplicado",IF(OR(A559="",C559="",D559="",E559="",F559="",I559="",J559="",K559="",O559=""),"Completar datos",IF(NOT(ISNUMBER(M559)),"Falta costo histórico","Revisar soporte"))))</x:f>
      </x:c>
      <x:c r="R559" s="9" t="n">
        <x:f>IF(B559="",0,IF(AND(D559="pagada",NOT(ISNUMBER(M559))),1,0))</x:f>
        <x:v>0</x:v>
      </x:c>
    </x:row>
    <x:row r="560" ht="22" customHeight="1">
      <x:c r="A560" s="11"/>
      <x:c r="B560" s="9"/>
      <x:c r="C560" s="9"/>
      <x:c r="D560" s="9"/>
      <x:c r="E560" s="9"/>
      <x:c r="F560" s="9"/>
      <x:c r="G560" s="9"/>
      <x:c r="H560" s="9"/>
      <x:c r="I560" s="13"/>
      <x:c r="J560" s="15"/>
      <x:c r="K560" s="15"/>
      <x:c r="L560" s="17" t="str">
        <x:f>IF(B560="","",IF(NOT(AND(ISNUMBER(J560),ISNUMBER(K560))),"",SUM(J560:K560)))</x:f>
      </x:c>
      <x:c r="M560" s="15"/>
      <x:c r="N560" s="17" t="str">
        <x:f>IF(OR(B560="",D560&lt;&gt;"pagada",NOT(ISNUMBER(J560)),NOT(ISNUMBER(M560))),"",J560-M560)</x:f>
      </x:c>
      <x:c r="O560" s="9"/>
      <x:c r="P560" s="9"/>
      <x:c r="Q560" s="1" t="str">
        <x:f>IF(B560="","",IF(COUNTIFS($B$7:$B$1006,B560,$C$7:$C$1006,C560)&gt;1,"ID duplicado",IF(OR(A560="",C560="",D560="",E560="",F560="",I560="",J560="",K560="",O560=""),"Completar datos",IF(NOT(ISNUMBER(M560)),"Falta costo histórico","Revisar soporte"))))</x:f>
      </x:c>
      <x:c r="R560" s="9" t="n">
        <x:f>IF(B560="",0,IF(AND(D560="pagada",NOT(ISNUMBER(M560))),1,0))</x:f>
        <x:v>0</x:v>
      </x:c>
    </x:row>
    <x:row r="561" ht="22" customHeight="1">
      <x:c r="A561" s="11"/>
      <x:c r="B561" s="9"/>
      <x:c r="C561" s="9"/>
      <x:c r="D561" s="9"/>
      <x:c r="E561" s="9"/>
      <x:c r="F561" s="9"/>
      <x:c r="G561" s="9"/>
      <x:c r="H561" s="9"/>
      <x:c r="I561" s="13"/>
      <x:c r="J561" s="15"/>
      <x:c r="K561" s="15"/>
      <x:c r="L561" s="17" t="str">
        <x:f>IF(B561="","",IF(NOT(AND(ISNUMBER(J561),ISNUMBER(K561))),"",SUM(J561:K561)))</x:f>
      </x:c>
      <x:c r="M561" s="15"/>
      <x:c r="N561" s="17" t="str">
        <x:f>IF(OR(B561="",D561&lt;&gt;"pagada",NOT(ISNUMBER(J561)),NOT(ISNUMBER(M561))),"",J561-M561)</x:f>
      </x:c>
      <x:c r="O561" s="9"/>
      <x:c r="P561" s="9"/>
      <x:c r="Q561" s="1" t="str">
        <x:f>IF(B561="","",IF(COUNTIFS($B$7:$B$1006,B561,$C$7:$C$1006,C561)&gt;1,"ID duplicado",IF(OR(A561="",C561="",D561="",E561="",F561="",I561="",J561="",K561="",O561=""),"Completar datos",IF(NOT(ISNUMBER(M561)),"Falta costo histórico","Revisar soporte"))))</x:f>
      </x:c>
      <x:c r="R561" s="9" t="n">
        <x:f>IF(B561="",0,IF(AND(D561="pagada",NOT(ISNUMBER(M561))),1,0))</x:f>
        <x:v>0</x:v>
      </x:c>
    </x:row>
    <x:row r="562" ht="22" customHeight="1">
      <x:c r="A562" s="11"/>
      <x:c r="B562" s="9"/>
      <x:c r="C562" s="9"/>
      <x:c r="D562" s="9"/>
      <x:c r="E562" s="9"/>
      <x:c r="F562" s="9"/>
      <x:c r="G562" s="9"/>
      <x:c r="H562" s="9"/>
      <x:c r="I562" s="13"/>
      <x:c r="J562" s="15"/>
      <x:c r="K562" s="15"/>
      <x:c r="L562" s="17" t="str">
        <x:f>IF(B562="","",IF(NOT(AND(ISNUMBER(J562),ISNUMBER(K562))),"",SUM(J562:K562)))</x:f>
      </x:c>
      <x:c r="M562" s="15"/>
      <x:c r="N562" s="17" t="str">
        <x:f>IF(OR(B562="",D562&lt;&gt;"pagada",NOT(ISNUMBER(J562)),NOT(ISNUMBER(M562))),"",J562-M562)</x:f>
      </x:c>
      <x:c r="O562" s="9"/>
      <x:c r="P562" s="9"/>
      <x:c r="Q562" s="1" t="str">
        <x:f>IF(B562="","",IF(COUNTIFS($B$7:$B$1006,B562,$C$7:$C$1006,C562)&gt;1,"ID duplicado",IF(OR(A562="",C562="",D562="",E562="",F562="",I562="",J562="",K562="",O562=""),"Completar datos",IF(NOT(ISNUMBER(M562)),"Falta costo histórico","Revisar soporte"))))</x:f>
      </x:c>
      <x:c r="R562" s="9" t="n">
        <x:f>IF(B562="",0,IF(AND(D562="pagada",NOT(ISNUMBER(M562))),1,0))</x:f>
        <x:v>0</x:v>
      </x:c>
    </x:row>
    <x:row r="563" ht="22" customHeight="1">
      <x:c r="A563" s="11"/>
      <x:c r="B563" s="9"/>
      <x:c r="C563" s="9"/>
      <x:c r="D563" s="9"/>
      <x:c r="E563" s="9"/>
      <x:c r="F563" s="9"/>
      <x:c r="G563" s="9"/>
      <x:c r="H563" s="9"/>
      <x:c r="I563" s="13"/>
      <x:c r="J563" s="15"/>
      <x:c r="K563" s="15"/>
      <x:c r="L563" s="17" t="str">
        <x:f>IF(B563="","",IF(NOT(AND(ISNUMBER(J563),ISNUMBER(K563))),"",SUM(J563:K563)))</x:f>
      </x:c>
      <x:c r="M563" s="15"/>
      <x:c r="N563" s="17" t="str">
        <x:f>IF(OR(B563="",D563&lt;&gt;"pagada",NOT(ISNUMBER(J563)),NOT(ISNUMBER(M563))),"",J563-M563)</x:f>
      </x:c>
      <x:c r="O563" s="9"/>
      <x:c r="P563" s="9"/>
      <x:c r="Q563" s="1" t="str">
        <x:f>IF(B563="","",IF(COUNTIFS($B$7:$B$1006,B563,$C$7:$C$1006,C563)&gt;1,"ID duplicado",IF(OR(A563="",C563="",D563="",E563="",F563="",I563="",J563="",K563="",O563=""),"Completar datos",IF(NOT(ISNUMBER(M563)),"Falta costo histórico","Revisar soporte"))))</x:f>
      </x:c>
      <x:c r="R563" s="9" t="n">
        <x:f>IF(B563="",0,IF(AND(D563="pagada",NOT(ISNUMBER(M563))),1,0))</x:f>
        <x:v>0</x:v>
      </x:c>
    </x:row>
    <x:row r="564" ht="22" customHeight="1">
      <x:c r="A564" s="11"/>
      <x:c r="B564" s="9"/>
      <x:c r="C564" s="9"/>
      <x:c r="D564" s="9"/>
      <x:c r="E564" s="9"/>
      <x:c r="F564" s="9"/>
      <x:c r="G564" s="9"/>
      <x:c r="H564" s="9"/>
      <x:c r="I564" s="13"/>
      <x:c r="J564" s="15"/>
      <x:c r="K564" s="15"/>
      <x:c r="L564" s="17" t="str">
        <x:f>IF(B564="","",IF(NOT(AND(ISNUMBER(J564),ISNUMBER(K564))),"",SUM(J564:K564)))</x:f>
      </x:c>
      <x:c r="M564" s="15"/>
      <x:c r="N564" s="17" t="str">
        <x:f>IF(OR(B564="",D564&lt;&gt;"pagada",NOT(ISNUMBER(J564)),NOT(ISNUMBER(M564))),"",J564-M564)</x:f>
      </x:c>
      <x:c r="O564" s="9"/>
      <x:c r="P564" s="9"/>
      <x:c r="Q564" s="1" t="str">
        <x:f>IF(B564="","",IF(COUNTIFS($B$7:$B$1006,B564,$C$7:$C$1006,C564)&gt;1,"ID duplicado",IF(OR(A564="",C564="",D564="",E564="",F564="",I564="",J564="",K564="",O564=""),"Completar datos",IF(NOT(ISNUMBER(M564)),"Falta costo histórico","Revisar soporte"))))</x:f>
      </x:c>
      <x:c r="R564" s="9" t="n">
        <x:f>IF(B564="",0,IF(AND(D564="pagada",NOT(ISNUMBER(M564))),1,0))</x:f>
        <x:v>0</x:v>
      </x:c>
    </x:row>
    <x:row r="565" ht="22" customHeight="1">
      <x:c r="A565" s="11"/>
      <x:c r="B565" s="9"/>
      <x:c r="C565" s="9"/>
      <x:c r="D565" s="9"/>
      <x:c r="E565" s="9"/>
      <x:c r="F565" s="9"/>
      <x:c r="G565" s="9"/>
      <x:c r="H565" s="9"/>
      <x:c r="I565" s="13"/>
      <x:c r="J565" s="15"/>
      <x:c r="K565" s="15"/>
      <x:c r="L565" s="17" t="str">
        <x:f>IF(B565="","",IF(NOT(AND(ISNUMBER(J565),ISNUMBER(K565))),"",SUM(J565:K565)))</x:f>
      </x:c>
      <x:c r="M565" s="15"/>
      <x:c r="N565" s="17" t="str">
        <x:f>IF(OR(B565="",D565&lt;&gt;"pagada",NOT(ISNUMBER(J565)),NOT(ISNUMBER(M565))),"",J565-M565)</x:f>
      </x:c>
      <x:c r="O565" s="9"/>
      <x:c r="P565" s="9"/>
      <x:c r="Q565" s="1" t="str">
        <x:f>IF(B565="","",IF(COUNTIFS($B$7:$B$1006,B565,$C$7:$C$1006,C565)&gt;1,"ID duplicado",IF(OR(A565="",C565="",D565="",E565="",F565="",I565="",J565="",K565="",O565=""),"Completar datos",IF(NOT(ISNUMBER(M565)),"Falta costo histórico","Revisar soporte"))))</x:f>
      </x:c>
      <x:c r="R565" s="9" t="n">
        <x:f>IF(B565="",0,IF(AND(D565="pagada",NOT(ISNUMBER(M565))),1,0))</x:f>
        <x:v>0</x:v>
      </x:c>
    </x:row>
    <x:row r="566" ht="22" customHeight="1">
      <x:c r="A566" s="11"/>
      <x:c r="B566" s="9"/>
      <x:c r="C566" s="9"/>
      <x:c r="D566" s="9"/>
      <x:c r="E566" s="9"/>
      <x:c r="F566" s="9"/>
      <x:c r="G566" s="9"/>
      <x:c r="H566" s="9"/>
      <x:c r="I566" s="13"/>
      <x:c r="J566" s="15"/>
      <x:c r="K566" s="15"/>
      <x:c r="L566" s="17" t="str">
        <x:f>IF(B566="","",IF(NOT(AND(ISNUMBER(J566),ISNUMBER(K566))),"",SUM(J566:K566)))</x:f>
      </x:c>
      <x:c r="M566" s="15"/>
      <x:c r="N566" s="17" t="str">
        <x:f>IF(OR(B566="",D566&lt;&gt;"pagada",NOT(ISNUMBER(J566)),NOT(ISNUMBER(M566))),"",J566-M566)</x:f>
      </x:c>
      <x:c r="O566" s="9"/>
      <x:c r="P566" s="9"/>
      <x:c r="Q566" s="1" t="str">
        <x:f>IF(B566="","",IF(COUNTIFS($B$7:$B$1006,B566,$C$7:$C$1006,C566)&gt;1,"ID duplicado",IF(OR(A566="",C566="",D566="",E566="",F566="",I566="",J566="",K566="",O566=""),"Completar datos",IF(NOT(ISNUMBER(M566)),"Falta costo histórico","Revisar soporte"))))</x:f>
      </x:c>
      <x:c r="R566" s="9" t="n">
        <x:f>IF(B566="",0,IF(AND(D566="pagada",NOT(ISNUMBER(M566))),1,0))</x:f>
        <x:v>0</x:v>
      </x:c>
    </x:row>
    <x:row r="567" ht="22" customHeight="1">
      <x:c r="A567" s="11"/>
      <x:c r="B567" s="9"/>
      <x:c r="C567" s="9"/>
      <x:c r="D567" s="9"/>
      <x:c r="E567" s="9"/>
      <x:c r="F567" s="9"/>
      <x:c r="G567" s="9"/>
      <x:c r="H567" s="9"/>
      <x:c r="I567" s="13"/>
      <x:c r="J567" s="15"/>
      <x:c r="K567" s="15"/>
      <x:c r="L567" s="17" t="str">
        <x:f>IF(B567="","",IF(NOT(AND(ISNUMBER(J567),ISNUMBER(K567))),"",SUM(J567:K567)))</x:f>
      </x:c>
      <x:c r="M567" s="15"/>
      <x:c r="N567" s="17" t="str">
        <x:f>IF(OR(B567="",D567&lt;&gt;"pagada",NOT(ISNUMBER(J567)),NOT(ISNUMBER(M567))),"",J567-M567)</x:f>
      </x:c>
      <x:c r="O567" s="9"/>
      <x:c r="P567" s="9"/>
      <x:c r="Q567" s="1" t="str">
        <x:f>IF(B567="","",IF(COUNTIFS($B$7:$B$1006,B567,$C$7:$C$1006,C567)&gt;1,"ID duplicado",IF(OR(A567="",C567="",D567="",E567="",F567="",I567="",J567="",K567="",O567=""),"Completar datos",IF(NOT(ISNUMBER(M567)),"Falta costo histórico","Revisar soporte"))))</x:f>
      </x:c>
      <x:c r="R567" s="9" t="n">
        <x:f>IF(B567="",0,IF(AND(D567="pagada",NOT(ISNUMBER(M567))),1,0))</x:f>
        <x:v>0</x:v>
      </x:c>
    </x:row>
    <x:row r="568" ht="22" customHeight="1">
      <x:c r="A568" s="11"/>
      <x:c r="B568" s="9"/>
      <x:c r="C568" s="9"/>
      <x:c r="D568" s="9"/>
      <x:c r="E568" s="9"/>
      <x:c r="F568" s="9"/>
      <x:c r="G568" s="9"/>
      <x:c r="H568" s="9"/>
      <x:c r="I568" s="13"/>
      <x:c r="J568" s="15"/>
      <x:c r="K568" s="15"/>
      <x:c r="L568" s="17" t="str">
        <x:f>IF(B568="","",IF(NOT(AND(ISNUMBER(J568),ISNUMBER(K568))),"",SUM(J568:K568)))</x:f>
      </x:c>
      <x:c r="M568" s="15"/>
      <x:c r="N568" s="17" t="str">
        <x:f>IF(OR(B568="",D568&lt;&gt;"pagada",NOT(ISNUMBER(J568)),NOT(ISNUMBER(M568))),"",J568-M568)</x:f>
      </x:c>
      <x:c r="O568" s="9"/>
      <x:c r="P568" s="9"/>
      <x:c r="Q568" s="1" t="str">
        <x:f>IF(B568="","",IF(COUNTIFS($B$7:$B$1006,B568,$C$7:$C$1006,C568)&gt;1,"ID duplicado",IF(OR(A568="",C568="",D568="",E568="",F568="",I568="",J568="",K568="",O568=""),"Completar datos",IF(NOT(ISNUMBER(M568)),"Falta costo histórico","Revisar soporte"))))</x:f>
      </x:c>
      <x:c r="R568" s="9" t="n">
        <x:f>IF(B568="",0,IF(AND(D568="pagada",NOT(ISNUMBER(M568))),1,0))</x:f>
        <x:v>0</x:v>
      </x:c>
    </x:row>
    <x:row r="569" ht="22" customHeight="1">
      <x:c r="A569" s="11"/>
      <x:c r="B569" s="9"/>
      <x:c r="C569" s="9"/>
      <x:c r="D569" s="9"/>
      <x:c r="E569" s="9"/>
      <x:c r="F569" s="9"/>
      <x:c r="G569" s="9"/>
      <x:c r="H569" s="9"/>
      <x:c r="I569" s="13"/>
      <x:c r="J569" s="15"/>
      <x:c r="K569" s="15"/>
      <x:c r="L569" s="17" t="str">
        <x:f>IF(B569="","",IF(NOT(AND(ISNUMBER(J569),ISNUMBER(K569))),"",SUM(J569:K569)))</x:f>
      </x:c>
      <x:c r="M569" s="15"/>
      <x:c r="N569" s="17" t="str">
        <x:f>IF(OR(B569="",D569&lt;&gt;"pagada",NOT(ISNUMBER(J569)),NOT(ISNUMBER(M569))),"",J569-M569)</x:f>
      </x:c>
      <x:c r="O569" s="9"/>
      <x:c r="P569" s="9"/>
      <x:c r="Q569" s="1" t="str">
        <x:f>IF(B569="","",IF(COUNTIFS($B$7:$B$1006,B569,$C$7:$C$1006,C569)&gt;1,"ID duplicado",IF(OR(A569="",C569="",D569="",E569="",F569="",I569="",J569="",K569="",O569=""),"Completar datos",IF(NOT(ISNUMBER(M569)),"Falta costo histórico","Revisar soporte"))))</x:f>
      </x:c>
      <x:c r="R569" s="9" t="n">
        <x:f>IF(B569="",0,IF(AND(D569="pagada",NOT(ISNUMBER(M569))),1,0))</x:f>
        <x:v>0</x:v>
      </x:c>
    </x:row>
    <x:row r="570" ht="22" customHeight="1">
      <x:c r="A570" s="11"/>
      <x:c r="B570" s="9"/>
      <x:c r="C570" s="9"/>
      <x:c r="D570" s="9"/>
      <x:c r="E570" s="9"/>
      <x:c r="F570" s="9"/>
      <x:c r="G570" s="9"/>
      <x:c r="H570" s="9"/>
      <x:c r="I570" s="13"/>
      <x:c r="J570" s="15"/>
      <x:c r="K570" s="15"/>
      <x:c r="L570" s="17" t="str">
        <x:f>IF(B570="","",IF(NOT(AND(ISNUMBER(J570),ISNUMBER(K570))),"",SUM(J570:K570)))</x:f>
      </x:c>
      <x:c r="M570" s="15"/>
      <x:c r="N570" s="17" t="str">
        <x:f>IF(OR(B570="",D570&lt;&gt;"pagada",NOT(ISNUMBER(J570)),NOT(ISNUMBER(M570))),"",J570-M570)</x:f>
      </x:c>
      <x:c r="O570" s="9"/>
      <x:c r="P570" s="9"/>
      <x:c r="Q570" s="1" t="str">
        <x:f>IF(B570="","",IF(COUNTIFS($B$7:$B$1006,B570,$C$7:$C$1006,C570)&gt;1,"ID duplicado",IF(OR(A570="",C570="",D570="",E570="",F570="",I570="",J570="",K570="",O570=""),"Completar datos",IF(NOT(ISNUMBER(M570)),"Falta costo histórico","Revisar soporte"))))</x:f>
      </x:c>
      <x:c r="R570" s="9" t="n">
        <x:f>IF(B570="",0,IF(AND(D570="pagada",NOT(ISNUMBER(M570))),1,0))</x:f>
        <x:v>0</x:v>
      </x:c>
    </x:row>
    <x:row r="571" ht="22" customHeight="1">
      <x:c r="A571" s="11"/>
      <x:c r="B571" s="9"/>
      <x:c r="C571" s="9"/>
      <x:c r="D571" s="9"/>
      <x:c r="E571" s="9"/>
      <x:c r="F571" s="9"/>
      <x:c r="G571" s="9"/>
      <x:c r="H571" s="9"/>
      <x:c r="I571" s="13"/>
      <x:c r="J571" s="15"/>
      <x:c r="K571" s="15"/>
      <x:c r="L571" s="17" t="str">
        <x:f>IF(B571="","",IF(NOT(AND(ISNUMBER(J571),ISNUMBER(K571))),"",SUM(J571:K571)))</x:f>
      </x:c>
      <x:c r="M571" s="15"/>
      <x:c r="N571" s="17" t="str">
        <x:f>IF(OR(B571="",D571&lt;&gt;"pagada",NOT(ISNUMBER(J571)),NOT(ISNUMBER(M571))),"",J571-M571)</x:f>
      </x:c>
      <x:c r="O571" s="9"/>
      <x:c r="P571" s="9"/>
      <x:c r="Q571" s="1" t="str">
        <x:f>IF(B571="","",IF(COUNTIFS($B$7:$B$1006,B571,$C$7:$C$1006,C571)&gt;1,"ID duplicado",IF(OR(A571="",C571="",D571="",E571="",F571="",I571="",J571="",K571="",O571=""),"Completar datos",IF(NOT(ISNUMBER(M571)),"Falta costo histórico","Revisar soporte"))))</x:f>
      </x:c>
      <x:c r="R571" s="9" t="n">
        <x:f>IF(B571="",0,IF(AND(D571="pagada",NOT(ISNUMBER(M571))),1,0))</x:f>
        <x:v>0</x:v>
      </x:c>
    </x:row>
    <x:row r="572" ht="22" customHeight="1">
      <x:c r="A572" s="11"/>
      <x:c r="B572" s="9"/>
      <x:c r="C572" s="9"/>
      <x:c r="D572" s="9"/>
      <x:c r="E572" s="9"/>
      <x:c r="F572" s="9"/>
      <x:c r="G572" s="9"/>
      <x:c r="H572" s="9"/>
      <x:c r="I572" s="13"/>
      <x:c r="J572" s="15"/>
      <x:c r="K572" s="15"/>
      <x:c r="L572" s="17" t="str">
        <x:f>IF(B572="","",IF(NOT(AND(ISNUMBER(J572),ISNUMBER(K572))),"",SUM(J572:K572)))</x:f>
      </x:c>
      <x:c r="M572" s="15"/>
      <x:c r="N572" s="17" t="str">
        <x:f>IF(OR(B572="",D572&lt;&gt;"pagada",NOT(ISNUMBER(J572)),NOT(ISNUMBER(M572))),"",J572-M572)</x:f>
      </x:c>
      <x:c r="O572" s="9"/>
      <x:c r="P572" s="9"/>
      <x:c r="Q572" s="1" t="str">
        <x:f>IF(B572="","",IF(COUNTIFS($B$7:$B$1006,B572,$C$7:$C$1006,C572)&gt;1,"ID duplicado",IF(OR(A572="",C572="",D572="",E572="",F572="",I572="",J572="",K572="",O572=""),"Completar datos",IF(NOT(ISNUMBER(M572)),"Falta costo histórico","Revisar soporte"))))</x:f>
      </x:c>
      <x:c r="R572" s="9" t="n">
        <x:f>IF(B572="",0,IF(AND(D572="pagada",NOT(ISNUMBER(M572))),1,0))</x:f>
        <x:v>0</x:v>
      </x:c>
    </x:row>
    <x:row r="573" ht="22" customHeight="1">
      <x:c r="A573" s="11"/>
      <x:c r="B573" s="9"/>
      <x:c r="C573" s="9"/>
      <x:c r="D573" s="9"/>
      <x:c r="E573" s="9"/>
      <x:c r="F573" s="9"/>
      <x:c r="G573" s="9"/>
      <x:c r="H573" s="9"/>
      <x:c r="I573" s="13"/>
      <x:c r="J573" s="15"/>
      <x:c r="K573" s="15"/>
      <x:c r="L573" s="17" t="str">
        <x:f>IF(B573="","",IF(NOT(AND(ISNUMBER(J573),ISNUMBER(K573))),"",SUM(J573:K573)))</x:f>
      </x:c>
      <x:c r="M573" s="15"/>
      <x:c r="N573" s="17" t="str">
        <x:f>IF(OR(B573="",D573&lt;&gt;"pagada",NOT(ISNUMBER(J573)),NOT(ISNUMBER(M573))),"",J573-M573)</x:f>
      </x:c>
      <x:c r="O573" s="9"/>
      <x:c r="P573" s="9"/>
      <x:c r="Q573" s="1" t="str">
        <x:f>IF(B573="","",IF(COUNTIFS($B$7:$B$1006,B573,$C$7:$C$1006,C573)&gt;1,"ID duplicado",IF(OR(A573="",C573="",D573="",E573="",F573="",I573="",J573="",K573="",O573=""),"Completar datos",IF(NOT(ISNUMBER(M573)),"Falta costo histórico","Revisar soporte"))))</x:f>
      </x:c>
      <x:c r="R573" s="9" t="n">
        <x:f>IF(B573="",0,IF(AND(D573="pagada",NOT(ISNUMBER(M573))),1,0))</x:f>
        <x:v>0</x:v>
      </x:c>
    </x:row>
    <x:row r="574" ht="22" customHeight="1">
      <x:c r="A574" s="11"/>
      <x:c r="B574" s="9"/>
      <x:c r="C574" s="9"/>
      <x:c r="D574" s="9"/>
      <x:c r="E574" s="9"/>
      <x:c r="F574" s="9"/>
      <x:c r="G574" s="9"/>
      <x:c r="H574" s="9"/>
      <x:c r="I574" s="13"/>
      <x:c r="J574" s="15"/>
      <x:c r="K574" s="15"/>
      <x:c r="L574" s="17" t="str">
        <x:f>IF(B574="","",IF(NOT(AND(ISNUMBER(J574),ISNUMBER(K574))),"",SUM(J574:K574)))</x:f>
      </x:c>
      <x:c r="M574" s="15"/>
      <x:c r="N574" s="17" t="str">
        <x:f>IF(OR(B574="",D574&lt;&gt;"pagada",NOT(ISNUMBER(J574)),NOT(ISNUMBER(M574))),"",J574-M574)</x:f>
      </x:c>
      <x:c r="O574" s="9"/>
      <x:c r="P574" s="9"/>
      <x:c r="Q574" s="1" t="str">
        <x:f>IF(B574="","",IF(COUNTIFS($B$7:$B$1006,B574,$C$7:$C$1006,C574)&gt;1,"ID duplicado",IF(OR(A574="",C574="",D574="",E574="",F574="",I574="",J574="",K574="",O574=""),"Completar datos",IF(NOT(ISNUMBER(M574)),"Falta costo histórico","Revisar soporte"))))</x:f>
      </x:c>
      <x:c r="R574" s="9" t="n">
        <x:f>IF(B574="",0,IF(AND(D574="pagada",NOT(ISNUMBER(M574))),1,0))</x:f>
        <x:v>0</x:v>
      </x:c>
    </x:row>
    <x:row r="575" ht="22" customHeight="1">
      <x:c r="A575" s="11"/>
      <x:c r="B575" s="9"/>
      <x:c r="C575" s="9"/>
      <x:c r="D575" s="9"/>
      <x:c r="E575" s="9"/>
      <x:c r="F575" s="9"/>
      <x:c r="G575" s="9"/>
      <x:c r="H575" s="9"/>
      <x:c r="I575" s="13"/>
      <x:c r="J575" s="15"/>
      <x:c r="K575" s="15"/>
      <x:c r="L575" s="17" t="str">
        <x:f>IF(B575="","",IF(NOT(AND(ISNUMBER(J575),ISNUMBER(K575))),"",SUM(J575:K575)))</x:f>
      </x:c>
      <x:c r="M575" s="15"/>
      <x:c r="N575" s="17" t="str">
        <x:f>IF(OR(B575="",D575&lt;&gt;"pagada",NOT(ISNUMBER(J575)),NOT(ISNUMBER(M575))),"",J575-M575)</x:f>
      </x:c>
      <x:c r="O575" s="9"/>
      <x:c r="P575" s="9"/>
      <x:c r="Q575" s="1" t="str">
        <x:f>IF(B575="","",IF(COUNTIFS($B$7:$B$1006,B575,$C$7:$C$1006,C575)&gt;1,"ID duplicado",IF(OR(A575="",C575="",D575="",E575="",F575="",I575="",J575="",K575="",O575=""),"Completar datos",IF(NOT(ISNUMBER(M575)),"Falta costo histórico","Revisar soporte"))))</x:f>
      </x:c>
      <x:c r="R575" s="9" t="n">
        <x:f>IF(B575="",0,IF(AND(D575="pagada",NOT(ISNUMBER(M575))),1,0))</x:f>
        <x:v>0</x:v>
      </x:c>
    </x:row>
    <x:row r="576" ht="22" customHeight="1">
      <x:c r="A576" s="11"/>
      <x:c r="B576" s="9"/>
      <x:c r="C576" s="9"/>
      <x:c r="D576" s="9"/>
      <x:c r="E576" s="9"/>
      <x:c r="F576" s="9"/>
      <x:c r="G576" s="9"/>
      <x:c r="H576" s="9"/>
      <x:c r="I576" s="13"/>
      <x:c r="J576" s="15"/>
      <x:c r="K576" s="15"/>
      <x:c r="L576" s="17" t="str">
        <x:f>IF(B576="","",IF(NOT(AND(ISNUMBER(J576),ISNUMBER(K576))),"",SUM(J576:K576)))</x:f>
      </x:c>
      <x:c r="M576" s="15"/>
      <x:c r="N576" s="17" t="str">
        <x:f>IF(OR(B576="",D576&lt;&gt;"pagada",NOT(ISNUMBER(J576)),NOT(ISNUMBER(M576))),"",J576-M576)</x:f>
      </x:c>
      <x:c r="O576" s="9"/>
      <x:c r="P576" s="9"/>
      <x:c r="Q576" s="1" t="str">
        <x:f>IF(B576="","",IF(COUNTIFS($B$7:$B$1006,B576,$C$7:$C$1006,C576)&gt;1,"ID duplicado",IF(OR(A576="",C576="",D576="",E576="",F576="",I576="",J576="",K576="",O576=""),"Completar datos",IF(NOT(ISNUMBER(M576)),"Falta costo histórico","Revisar soporte"))))</x:f>
      </x:c>
      <x:c r="R576" s="9" t="n">
        <x:f>IF(B576="",0,IF(AND(D576="pagada",NOT(ISNUMBER(M576))),1,0))</x:f>
        <x:v>0</x:v>
      </x:c>
    </x:row>
    <x:row r="577" ht="22" customHeight="1">
      <x:c r="A577" s="11"/>
      <x:c r="B577" s="9"/>
      <x:c r="C577" s="9"/>
      <x:c r="D577" s="9"/>
      <x:c r="E577" s="9"/>
      <x:c r="F577" s="9"/>
      <x:c r="G577" s="9"/>
      <x:c r="H577" s="9"/>
      <x:c r="I577" s="13"/>
      <x:c r="J577" s="15"/>
      <x:c r="K577" s="15"/>
      <x:c r="L577" s="17" t="str">
        <x:f>IF(B577="","",IF(NOT(AND(ISNUMBER(J577),ISNUMBER(K577))),"",SUM(J577:K577)))</x:f>
      </x:c>
      <x:c r="M577" s="15"/>
      <x:c r="N577" s="17" t="str">
        <x:f>IF(OR(B577="",D577&lt;&gt;"pagada",NOT(ISNUMBER(J577)),NOT(ISNUMBER(M577))),"",J577-M577)</x:f>
      </x:c>
      <x:c r="O577" s="9"/>
      <x:c r="P577" s="9"/>
      <x:c r="Q577" s="1" t="str">
        <x:f>IF(B577="","",IF(COUNTIFS($B$7:$B$1006,B577,$C$7:$C$1006,C577)&gt;1,"ID duplicado",IF(OR(A577="",C577="",D577="",E577="",F577="",I577="",J577="",K577="",O577=""),"Completar datos",IF(NOT(ISNUMBER(M577)),"Falta costo histórico","Revisar soporte"))))</x:f>
      </x:c>
      <x:c r="R577" s="9" t="n">
        <x:f>IF(B577="",0,IF(AND(D577="pagada",NOT(ISNUMBER(M577))),1,0))</x:f>
        <x:v>0</x:v>
      </x:c>
    </x:row>
    <x:row r="578" ht="22" customHeight="1">
      <x:c r="A578" s="11"/>
      <x:c r="B578" s="9"/>
      <x:c r="C578" s="9"/>
      <x:c r="D578" s="9"/>
      <x:c r="E578" s="9"/>
      <x:c r="F578" s="9"/>
      <x:c r="G578" s="9"/>
      <x:c r="H578" s="9"/>
      <x:c r="I578" s="13"/>
      <x:c r="J578" s="15"/>
      <x:c r="K578" s="15"/>
      <x:c r="L578" s="17" t="str">
        <x:f>IF(B578="","",IF(NOT(AND(ISNUMBER(J578),ISNUMBER(K578))),"",SUM(J578:K578)))</x:f>
      </x:c>
      <x:c r="M578" s="15"/>
      <x:c r="N578" s="17" t="str">
        <x:f>IF(OR(B578="",D578&lt;&gt;"pagada",NOT(ISNUMBER(J578)),NOT(ISNUMBER(M578))),"",J578-M578)</x:f>
      </x:c>
      <x:c r="O578" s="9"/>
      <x:c r="P578" s="9"/>
      <x:c r="Q578" s="1" t="str">
        <x:f>IF(B578="","",IF(COUNTIFS($B$7:$B$1006,B578,$C$7:$C$1006,C578)&gt;1,"ID duplicado",IF(OR(A578="",C578="",D578="",E578="",F578="",I578="",J578="",K578="",O578=""),"Completar datos",IF(NOT(ISNUMBER(M578)),"Falta costo histórico","Revisar soporte"))))</x:f>
      </x:c>
      <x:c r="R578" s="9" t="n">
        <x:f>IF(B578="",0,IF(AND(D578="pagada",NOT(ISNUMBER(M578))),1,0))</x:f>
        <x:v>0</x:v>
      </x:c>
    </x:row>
    <x:row r="579" ht="22" customHeight="1">
      <x:c r="A579" s="11"/>
      <x:c r="B579" s="9"/>
      <x:c r="C579" s="9"/>
      <x:c r="D579" s="9"/>
      <x:c r="E579" s="9"/>
      <x:c r="F579" s="9"/>
      <x:c r="G579" s="9"/>
      <x:c r="H579" s="9"/>
      <x:c r="I579" s="13"/>
      <x:c r="J579" s="15"/>
      <x:c r="K579" s="15"/>
      <x:c r="L579" s="17" t="str">
        <x:f>IF(B579="","",IF(NOT(AND(ISNUMBER(J579),ISNUMBER(K579))),"",SUM(J579:K579)))</x:f>
      </x:c>
      <x:c r="M579" s="15"/>
      <x:c r="N579" s="17" t="str">
        <x:f>IF(OR(B579="",D579&lt;&gt;"pagada",NOT(ISNUMBER(J579)),NOT(ISNUMBER(M579))),"",J579-M579)</x:f>
      </x:c>
      <x:c r="O579" s="9"/>
      <x:c r="P579" s="9"/>
      <x:c r="Q579" s="1" t="str">
        <x:f>IF(B579="","",IF(COUNTIFS($B$7:$B$1006,B579,$C$7:$C$1006,C579)&gt;1,"ID duplicado",IF(OR(A579="",C579="",D579="",E579="",F579="",I579="",J579="",K579="",O579=""),"Completar datos",IF(NOT(ISNUMBER(M579)),"Falta costo histórico","Revisar soporte"))))</x:f>
      </x:c>
      <x:c r="R579" s="9" t="n">
        <x:f>IF(B579="",0,IF(AND(D579="pagada",NOT(ISNUMBER(M579))),1,0))</x:f>
        <x:v>0</x:v>
      </x:c>
    </x:row>
    <x:row r="580" ht="22" customHeight="1">
      <x:c r="A580" s="11"/>
      <x:c r="B580" s="9"/>
      <x:c r="C580" s="9"/>
      <x:c r="D580" s="9"/>
      <x:c r="E580" s="9"/>
      <x:c r="F580" s="9"/>
      <x:c r="G580" s="9"/>
      <x:c r="H580" s="9"/>
      <x:c r="I580" s="13"/>
      <x:c r="J580" s="15"/>
      <x:c r="K580" s="15"/>
      <x:c r="L580" s="17" t="str">
        <x:f>IF(B580="","",IF(NOT(AND(ISNUMBER(J580),ISNUMBER(K580))),"",SUM(J580:K580)))</x:f>
      </x:c>
      <x:c r="M580" s="15"/>
      <x:c r="N580" s="17" t="str">
        <x:f>IF(OR(B580="",D580&lt;&gt;"pagada",NOT(ISNUMBER(J580)),NOT(ISNUMBER(M580))),"",J580-M580)</x:f>
      </x:c>
      <x:c r="O580" s="9"/>
      <x:c r="P580" s="9"/>
      <x:c r="Q580" s="1" t="str">
        <x:f>IF(B580="","",IF(COUNTIFS($B$7:$B$1006,B580,$C$7:$C$1006,C580)&gt;1,"ID duplicado",IF(OR(A580="",C580="",D580="",E580="",F580="",I580="",J580="",K580="",O580=""),"Completar datos",IF(NOT(ISNUMBER(M580)),"Falta costo histórico","Revisar soporte"))))</x:f>
      </x:c>
      <x:c r="R580" s="9" t="n">
        <x:f>IF(B580="",0,IF(AND(D580="pagada",NOT(ISNUMBER(M580))),1,0))</x:f>
        <x:v>0</x:v>
      </x:c>
    </x:row>
    <x:row r="581" ht="22" customHeight="1">
      <x:c r="A581" s="11"/>
      <x:c r="B581" s="9"/>
      <x:c r="C581" s="9"/>
      <x:c r="D581" s="9"/>
      <x:c r="E581" s="9"/>
      <x:c r="F581" s="9"/>
      <x:c r="G581" s="9"/>
      <x:c r="H581" s="9"/>
      <x:c r="I581" s="13"/>
      <x:c r="J581" s="15"/>
      <x:c r="K581" s="15"/>
      <x:c r="L581" s="17" t="str">
        <x:f>IF(B581="","",IF(NOT(AND(ISNUMBER(J581),ISNUMBER(K581))),"",SUM(J581:K581)))</x:f>
      </x:c>
      <x:c r="M581" s="15"/>
      <x:c r="N581" s="17" t="str">
        <x:f>IF(OR(B581="",D581&lt;&gt;"pagada",NOT(ISNUMBER(J581)),NOT(ISNUMBER(M581))),"",J581-M581)</x:f>
      </x:c>
      <x:c r="O581" s="9"/>
      <x:c r="P581" s="9"/>
      <x:c r="Q581" s="1" t="str">
        <x:f>IF(B581="","",IF(COUNTIFS($B$7:$B$1006,B581,$C$7:$C$1006,C581)&gt;1,"ID duplicado",IF(OR(A581="",C581="",D581="",E581="",F581="",I581="",J581="",K581="",O581=""),"Completar datos",IF(NOT(ISNUMBER(M581)),"Falta costo histórico","Revisar soporte"))))</x:f>
      </x:c>
      <x:c r="R581" s="9" t="n">
        <x:f>IF(B581="",0,IF(AND(D581="pagada",NOT(ISNUMBER(M581))),1,0))</x:f>
        <x:v>0</x:v>
      </x:c>
    </x:row>
    <x:row r="582" ht="22" customHeight="1">
      <x:c r="A582" s="11"/>
      <x:c r="B582" s="9"/>
      <x:c r="C582" s="9"/>
      <x:c r="D582" s="9"/>
      <x:c r="E582" s="9"/>
      <x:c r="F582" s="9"/>
      <x:c r="G582" s="9"/>
      <x:c r="H582" s="9"/>
      <x:c r="I582" s="13"/>
      <x:c r="J582" s="15"/>
      <x:c r="K582" s="15"/>
      <x:c r="L582" s="17" t="str">
        <x:f>IF(B582="","",IF(NOT(AND(ISNUMBER(J582),ISNUMBER(K582))),"",SUM(J582:K582)))</x:f>
      </x:c>
      <x:c r="M582" s="15"/>
      <x:c r="N582" s="17" t="str">
        <x:f>IF(OR(B582="",D582&lt;&gt;"pagada",NOT(ISNUMBER(J582)),NOT(ISNUMBER(M582))),"",J582-M582)</x:f>
      </x:c>
      <x:c r="O582" s="9"/>
      <x:c r="P582" s="9"/>
      <x:c r="Q582" s="1" t="str">
        <x:f>IF(B582="","",IF(COUNTIFS($B$7:$B$1006,B582,$C$7:$C$1006,C582)&gt;1,"ID duplicado",IF(OR(A582="",C582="",D582="",E582="",F582="",I582="",J582="",K582="",O582=""),"Completar datos",IF(NOT(ISNUMBER(M582)),"Falta costo histórico","Revisar soporte"))))</x:f>
      </x:c>
      <x:c r="R582" s="9" t="n">
        <x:f>IF(B582="",0,IF(AND(D582="pagada",NOT(ISNUMBER(M582))),1,0))</x:f>
        <x:v>0</x:v>
      </x:c>
    </x:row>
    <x:row r="583" ht="22" customHeight="1">
      <x:c r="A583" s="11"/>
      <x:c r="B583" s="9"/>
      <x:c r="C583" s="9"/>
      <x:c r="D583" s="9"/>
      <x:c r="E583" s="9"/>
      <x:c r="F583" s="9"/>
      <x:c r="G583" s="9"/>
      <x:c r="H583" s="9"/>
      <x:c r="I583" s="13"/>
      <x:c r="J583" s="15"/>
      <x:c r="K583" s="15"/>
      <x:c r="L583" s="17" t="str">
        <x:f>IF(B583="","",IF(NOT(AND(ISNUMBER(J583),ISNUMBER(K583))),"",SUM(J583:K583)))</x:f>
      </x:c>
      <x:c r="M583" s="15"/>
      <x:c r="N583" s="17" t="str">
        <x:f>IF(OR(B583="",D583&lt;&gt;"pagada",NOT(ISNUMBER(J583)),NOT(ISNUMBER(M583))),"",J583-M583)</x:f>
      </x:c>
      <x:c r="O583" s="9"/>
      <x:c r="P583" s="9"/>
      <x:c r="Q583" s="1" t="str">
        <x:f>IF(B583="","",IF(COUNTIFS($B$7:$B$1006,B583,$C$7:$C$1006,C583)&gt;1,"ID duplicado",IF(OR(A583="",C583="",D583="",E583="",F583="",I583="",J583="",K583="",O583=""),"Completar datos",IF(NOT(ISNUMBER(M583)),"Falta costo histórico","Revisar soporte"))))</x:f>
      </x:c>
      <x:c r="R583" s="9" t="n">
        <x:f>IF(B583="",0,IF(AND(D583="pagada",NOT(ISNUMBER(M583))),1,0))</x:f>
        <x:v>0</x:v>
      </x:c>
    </x:row>
    <x:row r="584" ht="22" customHeight="1">
      <x:c r="A584" s="11"/>
      <x:c r="B584" s="9"/>
      <x:c r="C584" s="9"/>
      <x:c r="D584" s="9"/>
      <x:c r="E584" s="9"/>
      <x:c r="F584" s="9"/>
      <x:c r="G584" s="9"/>
      <x:c r="H584" s="9"/>
      <x:c r="I584" s="13"/>
      <x:c r="J584" s="15"/>
      <x:c r="K584" s="15"/>
      <x:c r="L584" s="17" t="str">
        <x:f>IF(B584="","",IF(NOT(AND(ISNUMBER(J584),ISNUMBER(K584))),"",SUM(J584:K584)))</x:f>
      </x:c>
      <x:c r="M584" s="15"/>
      <x:c r="N584" s="17" t="str">
        <x:f>IF(OR(B584="",D584&lt;&gt;"pagada",NOT(ISNUMBER(J584)),NOT(ISNUMBER(M584))),"",J584-M584)</x:f>
      </x:c>
      <x:c r="O584" s="9"/>
      <x:c r="P584" s="9"/>
      <x:c r="Q584" s="1" t="str">
        <x:f>IF(B584="","",IF(COUNTIFS($B$7:$B$1006,B584,$C$7:$C$1006,C584)&gt;1,"ID duplicado",IF(OR(A584="",C584="",D584="",E584="",F584="",I584="",J584="",K584="",O584=""),"Completar datos",IF(NOT(ISNUMBER(M584)),"Falta costo histórico","Revisar soporte"))))</x:f>
      </x:c>
      <x:c r="R584" s="9" t="n">
        <x:f>IF(B584="",0,IF(AND(D584="pagada",NOT(ISNUMBER(M584))),1,0))</x:f>
        <x:v>0</x:v>
      </x:c>
    </x:row>
    <x:row r="585" ht="22" customHeight="1">
      <x:c r="A585" s="11"/>
      <x:c r="B585" s="9"/>
      <x:c r="C585" s="9"/>
      <x:c r="D585" s="9"/>
      <x:c r="E585" s="9"/>
      <x:c r="F585" s="9"/>
      <x:c r="G585" s="9"/>
      <x:c r="H585" s="9"/>
      <x:c r="I585" s="13"/>
      <x:c r="J585" s="15"/>
      <x:c r="K585" s="15"/>
      <x:c r="L585" s="17" t="str">
        <x:f>IF(B585="","",IF(NOT(AND(ISNUMBER(J585),ISNUMBER(K585))),"",SUM(J585:K585)))</x:f>
      </x:c>
      <x:c r="M585" s="15"/>
      <x:c r="N585" s="17" t="str">
        <x:f>IF(OR(B585="",D585&lt;&gt;"pagada",NOT(ISNUMBER(J585)),NOT(ISNUMBER(M585))),"",J585-M585)</x:f>
      </x:c>
      <x:c r="O585" s="9"/>
      <x:c r="P585" s="9"/>
      <x:c r="Q585" s="1" t="str">
        <x:f>IF(B585="","",IF(COUNTIFS($B$7:$B$1006,B585,$C$7:$C$1006,C585)&gt;1,"ID duplicado",IF(OR(A585="",C585="",D585="",E585="",F585="",I585="",J585="",K585="",O585=""),"Completar datos",IF(NOT(ISNUMBER(M585)),"Falta costo histórico","Revisar soporte"))))</x:f>
      </x:c>
      <x:c r="R585" s="9" t="n">
        <x:f>IF(B585="",0,IF(AND(D585="pagada",NOT(ISNUMBER(M585))),1,0))</x:f>
        <x:v>0</x:v>
      </x:c>
    </x:row>
    <x:row r="586" ht="22" customHeight="1">
      <x:c r="A586" s="11"/>
      <x:c r="B586" s="9"/>
      <x:c r="C586" s="9"/>
      <x:c r="D586" s="9"/>
      <x:c r="E586" s="9"/>
      <x:c r="F586" s="9"/>
      <x:c r="G586" s="9"/>
      <x:c r="H586" s="9"/>
      <x:c r="I586" s="13"/>
      <x:c r="J586" s="15"/>
      <x:c r="K586" s="15"/>
      <x:c r="L586" s="17" t="str">
        <x:f>IF(B586="","",IF(NOT(AND(ISNUMBER(J586),ISNUMBER(K586))),"",SUM(J586:K586)))</x:f>
      </x:c>
      <x:c r="M586" s="15"/>
      <x:c r="N586" s="17" t="str">
        <x:f>IF(OR(B586="",D586&lt;&gt;"pagada",NOT(ISNUMBER(J586)),NOT(ISNUMBER(M586))),"",J586-M586)</x:f>
      </x:c>
      <x:c r="O586" s="9"/>
      <x:c r="P586" s="9"/>
      <x:c r="Q586" s="1" t="str">
        <x:f>IF(B586="","",IF(COUNTIFS($B$7:$B$1006,B586,$C$7:$C$1006,C586)&gt;1,"ID duplicado",IF(OR(A586="",C586="",D586="",E586="",F586="",I586="",J586="",K586="",O586=""),"Completar datos",IF(NOT(ISNUMBER(M586)),"Falta costo histórico","Revisar soporte"))))</x:f>
      </x:c>
      <x:c r="R586" s="9" t="n">
        <x:f>IF(B586="",0,IF(AND(D586="pagada",NOT(ISNUMBER(M586))),1,0))</x:f>
        <x:v>0</x:v>
      </x:c>
    </x:row>
    <x:row r="587" ht="22" customHeight="1">
      <x:c r="A587" s="11"/>
      <x:c r="B587" s="9"/>
      <x:c r="C587" s="9"/>
      <x:c r="D587" s="9"/>
      <x:c r="E587" s="9"/>
      <x:c r="F587" s="9"/>
      <x:c r="G587" s="9"/>
      <x:c r="H587" s="9"/>
      <x:c r="I587" s="13"/>
      <x:c r="J587" s="15"/>
      <x:c r="K587" s="15"/>
      <x:c r="L587" s="17" t="str">
        <x:f>IF(B587="","",IF(NOT(AND(ISNUMBER(J587),ISNUMBER(K587))),"",SUM(J587:K587)))</x:f>
      </x:c>
      <x:c r="M587" s="15"/>
      <x:c r="N587" s="17" t="str">
        <x:f>IF(OR(B587="",D587&lt;&gt;"pagada",NOT(ISNUMBER(J587)),NOT(ISNUMBER(M587))),"",J587-M587)</x:f>
      </x:c>
      <x:c r="O587" s="9"/>
      <x:c r="P587" s="9"/>
      <x:c r="Q587" s="1" t="str">
        <x:f>IF(B587="","",IF(COUNTIFS($B$7:$B$1006,B587,$C$7:$C$1006,C587)&gt;1,"ID duplicado",IF(OR(A587="",C587="",D587="",E587="",F587="",I587="",J587="",K587="",O587=""),"Completar datos",IF(NOT(ISNUMBER(M587)),"Falta costo histórico","Revisar soporte"))))</x:f>
      </x:c>
      <x:c r="R587" s="9" t="n">
        <x:f>IF(B587="",0,IF(AND(D587="pagada",NOT(ISNUMBER(M587))),1,0))</x:f>
        <x:v>0</x:v>
      </x:c>
    </x:row>
    <x:row r="588" ht="22" customHeight="1">
      <x:c r="A588" s="11"/>
      <x:c r="B588" s="9"/>
      <x:c r="C588" s="9"/>
      <x:c r="D588" s="9"/>
      <x:c r="E588" s="9"/>
      <x:c r="F588" s="9"/>
      <x:c r="G588" s="9"/>
      <x:c r="H588" s="9"/>
      <x:c r="I588" s="13"/>
      <x:c r="J588" s="15"/>
      <x:c r="K588" s="15"/>
      <x:c r="L588" s="17" t="str">
        <x:f>IF(B588="","",IF(NOT(AND(ISNUMBER(J588),ISNUMBER(K588))),"",SUM(J588:K588)))</x:f>
      </x:c>
      <x:c r="M588" s="15"/>
      <x:c r="N588" s="17" t="str">
        <x:f>IF(OR(B588="",D588&lt;&gt;"pagada",NOT(ISNUMBER(J588)),NOT(ISNUMBER(M588))),"",J588-M588)</x:f>
      </x:c>
      <x:c r="O588" s="9"/>
      <x:c r="P588" s="9"/>
      <x:c r="Q588" s="1" t="str">
        <x:f>IF(B588="","",IF(COUNTIFS($B$7:$B$1006,B588,$C$7:$C$1006,C588)&gt;1,"ID duplicado",IF(OR(A588="",C588="",D588="",E588="",F588="",I588="",J588="",K588="",O588=""),"Completar datos",IF(NOT(ISNUMBER(M588)),"Falta costo histórico","Revisar soporte"))))</x:f>
      </x:c>
      <x:c r="R588" s="9" t="n">
        <x:f>IF(B588="",0,IF(AND(D588="pagada",NOT(ISNUMBER(M588))),1,0))</x:f>
        <x:v>0</x:v>
      </x:c>
    </x:row>
    <x:row r="589" ht="22" customHeight="1">
      <x:c r="A589" s="11"/>
      <x:c r="B589" s="9"/>
      <x:c r="C589" s="9"/>
      <x:c r="D589" s="9"/>
      <x:c r="E589" s="9"/>
      <x:c r="F589" s="9"/>
      <x:c r="G589" s="9"/>
      <x:c r="H589" s="9"/>
      <x:c r="I589" s="13"/>
      <x:c r="J589" s="15"/>
      <x:c r="K589" s="15"/>
      <x:c r="L589" s="17" t="str">
        <x:f>IF(B589="","",IF(NOT(AND(ISNUMBER(J589),ISNUMBER(K589))),"",SUM(J589:K589)))</x:f>
      </x:c>
      <x:c r="M589" s="15"/>
      <x:c r="N589" s="17" t="str">
        <x:f>IF(OR(B589="",D589&lt;&gt;"pagada",NOT(ISNUMBER(J589)),NOT(ISNUMBER(M589))),"",J589-M589)</x:f>
      </x:c>
      <x:c r="O589" s="9"/>
      <x:c r="P589" s="9"/>
      <x:c r="Q589" s="1" t="str">
        <x:f>IF(B589="","",IF(COUNTIFS($B$7:$B$1006,B589,$C$7:$C$1006,C589)&gt;1,"ID duplicado",IF(OR(A589="",C589="",D589="",E589="",F589="",I589="",J589="",K589="",O589=""),"Completar datos",IF(NOT(ISNUMBER(M589)),"Falta costo histórico","Revisar soporte"))))</x:f>
      </x:c>
      <x:c r="R589" s="9" t="n">
        <x:f>IF(B589="",0,IF(AND(D589="pagada",NOT(ISNUMBER(M589))),1,0))</x:f>
        <x:v>0</x:v>
      </x:c>
    </x:row>
    <x:row r="590" ht="22" customHeight="1">
      <x:c r="A590" s="11"/>
      <x:c r="B590" s="9"/>
      <x:c r="C590" s="9"/>
      <x:c r="D590" s="9"/>
      <x:c r="E590" s="9"/>
      <x:c r="F590" s="9"/>
      <x:c r="G590" s="9"/>
      <x:c r="H590" s="9"/>
      <x:c r="I590" s="13"/>
      <x:c r="J590" s="15"/>
      <x:c r="K590" s="15"/>
      <x:c r="L590" s="17" t="str">
        <x:f>IF(B590="","",IF(NOT(AND(ISNUMBER(J590),ISNUMBER(K590))),"",SUM(J590:K590)))</x:f>
      </x:c>
      <x:c r="M590" s="15"/>
      <x:c r="N590" s="17" t="str">
        <x:f>IF(OR(B590="",D590&lt;&gt;"pagada",NOT(ISNUMBER(J590)),NOT(ISNUMBER(M590))),"",J590-M590)</x:f>
      </x:c>
      <x:c r="O590" s="9"/>
      <x:c r="P590" s="9"/>
      <x:c r="Q590" s="1" t="str">
        <x:f>IF(B590="","",IF(COUNTIFS($B$7:$B$1006,B590,$C$7:$C$1006,C590)&gt;1,"ID duplicado",IF(OR(A590="",C590="",D590="",E590="",F590="",I590="",J590="",K590="",O590=""),"Completar datos",IF(NOT(ISNUMBER(M590)),"Falta costo histórico","Revisar soporte"))))</x:f>
      </x:c>
      <x:c r="R590" s="9" t="n">
        <x:f>IF(B590="",0,IF(AND(D590="pagada",NOT(ISNUMBER(M590))),1,0))</x:f>
        <x:v>0</x:v>
      </x:c>
    </x:row>
    <x:row r="591" ht="22" customHeight="1">
      <x:c r="A591" s="11"/>
      <x:c r="B591" s="9"/>
      <x:c r="C591" s="9"/>
      <x:c r="D591" s="9"/>
      <x:c r="E591" s="9"/>
      <x:c r="F591" s="9"/>
      <x:c r="G591" s="9"/>
      <x:c r="H591" s="9"/>
      <x:c r="I591" s="13"/>
      <x:c r="J591" s="15"/>
      <x:c r="K591" s="15"/>
      <x:c r="L591" s="17" t="str">
        <x:f>IF(B591="","",IF(NOT(AND(ISNUMBER(J591),ISNUMBER(K591))),"",SUM(J591:K591)))</x:f>
      </x:c>
      <x:c r="M591" s="15"/>
      <x:c r="N591" s="17" t="str">
        <x:f>IF(OR(B591="",D591&lt;&gt;"pagada",NOT(ISNUMBER(J591)),NOT(ISNUMBER(M591))),"",J591-M591)</x:f>
      </x:c>
      <x:c r="O591" s="9"/>
      <x:c r="P591" s="9"/>
      <x:c r="Q591" s="1" t="str">
        <x:f>IF(B591="","",IF(COUNTIFS($B$7:$B$1006,B591,$C$7:$C$1006,C591)&gt;1,"ID duplicado",IF(OR(A591="",C591="",D591="",E591="",F591="",I591="",J591="",K591="",O591=""),"Completar datos",IF(NOT(ISNUMBER(M591)),"Falta costo histórico","Revisar soporte"))))</x:f>
      </x:c>
      <x:c r="R591" s="9" t="n">
        <x:f>IF(B591="",0,IF(AND(D591="pagada",NOT(ISNUMBER(M591))),1,0))</x:f>
        <x:v>0</x:v>
      </x:c>
    </x:row>
    <x:row r="592" ht="22" customHeight="1">
      <x:c r="A592" s="11"/>
      <x:c r="B592" s="9"/>
      <x:c r="C592" s="9"/>
      <x:c r="D592" s="9"/>
      <x:c r="E592" s="9"/>
      <x:c r="F592" s="9"/>
      <x:c r="G592" s="9"/>
      <x:c r="H592" s="9"/>
      <x:c r="I592" s="13"/>
      <x:c r="J592" s="15"/>
      <x:c r="K592" s="15"/>
      <x:c r="L592" s="17" t="str">
        <x:f>IF(B592="","",IF(NOT(AND(ISNUMBER(J592),ISNUMBER(K592))),"",SUM(J592:K592)))</x:f>
      </x:c>
      <x:c r="M592" s="15"/>
      <x:c r="N592" s="17" t="str">
        <x:f>IF(OR(B592="",D592&lt;&gt;"pagada",NOT(ISNUMBER(J592)),NOT(ISNUMBER(M592))),"",J592-M592)</x:f>
      </x:c>
      <x:c r="O592" s="9"/>
      <x:c r="P592" s="9"/>
      <x:c r="Q592" s="1" t="str">
        <x:f>IF(B592="","",IF(COUNTIFS($B$7:$B$1006,B592,$C$7:$C$1006,C592)&gt;1,"ID duplicado",IF(OR(A592="",C592="",D592="",E592="",F592="",I592="",J592="",K592="",O592=""),"Completar datos",IF(NOT(ISNUMBER(M592)),"Falta costo histórico","Revisar soporte"))))</x:f>
      </x:c>
      <x:c r="R592" s="9" t="n">
        <x:f>IF(B592="",0,IF(AND(D592="pagada",NOT(ISNUMBER(M592))),1,0))</x:f>
        <x:v>0</x:v>
      </x:c>
    </x:row>
    <x:row r="593" ht="22" customHeight="1">
      <x:c r="A593" s="11"/>
      <x:c r="B593" s="9"/>
      <x:c r="C593" s="9"/>
      <x:c r="D593" s="9"/>
      <x:c r="E593" s="9"/>
      <x:c r="F593" s="9"/>
      <x:c r="G593" s="9"/>
      <x:c r="H593" s="9"/>
      <x:c r="I593" s="13"/>
      <x:c r="J593" s="15"/>
      <x:c r="K593" s="15"/>
      <x:c r="L593" s="17" t="str">
        <x:f>IF(B593="","",IF(NOT(AND(ISNUMBER(J593),ISNUMBER(K593))),"",SUM(J593:K593)))</x:f>
      </x:c>
      <x:c r="M593" s="15"/>
      <x:c r="N593" s="17" t="str">
        <x:f>IF(OR(B593="",D593&lt;&gt;"pagada",NOT(ISNUMBER(J593)),NOT(ISNUMBER(M593))),"",J593-M593)</x:f>
      </x:c>
      <x:c r="O593" s="9"/>
      <x:c r="P593" s="9"/>
      <x:c r="Q593" s="1" t="str">
        <x:f>IF(B593="","",IF(COUNTIFS($B$7:$B$1006,B593,$C$7:$C$1006,C593)&gt;1,"ID duplicado",IF(OR(A593="",C593="",D593="",E593="",F593="",I593="",J593="",K593="",O593=""),"Completar datos",IF(NOT(ISNUMBER(M593)),"Falta costo histórico","Revisar soporte"))))</x:f>
      </x:c>
      <x:c r="R593" s="9" t="n">
        <x:f>IF(B593="",0,IF(AND(D593="pagada",NOT(ISNUMBER(M593))),1,0))</x:f>
        <x:v>0</x:v>
      </x:c>
    </x:row>
    <x:row r="594" ht="22" customHeight="1">
      <x:c r="A594" s="11"/>
      <x:c r="B594" s="9"/>
      <x:c r="C594" s="9"/>
      <x:c r="D594" s="9"/>
      <x:c r="E594" s="9"/>
      <x:c r="F594" s="9"/>
      <x:c r="G594" s="9"/>
      <x:c r="H594" s="9"/>
      <x:c r="I594" s="13"/>
      <x:c r="J594" s="15"/>
      <x:c r="K594" s="15"/>
      <x:c r="L594" s="17" t="str">
        <x:f>IF(B594="","",IF(NOT(AND(ISNUMBER(J594),ISNUMBER(K594))),"",SUM(J594:K594)))</x:f>
      </x:c>
      <x:c r="M594" s="15"/>
      <x:c r="N594" s="17" t="str">
        <x:f>IF(OR(B594="",D594&lt;&gt;"pagada",NOT(ISNUMBER(J594)),NOT(ISNUMBER(M594))),"",J594-M594)</x:f>
      </x:c>
      <x:c r="O594" s="9"/>
      <x:c r="P594" s="9"/>
      <x:c r="Q594" s="1" t="str">
        <x:f>IF(B594="","",IF(COUNTIFS($B$7:$B$1006,B594,$C$7:$C$1006,C594)&gt;1,"ID duplicado",IF(OR(A594="",C594="",D594="",E594="",F594="",I594="",J594="",K594="",O594=""),"Completar datos",IF(NOT(ISNUMBER(M594)),"Falta costo histórico","Revisar soporte"))))</x:f>
      </x:c>
      <x:c r="R594" s="9" t="n">
        <x:f>IF(B594="",0,IF(AND(D594="pagada",NOT(ISNUMBER(M594))),1,0))</x:f>
        <x:v>0</x:v>
      </x:c>
    </x:row>
    <x:row r="595" ht="22" customHeight="1">
      <x:c r="A595" s="11"/>
      <x:c r="B595" s="9"/>
      <x:c r="C595" s="9"/>
      <x:c r="D595" s="9"/>
      <x:c r="E595" s="9"/>
      <x:c r="F595" s="9"/>
      <x:c r="G595" s="9"/>
      <x:c r="H595" s="9"/>
      <x:c r="I595" s="13"/>
      <x:c r="J595" s="15"/>
      <x:c r="K595" s="15"/>
      <x:c r="L595" s="17" t="str">
        <x:f>IF(B595="","",IF(NOT(AND(ISNUMBER(J595),ISNUMBER(K595))),"",SUM(J595:K595)))</x:f>
      </x:c>
      <x:c r="M595" s="15"/>
      <x:c r="N595" s="17" t="str">
        <x:f>IF(OR(B595="",D595&lt;&gt;"pagada",NOT(ISNUMBER(J595)),NOT(ISNUMBER(M595))),"",J595-M595)</x:f>
      </x:c>
      <x:c r="O595" s="9"/>
      <x:c r="P595" s="9"/>
      <x:c r="Q595" s="1" t="str">
        <x:f>IF(B595="","",IF(COUNTIFS($B$7:$B$1006,B595,$C$7:$C$1006,C595)&gt;1,"ID duplicado",IF(OR(A595="",C595="",D595="",E595="",F595="",I595="",J595="",K595="",O595=""),"Completar datos",IF(NOT(ISNUMBER(M595)),"Falta costo histórico","Revisar soporte"))))</x:f>
      </x:c>
      <x:c r="R595" s="9" t="n">
        <x:f>IF(B595="",0,IF(AND(D595="pagada",NOT(ISNUMBER(M595))),1,0))</x:f>
        <x:v>0</x:v>
      </x:c>
    </x:row>
    <x:row r="596" ht="22" customHeight="1">
      <x:c r="A596" s="11"/>
      <x:c r="B596" s="9"/>
      <x:c r="C596" s="9"/>
      <x:c r="D596" s="9"/>
      <x:c r="E596" s="9"/>
      <x:c r="F596" s="9"/>
      <x:c r="G596" s="9"/>
      <x:c r="H596" s="9"/>
      <x:c r="I596" s="13"/>
      <x:c r="J596" s="15"/>
      <x:c r="K596" s="15"/>
      <x:c r="L596" s="17" t="str">
        <x:f>IF(B596="","",IF(NOT(AND(ISNUMBER(J596),ISNUMBER(K596))),"",SUM(J596:K596)))</x:f>
      </x:c>
      <x:c r="M596" s="15"/>
      <x:c r="N596" s="17" t="str">
        <x:f>IF(OR(B596="",D596&lt;&gt;"pagada",NOT(ISNUMBER(J596)),NOT(ISNUMBER(M596))),"",J596-M596)</x:f>
      </x:c>
      <x:c r="O596" s="9"/>
      <x:c r="P596" s="9"/>
      <x:c r="Q596" s="1" t="str">
        <x:f>IF(B596="","",IF(COUNTIFS($B$7:$B$1006,B596,$C$7:$C$1006,C596)&gt;1,"ID duplicado",IF(OR(A596="",C596="",D596="",E596="",F596="",I596="",J596="",K596="",O596=""),"Completar datos",IF(NOT(ISNUMBER(M596)),"Falta costo histórico","Revisar soporte"))))</x:f>
      </x:c>
      <x:c r="R596" s="9" t="n">
        <x:f>IF(B596="",0,IF(AND(D596="pagada",NOT(ISNUMBER(M596))),1,0))</x:f>
        <x:v>0</x:v>
      </x:c>
    </x:row>
    <x:row r="597" ht="22" customHeight="1">
      <x:c r="A597" s="11"/>
      <x:c r="B597" s="9"/>
      <x:c r="C597" s="9"/>
      <x:c r="D597" s="9"/>
      <x:c r="E597" s="9"/>
      <x:c r="F597" s="9"/>
      <x:c r="G597" s="9"/>
      <x:c r="H597" s="9"/>
      <x:c r="I597" s="13"/>
      <x:c r="J597" s="15"/>
      <x:c r="K597" s="15"/>
      <x:c r="L597" s="17" t="str">
        <x:f>IF(B597="","",IF(NOT(AND(ISNUMBER(J597),ISNUMBER(K597))),"",SUM(J597:K597)))</x:f>
      </x:c>
      <x:c r="M597" s="15"/>
      <x:c r="N597" s="17" t="str">
        <x:f>IF(OR(B597="",D597&lt;&gt;"pagada",NOT(ISNUMBER(J597)),NOT(ISNUMBER(M597))),"",J597-M597)</x:f>
      </x:c>
      <x:c r="O597" s="9"/>
      <x:c r="P597" s="9"/>
      <x:c r="Q597" s="1" t="str">
        <x:f>IF(B597="","",IF(COUNTIFS($B$7:$B$1006,B597,$C$7:$C$1006,C597)&gt;1,"ID duplicado",IF(OR(A597="",C597="",D597="",E597="",F597="",I597="",J597="",K597="",O597=""),"Completar datos",IF(NOT(ISNUMBER(M597)),"Falta costo histórico","Revisar soporte"))))</x:f>
      </x:c>
      <x:c r="R597" s="9" t="n">
        <x:f>IF(B597="",0,IF(AND(D597="pagada",NOT(ISNUMBER(M597))),1,0))</x:f>
        <x:v>0</x:v>
      </x:c>
    </x:row>
    <x:row r="598" ht="22" customHeight="1">
      <x:c r="A598" s="11"/>
      <x:c r="B598" s="9"/>
      <x:c r="C598" s="9"/>
      <x:c r="D598" s="9"/>
      <x:c r="E598" s="9"/>
      <x:c r="F598" s="9"/>
      <x:c r="G598" s="9"/>
      <x:c r="H598" s="9"/>
      <x:c r="I598" s="13"/>
      <x:c r="J598" s="15"/>
      <x:c r="K598" s="15"/>
      <x:c r="L598" s="17" t="str">
        <x:f>IF(B598="","",IF(NOT(AND(ISNUMBER(J598),ISNUMBER(K598))),"",SUM(J598:K598)))</x:f>
      </x:c>
      <x:c r="M598" s="15"/>
      <x:c r="N598" s="17" t="str">
        <x:f>IF(OR(B598="",D598&lt;&gt;"pagada",NOT(ISNUMBER(J598)),NOT(ISNUMBER(M598))),"",J598-M598)</x:f>
      </x:c>
      <x:c r="O598" s="9"/>
      <x:c r="P598" s="9"/>
      <x:c r="Q598" s="1" t="str">
        <x:f>IF(B598="","",IF(COUNTIFS($B$7:$B$1006,B598,$C$7:$C$1006,C598)&gt;1,"ID duplicado",IF(OR(A598="",C598="",D598="",E598="",F598="",I598="",J598="",K598="",O598=""),"Completar datos",IF(NOT(ISNUMBER(M598)),"Falta costo histórico","Revisar soporte"))))</x:f>
      </x:c>
      <x:c r="R598" s="9" t="n">
        <x:f>IF(B598="",0,IF(AND(D598="pagada",NOT(ISNUMBER(M598))),1,0))</x:f>
        <x:v>0</x:v>
      </x:c>
    </x:row>
    <x:row r="599" ht="22" customHeight="1">
      <x:c r="A599" s="11"/>
      <x:c r="B599" s="9"/>
      <x:c r="C599" s="9"/>
      <x:c r="D599" s="9"/>
      <x:c r="E599" s="9"/>
      <x:c r="F599" s="9"/>
      <x:c r="G599" s="9"/>
      <x:c r="H599" s="9"/>
      <x:c r="I599" s="13"/>
      <x:c r="J599" s="15"/>
      <x:c r="K599" s="15"/>
      <x:c r="L599" s="17" t="str">
        <x:f>IF(B599="","",IF(NOT(AND(ISNUMBER(J599),ISNUMBER(K599))),"",SUM(J599:K599)))</x:f>
      </x:c>
      <x:c r="M599" s="15"/>
      <x:c r="N599" s="17" t="str">
        <x:f>IF(OR(B599="",D599&lt;&gt;"pagada",NOT(ISNUMBER(J599)),NOT(ISNUMBER(M599))),"",J599-M599)</x:f>
      </x:c>
      <x:c r="O599" s="9"/>
      <x:c r="P599" s="9"/>
      <x:c r="Q599" s="1" t="str">
        <x:f>IF(B599="","",IF(COUNTIFS($B$7:$B$1006,B599,$C$7:$C$1006,C599)&gt;1,"ID duplicado",IF(OR(A599="",C599="",D599="",E599="",F599="",I599="",J599="",K599="",O599=""),"Completar datos",IF(NOT(ISNUMBER(M599)),"Falta costo histórico","Revisar soporte"))))</x:f>
      </x:c>
      <x:c r="R599" s="9" t="n">
        <x:f>IF(B599="",0,IF(AND(D599="pagada",NOT(ISNUMBER(M599))),1,0))</x:f>
        <x:v>0</x:v>
      </x:c>
    </x:row>
    <x:row r="600" ht="22" customHeight="1">
      <x:c r="A600" s="11"/>
      <x:c r="B600" s="9"/>
      <x:c r="C600" s="9"/>
      <x:c r="D600" s="9"/>
      <x:c r="E600" s="9"/>
      <x:c r="F600" s="9"/>
      <x:c r="G600" s="9"/>
      <x:c r="H600" s="9"/>
      <x:c r="I600" s="13"/>
      <x:c r="J600" s="15"/>
      <x:c r="K600" s="15"/>
      <x:c r="L600" s="17" t="str">
        <x:f>IF(B600="","",IF(NOT(AND(ISNUMBER(J600),ISNUMBER(K600))),"",SUM(J600:K600)))</x:f>
      </x:c>
      <x:c r="M600" s="15"/>
      <x:c r="N600" s="17" t="str">
        <x:f>IF(OR(B600="",D600&lt;&gt;"pagada",NOT(ISNUMBER(J600)),NOT(ISNUMBER(M600))),"",J600-M600)</x:f>
      </x:c>
      <x:c r="O600" s="9"/>
      <x:c r="P600" s="9"/>
      <x:c r="Q600" s="1" t="str">
        <x:f>IF(B600="","",IF(COUNTIFS($B$7:$B$1006,B600,$C$7:$C$1006,C600)&gt;1,"ID duplicado",IF(OR(A600="",C600="",D600="",E600="",F600="",I600="",J600="",K600="",O600=""),"Completar datos",IF(NOT(ISNUMBER(M600)),"Falta costo histórico","Revisar soporte"))))</x:f>
      </x:c>
      <x:c r="R600" s="9" t="n">
        <x:f>IF(B600="",0,IF(AND(D600="pagada",NOT(ISNUMBER(M600))),1,0))</x:f>
        <x:v>0</x:v>
      </x:c>
    </x:row>
    <x:row r="601" ht="22" customHeight="1">
      <x:c r="A601" s="11"/>
      <x:c r="B601" s="9"/>
      <x:c r="C601" s="9"/>
      <x:c r="D601" s="9"/>
      <x:c r="E601" s="9"/>
      <x:c r="F601" s="9"/>
      <x:c r="G601" s="9"/>
      <x:c r="H601" s="9"/>
      <x:c r="I601" s="13"/>
      <x:c r="J601" s="15"/>
      <x:c r="K601" s="15"/>
      <x:c r="L601" s="17" t="str">
        <x:f>IF(B601="","",IF(NOT(AND(ISNUMBER(J601),ISNUMBER(K601))),"",SUM(J601:K601)))</x:f>
      </x:c>
      <x:c r="M601" s="15"/>
      <x:c r="N601" s="17" t="str">
        <x:f>IF(OR(B601="",D601&lt;&gt;"pagada",NOT(ISNUMBER(J601)),NOT(ISNUMBER(M601))),"",J601-M601)</x:f>
      </x:c>
      <x:c r="O601" s="9"/>
      <x:c r="P601" s="9"/>
      <x:c r="Q601" s="1" t="str">
        <x:f>IF(B601="","",IF(COUNTIFS($B$7:$B$1006,B601,$C$7:$C$1006,C601)&gt;1,"ID duplicado",IF(OR(A601="",C601="",D601="",E601="",F601="",I601="",J601="",K601="",O601=""),"Completar datos",IF(NOT(ISNUMBER(M601)),"Falta costo histórico","Revisar soporte"))))</x:f>
      </x:c>
      <x:c r="R601" s="9" t="n">
        <x:f>IF(B601="",0,IF(AND(D601="pagada",NOT(ISNUMBER(M601))),1,0))</x:f>
        <x:v>0</x:v>
      </x:c>
    </x:row>
    <x:row r="602" ht="22" customHeight="1">
      <x:c r="A602" s="11"/>
      <x:c r="B602" s="9"/>
      <x:c r="C602" s="9"/>
      <x:c r="D602" s="9"/>
      <x:c r="E602" s="9"/>
      <x:c r="F602" s="9"/>
      <x:c r="G602" s="9"/>
      <x:c r="H602" s="9"/>
      <x:c r="I602" s="13"/>
      <x:c r="J602" s="15"/>
      <x:c r="K602" s="15"/>
      <x:c r="L602" s="17" t="str">
        <x:f>IF(B602="","",IF(NOT(AND(ISNUMBER(J602),ISNUMBER(K602))),"",SUM(J602:K602)))</x:f>
      </x:c>
      <x:c r="M602" s="15"/>
      <x:c r="N602" s="17" t="str">
        <x:f>IF(OR(B602="",D602&lt;&gt;"pagada",NOT(ISNUMBER(J602)),NOT(ISNUMBER(M602))),"",J602-M602)</x:f>
      </x:c>
      <x:c r="O602" s="9"/>
      <x:c r="P602" s="9"/>
      <x:c r="Q602" s="1" t="str">
        <x:f>IF(B602="","",IF(COUNTIFS($B$7:$B$1006,B602,$C$7:$C$1006,C602)&gt;1,"ID duplicado",IF(OR(A602="",C602="",D602="",E602="",F602="",I602="",J602="",K602="",O602=""),"Completar datos",IF(NOT(ISNUMBER(M602)),"Falta costo histórico","Revisar soporte"))))</x:f>
      </x:c>
      <x:c r="R602" s="9" t="n">
        <x:f>IF(B602="",0,IF(AND(D602="pagada",NOT(ISNUMBER(M602))),1,0))</x:f>
        <x:v>0</x:v>
      </x:c>
    </x:row>
    <x:row r="603" ht="22" customHeight="1">
      <x:c r="A603" s="11"/>
      <x:c r="B603" s="9"/>
      <x:c r="C603" s="9"/>
      <x:c r="D603" s="9"/>
      <x:c r="E603" s="9"/>
      <x:c r="F603" s="9"/>
      <x:c r="G603" s="9"/>
      <x:c r="H603" s="9"/>
      <x:c r="I603" s="13"/>
      <x:c r="J603" s="15"/>
      <x:c r="K603" s="15"/>
      <x:c r="L603" s="17" t="str">
        <x:f>IF(B603="","",IF(NOT(AND(ISNUMBER(J603),ISNUMBER(K603))),"",SUM(J603:K603)))</x:f>
      </x:c>
      <x:c r="M603" s="15"/>
      <x:c r="N603" s="17" t="str">
        <x:f>IF(OR(B603="",D603&lt;&gt;"pagada",NOT(ISNUMBER(J603)),NOT(ISNUMBER(M603))),"",J603-M603)</x:f>
      </x:c>
      <x:c r="O603" s="9"/>
      <x:c r="P603" s="9"/>
      <x:c r="Q603" s="1" t="str">
        <x:f>IF(B603="","",IF(COUNTIFS($B$7:$B$1006,B603,$C$7:$C$1006,C603)&gt;1,"ID duplicado",IF(OR(A603="",C603="",D603="",E603="",F603="",I603="",J603="",K603="",O603=""),"Completar datos",IF(NOT(ISNUMBER(M603)),"Falta costo histórico","Revisar soporte"))))</x:f>
      </x:c>
      <x:c r="R603" s="9" t="n">
        <x:f>IF(B603="",0,IF(AND(D603="pagada",NOT(ISNUMBER(M603))),1,0))</x:f>
        <x:v>0</x:v>
      </x:c>
    </x:row>
    <x:row r="604" ht="22" customHeight="1">
      <x:c r="A604" s="11"/>
      <x:c r="B604" s="9"/>
      <x:c r="C604" s="9"/>
      <x:c r="D604" s="9"/>
      <x:c r="E604" s="9"/>
      <x:c r="F604" s="9"/>
      <x:c r="G604" s="9"/>
      <x:c r="H604" s="9"/>
      <x:c r="I604" s="13"/>
      <x:c r="J604" s="15"/>
      <x:c r="K604" s="15"/>
      <x:c r="L604" s="17" t="str">
        <x:f>IF(B604="","",IF(NOT(AND(ISNUMBER(J604),ISNUMBER(K604))),"",SUM(J604:K604)))</x:f>
      </x:c>
      <x:c r="M604" s="15"/>
      <x:c r="N604" s="17" t="str">
        <x:f>IF(OR(B604="",D604&lt;&gt;"pagada",NOT(ISNUMBER(J604)),NOT(ISNUMBER(M604))),"",J604-M604)</x:f>
      </x:c>
      <x:c r="O604" s="9"/>
      <x:c r="P604" s="9"/>
      <x:c r="Q604" s="1" t="str">
        <x:f>IF(B604="","",IF(COUNTIFS($B$7:$B$1006,B604,$C$7:$C$1006,C604)&gt;1,"ID duplicado",IF(OR(A604="",C604="",D604="",E604="",F604="",I604="",J604="",K604="",O604=""),"Completar datos",IF(NOT(ISNUMBER(M604)),"Falta costo histórico","Revisar soporte"))))</x:f>
      </x:c>
      <x:c r="R604" s="9" t="n">
        <x:f>IF(B604="",0,IF(AND(D604="pagada",NOT(ISNUMBER(M604))),1,0))</x:f>
        <x:v>0</x:v>
      </x:c>
    </x:row>
    <x:row r="605" ht="22" customHeight="1">
      <x:c r="A605" s="11"/>
      <x:c r="B605" s="9"/>
      <x:c r="C605" s="9"/>
      <x:c r="D605" s="9"/>
      <x:c r="E605" s="9"/>
      <x:c r="F605" s="9"/>
      <x:c r="G605" s="9"/>
      <x:c r="H605" s="9"/>
      <x:c r="I605" s="13"/>
      <x:c r="J605" s="15"/>
      <x:c r="K605" s="15"/>
      <x:c r="L605" s="17" t="str">
        <x:f>IF(B605="","",IF(NOT(AND(ISNUMBER(J605),ISNUMBER(K605))),"",SUM(J605:K605)))</x:f>
      </x:c>
      <x:c r="M605" s="15"/>
      <x:c r="N605" s="17" t="str">
        <x:f>IF(OR(B605="",D605&lt;&gt;"pagada",NOT(ISNUMBER(J605)),NOT(ISNUMBER(M605))),"",J605-M605)</x:f>
      </x:c>
      <x:c r="O605" s="9"/>
      <x:c r="P605" s="9"/>
      <x:c r="Q605" s="1" t="str">
        <x:f>IF(B605="","",IF(COUNTIFS($B$7:$B$1006,B605,$C$7:$C$1006,C605)&gt;1,"ID duplicado",IF(OR(A605="",C605="",D605="",E605="",F605="",I605="",J605="",K605="",O605=""),"Completar datos",IF(NOT(ISNUMBER(M605)),"Falta costo histórico","Revisar soporte"))))</x:f>
      </x:c>
      <x:c r="R605" s="9" t="n">
        <x:f>IF(B605="",0,IF(AND(D605="pagada",NOT(ISNUMBER(M605))),1,0))</x:f>
        <x:v>0</x:v>
      </x:c>
    </x:row>
    <x:row r="606" ht="22" customHeight="1">
      <x:c r="A606" s="11"/>
      <x:c r="B606" s="9"/>
      <x:c r="C606" s="9"/>
      <x:c r="D606" s="9"/>
      <x:c r="E606" s="9"/>
      <x:c r="F606" s="9"/>
      <x:c r="G606" s="9"/>
      <x:c r="H606" s="9"/>
      <x:c r="I606" s="13"/>
      <x:c r="J606" s="15"/>
      <x:c r="K606" s="15"/>
      <x:c r="L606" s="17" t="str">
        <x:f>IF(B606="","",IF(NOT(AND(ISNUMBER(J606),ISNUMBER(K606))),"",SUM(J606:K606)))</x:f>
      </x:c>
      <x:c r="M606" s="15"/>
      <x:c r="N606" s="17" t="str">
        <x:f>IF(OR(B606="",D606&lt;&gt;"pagada",NOT(ISNUMBER(J606)),NOT(ISNUMBER(M606))),"",J606-M606)</x:f>
      </x:c>
      <x:c r="O606" s="9"/>
      <x:c r="P606" s="9"/>
      <x:c r="Q606" s="1" t="str">
        <x:f>IF(B606="","",IF(COUNTIFS($B$7:$B$1006,B606,$C$7:$C$1006,C606)&gt;1,"ID duplicado",IF(OR(A606="",C606="",D606="",E606="",F606="",I606="",J606="",K606="",O606=""),"Completar datos",IF(NOT(ISNUMBER(M606)),"Falta costo histórico","Revisar soporte"))))</x:f>
      </x:c>
      <x:c r="R606" s="9" t="n">
        <x:f>IF(B606="",0,IF(AND(D606="pagada",NOT(ISNUMBER(M606))),1,0))</x:f>
        <x:v>0</x:v>
      </x:c>
    </x:row>
    <x:row r="607" ht="22" customHeight="1">
      <x:c r="A607" s="11"/>
      <x:c r="B607" s="9"/>
      <x:c r="C607" s="9"/>
      <x:c r="D607" s="9"/>
      <x:c r="E607" s="9"/>
      <x:c r="F607" s="9"/>
      <x:c r="G607" s="9"/>
      <x:c r="H607" s="9"/>
      <x:c r="I607" s="13"/>
      <x:c r="J607" s="15"/>
      <x:c r="K607" s="15"/>
      <x:c r="L607" s="17" t="str">
        <x:f>IF(B607="","",IF(NOT(AND(ISNUMBER(J607),ISNUMBER(K607))),"",SUM(J607:K607)))</x:f>
      </x:c>
      <x:c r="M607" s="15"/>
      <x:c r="N607" s="17" t="str">
        <x:f>IF(OR(B607="",D607&lt;&gt;"pagada",NOT(ISNUMBER(J607)),NOT(ISNUMBER(M607))),"",J607-M607)</x:f>
      </x:c>
      <x:c r="O607" s="9"/>
      <x:c r="P607" s="9"/>
      <x:c r="Q607" s="1" t="str">
        <x:f>IF(B607="","",IF(COUNTIFS($B$7:$B$1006,B607,$C$7:$C$1006,C607)&gt;1,"ID duplicado",IF(OR(A607="",C607="",D607="",E607="",F607="",I607="",J607="",K607="",O607=""),"Completar datos",IF(NOT(ISNUMBER(M607)),"Falta costo histórico","Revisar soporte"))))</x:f>
      </x:c>
      <x:c r="R607" s="9" t="n">
        <x:f>IF(B607="",0,IF(AND(D607="pagada",NOT(ISNUMBER(M607))),1,0))</x:f>
        <x:v>0</x:v>
      </x:c>
    </x:row>
    <x:row r="608" ht="22" customHeight="1">
      <x:c r="A608" s="11"/>
      <x:c r="B608" s="9"/>
      <x:c r="C608" s="9"/>
      <x:c r="D608" s="9"/>
      <x:c r="E608" s="9"/>
      <x:c r="F608" s="9"/>
      <x:c r="G608" s="9"/>
      <x:c r="H608" s="9"/>
      <x:c r="I608" s="13"/>
      <x:c r="J608" s="15"/>
      <x:c r="K608" s="15"/>
      <x:c r="L608" s="17" t="str">
        <x:f>IF(B608="","",IF(NOT(AND(ISNUMBER(J608),ISNUMBER(K608))),"",SUM(J608:K608)))</x:f>
      </x:c>
      <x:c r="M608" s="15"/>
      <x:c r="N608" s="17" t="str">
        <x:f>IF(OR(B608="",D608&lt;&gt;"pagada",NOT(ISNUMBER(J608)),NOT(ISNUMBER(M608))),"",J608-M608)</x:f>
      </x:c>
      <x:c r="O608" s="9"/>
      <x:c r="P608" s="9"/>
      <x:c r="Q608" s="1" t="str">
        <x:f>IF(B608="","",IF(COUNTIFS($B$7:$B$1006,B608,$C$7:$C$1006,C608)&gt;1,"ID duplicado",IF(OR(A608="",C608="",D608="",E608="",F608="",I608="",J608="",K608="",O608=""),"Completar datos",IF(NOT(ISNUMBER(M608)),"Falta costo histórico","Revisar soporte"))))</x:f>
      </x:c>
      <x:c r="R608" s="9" t="n">
        <x:f>IF(B608="",0,IF(AND(D608="pagada",NOT(ISNUMBER(M608))),1,0))</x:f>
        <x:v>0</x:v>
      </x:c>
    </x:row>
    <x:row r="609" ht="22" customHeight="1">
      <x:c r="A609" s="11"/>
      <x:c r="B609" s="9"/>
      <x:c r="C609" s="9"/>
      <x:c r="D609" s="9"/>
      <x:c r="E609" s="9"/>
      <x:c r="F609" s="9"/>
      <x:c r="G609" s="9"/>
      <x:c r="H609" s="9"/>
      <x:c r="I609" s="13"/>
      <x:c r="J609" s="15"/>
      <x:c r="K609" s="15"/>
      <x:c r="L609" s="17" t="str">
        <x:f>IF(B609="","",IF(NOT(AND(ISNUMBER(J609),ISNUMBER(K609))),"",SUM(J609:K609)))</x:f>
      </x:c>
      <x:c r="M609" s="15"/>
      <x:c r="N609" s="17" t="str">
        <x:f>IF(OR(B609="",D609&lt;&gt;"pagada",NOT(ISNUMBER(J609)),NOT(ISNUMBER(M609))),"",J609-M609)</x:f>
      </x:c>
      <x:c r="O609" s="9"/>
      <x:c r="P609" s="9"/>
      <x:c r="Q609" s="1" t="str">
        <x:f>IF(B609="","",IF(COUNTIFS($B$7:$B$1006,B609,$C$7:$C$1006,C609)&gt;1,"ID duplicado",IF(OR(A609="",C609="",D609="",E609="",F609="",I609="",J609="",K609="",O609=""),"Completar datos",IF(NOT(ISNUMBER(M609)),"Falta costo histórico","Revisar soporte"))))</x:f>
      </x:c>
      <x:c r="R609" s="9" t="n">
        <x:f>IF(B609="",0,IF(AND(D609="pagada",NOT(ISNUMBER(M609))),1,0))</x:f>
        <x:v>0</x:v>
      </x:c>
    </x:row>
    <x:row r="610" ht="22" customHeight="1">
      <x:c r="A610" s="11"/>
      <x:c r="B610" s="9"/>
      <x:c r="C610" s="9"/>
      <x:c r="D610" s="9"/>
      <x:c r="E610" s="9"/>
      <x:c r="F610" s="9"/>
      <x:c r="G610" s="9"/>
      <x:c r="H610" s="9"/>
      <x:c r="I610" s="13"/>
      <x:c r="J610" s="15"/>
      <x:c r="K610" s="15"/>
      <x:c r="L610" s="17" t="str">
        <x:f>IF(B610="","",IF(NOT(AND(ISNUMBER(J610),ISNUMBER(K610))),"",SUM(J610:K610)))</x:f>
      </x:c>
      <x:c r="M610" s="15"/>
      <x:c r="N610" s="17" t="str">
        <x:f>IF(OR(B610="",D610&lt;&gt;"pagada",NOT(ISNUMBER(J610)),NOT(ISNUMBER(M610))),"",J610-M610)</x:f>
      </x:c>
      <x:c r="O610" s="9"/>
      <x:c r="P610" s="9"/>
      <x:c r="Q610" s="1" t="str">
        <x:f>IF(B610="","",IF(COUNTIFS($B$7:$B$1006,B610,$C$7:$C$1006,C610)&gt;1,"ID duplicado",IF(OR(A610="",C610="",D610="",E610="",F610="",I610="",J610="",K610="",O610=""),"Completar datos",IF(NOT(ISNUMBER(M610)),"Falta costo histórico","Revisar soporte"))))</x:f>
      </x:c>
      <x:c r="R610" s="9" t="n">
        <x:f>IF(B610="",0,IF(AND(D610="pagada",NOT(ISNUMBER(M610))),1,0))</x:f>
        <x:v>0</x:v>
      </x:c>
    </x:row>
    <x:row r="611" ht="22" customHeight="1">
      <x:c r="A611" s="11"/>
      <x:c r="B611" s="9"/>
      <x:c r="C611" s="9"/>
      <x:c r="D611" s="9"/>
      <x:c r="E611" s="9"/>
      <x:c r="F611" s="9"/>
      <x:c r="G611" s="9"/>
      <x:c r="H611" s="9"/>
      <x:c r="I611" s="13"/>
      <x:c r="J611" s="15"/>
      <x:c r="K611" s="15"/>
      <x:c r="L611" s="17" t="str">
        <x:f>IF(B611="","",IF(NOT(AND(ISNUMBER(J611),ISNUMBER(K611))),"",SUM(J611:K611)))</x:f>
      </x:c>
      <x:c r="M611" s="15"/>
      <x:c r="N611" s="17" t="str">
        <x:f>IF(OR(B611="",D611&lt;&gt;"pagada",NOT(ISNUMBER(J611)),NOT(ISNUMBER(M611))),"",J611-M611)</x:f>
      </x:c>
      <x:c r="O611" s="9"/>
      <x:c r="P611" s="9"/>
      <x:c r="Q611" s="1" t="str">
        <x:f>IF(B611="","",IF(COUNTIFS($B$7:$B$1006,B611,$C$7:$C$1006,C611)&gt;1,"ID duplicado",IF(OR(A611="",C611="",D611="",E611="",F611="",I611="",J611="",K611="",O611=""),"Completar datos",IF(NOT(ISNUMBER(M611)),"Falta costo histórico","Revisar soporte"))))</x:f>
      </x:c>
      <x:c r="R611" s="9" t="n">
        <x:f>IF(B611="",0,IF(AND(D611="pagada",NOT(ISNUMBER(M611))),1,0))</x:f>
        <x:v>0</x:v>
      </x:c>
    </x:row>
    <x:row r="612" ht="22" customHeight="1">
      <x:c r="A612" s="11"/>
      <x:c r="B612" s="9"/>
      <x:c r="C612" s="9"/>
      <x:c r="D612" s="9"/>
      <x:c r="E612" s="9"/>
      <x:c r="F612" s="9"/>
      <x:c r="G612" s="9"/>
      <x:c r="H612" s="9"/>
      <x:c r="I612" s="13"/>
      <x:c r="J612" s="15"/>
      <x:c r="K612" s="15"/>
      <x:c r="L612" s="17" t="str">
        <x:f>IF(B612="","",IF(NOT(AND(ISNUMBER(J612),ISNUMBER(K612))),"",SUM(J612:K612)))</x:f>
      </x:c>
      <x:c r="M612" s="15"/>
      <x:c r="N612" s="17" t="str">
        <x:f>IF(OR(B612="",D612&lt;&gt;"pagada",NOT(ISNUMBER(J612)),NOT(ISNUMBER(M612))),"",J612-M612)</x:f>
      </x:c>
      <x:c r="O612" s="9"/>
      <x:c r="P612" s="9"/>
      <x:c r="Q612" s="1" t="str">
        <x:f>IF(B612="","",IF(COUNTIFS($B$7:$B$1006,B612,$C$7:$C$1006,C612)&gt;1,"ID duplicado",IF(OR(A612="",C612="",D612="",E612="",F612="",I612="",J612="",K612="",O612=""),"Completar datos",IF(NOT(ISNUMBER(M612)),"Falta costo histórico","Revisar soporte"))))</x:f>
      </x:c>
      <x:c r="R612" s="9" t="n">
        <x:f>IF(B612="",0,IF(AND(D612="pagada",NOT(ISNUMBER(M612))),1,0))</x:f>
        <x:v>0</x:v>
      </x:c>
    </x:row>
    <x:row r="613" ht="22" customHeight="1">
      <x:c r="A613" s="11"/>
      <x:c r="B613" s="9"/>
      <x:c r="C613" s="9"/>
      <x:c r="D613" s="9"/>
      <x:c r="E613" s="9"/>
      <x:c r="F613" s="9"/>
      <x:c r="G613" s="9"/>
      <x:c r="H613" s="9"/>
      <x:c r="I613" s="13"/>
      <x:c r="J613" s="15"/>
      <x:c r="K613" s="15"/>
      <x:c r="L613" s="17" t="str">
        <x:f>IF(B613="","",IF(NOT(AND(ISNUMBER(J613),ISNUMBER(K613))),"",SUM(J613:K613)))</x:f>
      </x:c>
      <x:c r="M613" s="15"/>
      <x:c r="N613" s="17" t="str">
        <x:f>IF(OR(B613="",D613&lt;&gt;"pagada",NOT(ISNUMBER(J613)),NOT(ISNUMBER(M613))),"",J613-M613)</x:f>
      </x:c>
      <x:c r="O613" s="9"/>
      <x:c r="P613" s="9"/>
      <x:c r="Q613" s="1" t="str">
        <x:f>IF(B613="","",IF(COUNTIFS($B$7:$B$1006,B613,$C$7:$C$1006,C613)&gt;1,"ID duplicado",IF(OR(A613="",C613="",D613="",E613="",F613="",I613="",J613="",K613="",O613=""),"Completar datos",IF(NOT(ISNUMBER(M613)),"Falta costo histórico","Revisar soporte"))))</x:f>
      </x:c>
      <x:c r="R613" s="9" t="n">
        <x:f>IF(B613="",0,IF(AND(D613="pagada",NOT(ISNUMBER(M613))),1,0))</x:f>
        <x:v>0</x:v>
      </x:c>
    </x:row>
    <x:row r="614" ht="22" customHeight="1">
      <x:c r="A614" s="11"/>
      <x:c r="B614" s="9"/>
      <x:c r="C614" s="9"/>
      <x:c r="D614" s="9"/>
      <x:c r="E614" s="9"/>
      <x:c r="F614" s="9"/>
      <x:c r="G614" s="9"/>
      <x:c r="H614" s="9"/>
      <x:c r="I614" s="13"/>
      <x:c r="J614" s="15"/>
      <x:c r="K614" s="15"/>
      <x:c r="L614" s="17" t="str">
        <x:f>IF(B614="","",IF(NOT(AND(ISNUMBER(J614),ISNUMBER(K614))),"",SUM(J614:K614)))</x:f>
      </x:c>
      <x:c r="M614" s="15"/>
      <x:c r="N614" s="17" t="str">
        <x:f>IF(OR(B614="",D614&lt;&gt;"pagada",NOT(ISNUMBER(J614)),NOT(ISNUMBER(M614))),"",J614-M614)</x:f>
      </x:c>
      <x:c r="O614" s="9"/>
      <x:c r="P614" s="9"/>
      <x:c r="Q614" s="1" t="str">
        <x:f>IF(B614="","",IF(COUNTIFS($B$7:$B$1006,B614,$C$7:$C$1006,C614)&gt;1,"ID duplicado",IF(OR(A614="",C614="",D614="",E614="",F614="",I614="",J614="",K614="",O614=""),"Completar datos",IF(NOT(ISNUMBER(M614)),"Falta costo histórico","Revisar soporte"))))</x:f>
      </x:c>
      <x:c r="R614" s="9" t="n">
        <x:f>IF(B614="",0,IF(AND(D614="pagada",NOT(ISNUMBER(M614))),1,0))</x:f>
        <x:v>0</x:v>
      </x:c>
    </x:row>
    <x:row r="615" ht="22" customHeight="1">
      <x:c r="A615" s="11"/>
      <x:c r="B615" s="9"/>
      <x:c r="C615" s="9"/>
      <x:c r="D615" s="9"/>
      <x:c r="E615" s="9"/>
      <x:c r="F615" s="9"/>
      <x:c r="G615" s="9"/>
      <x:c r="H615" s="9"/>
      <x:c r="I615" s="13"/>
      <x:c r="J615" s="15"/>
      <x:c r="K615" s="15"/>
      <x:c r="L615" s="17" t="str">
        <x:f>IF(B615="","",IF(NOT(AND(ISNUMBER(J615),ISNUMBER(K615))),"",SUM(J615:K615)))</x:f>
      </x:c>
      <x:c r="M615" s="15"/>
      <x:c r="N615" s="17" t="str">
        <x:f>IF(OR(B615="",D615&lt;&gt;"pagada",NOT(ISNUMBER(J615)),NOT(ISNUMBER(M615))),"",J615-M615)</x:f>
      </x:c>
      <x:c r="O615" s="9"/>
      <x:c r="P615" s="9"/>
      <x:c r="Q615" s="1" t="str">
        <x:f>IF(B615="","",IF(COUNTIFS($B$7:$B$1006,B615,$C$7:$C$1006,C615)&gt;1,"ID duplicado",IF(OR(A615="",C615="",D615="",E615="",F615="",I615="",J615="",K615="",O615=""),"Completar datos",IF(NOT(ISNUMBER(M615)),"Falta costo histórico","Revisar soporte"))))</x:f>
      </x:c>
      <x:c r="R615" s="9" t="n">
        <x:f>IF(B615="",0,IF(AND(D615="pagada",NOT(ISNUMBER(M615))),1,0))</x:f>
        <x:v>0</x:v>
      </x:c>
    </x:row>
    <x:row r="616" ht="22" customHeight="1">
      <x:c r="A616" s="11"/>
      <x:c r="B616" s="9"/>
      <x:c r="C616" s="9"/>
      <x:c r="D616" s="9"/>
      <x:c r="E616" s="9"/>
      <x:c r="F616" s="9"/>
      <x:c r="G616" s="9"/>
      <x:c r="H616" s="9"/>
      <x:c r="I616" s="13"/>
      <x:c r="J616" s="15"/>
      <x:c r="K616" s="15"/>
      <x:c r="L616" s="17" t="str">
        <x:f>IF(B616="","",IF(NOT(AND(ISNUMBER(J616),ISNUMBER(K616))),"",SUM(J616:K616)))</x:f>
      </x:c>
      <x:c r="M616" s="15"/>
      <x:c r="N616" s="17" t="str">
        <x:f>IF(OR(B616="",D616&lt;&gt;"pagada",NOT(ISNUMBER(J616)),NOT(ISNUMBER(M616))),"",J616-M616)</x:f>
      </x:c>
      <x:c r="O616" s="9"/>
      <x:c r="P616" s="9"/>
      <x:c r="Q616" s="1" t="str">
        <x:f>IF(B616="","",IF(COUNTIFS($B$7:$B$1006,B616,$C$7:$C$1006,C616)&gt;1,"ID duplicado",IF(OR(A616="",C616="",D616="",E616="",F616="",I616="",J616="",K616="",O616=""),"Completar datos",IF(NOT(ISNUMBER(M616)),"Falta costo histórico","Revisar soporte"))))</x:f>
      </x:c>
      <x:c r="R616" s="9" t="n">
        <x:f>IF(B616="",0,IF(AND(D616="pagada",NOT(ISNUMBER(M616))),1,0))</x:f>
        <x:v>0</x:v>
      </x:c>
    </x:row>
    <x:row r="617" ht="22" customHeight="1">
      <x:c r="A617" s="11"/>
      <x:c r="B617" s="9"/>
      <x:c r="C617" s="9"/>
      <x:c r="D617" s="9"/>
      <x:c r="E617" s="9"/>
      <x:c r="F617" s="9"/>
      <x:c r="G617" s="9"/>
      <x:c r="H617" s="9"/>
      <x:c r="I617" s="13"/>
      <x:c r="J617" s="15"/>
      <x:c r="K617" s="15"/>
      <x:c r="L617" s="17" t="str">
        <x:f>IF(B617="","",IF(NOT(AND(ISNUMBER(J617),ISNUMBER(K617))),"",SUM(J617:K617)))</x:f>
      </x:c>
      <x:c r="M617" s="15"/>
      <x:c r="N617" s="17" t="str">
        <x:f>IF(OR(B617="",D617&lt;&gt;"pagada",NOT(ISNUMBER(J617)),NOT(ISNUMBER(M617))),"",J617-M617)</x:f>
      </x:c>
      <x:c r="O617" s="9"/>
      <x:c r="P617" s="9"/>
      <x:c r="Q617" s="1" t="str">
        <x:f>IF(B617="","",IF(COUNTIFS($B$7:$B$1006,B617,$C$7:$C$1006,C617)&gt;1,"ID duplicado",IF(OR(A617="",C617="",D617="",E617="",F617="",I617="",J617="",K617="",O617=""),"Completar datos",IF(NOT(ISNUMBER(M617)),"Falta costo histórico","Revisar soporte"))))</x:f>
      </x:c>
      <x:c r="R617" s="9" t="n">
        <x:f>IF(B617="",0,IF(AND(D617="pagada",NOT(ISNUMBER(M617))),1,0))</x:f>
        <x:v>0</x:v>
      </x:c>
    </x:row>
    <x:row r="618" ht="22" customHeight="1">
      <x:c r="A618" s="11"/>
      <x:c r="B618" s="9"/>
      <x:c r="C618" s="9"/>
      <x:c r="D618" s="9"/>
      <x:c r="E618" s="9"/>
      <x:c r="F618" s="9"/>
      <x:c r="G618" s="9"/>
      <x:c r="H618" s="9"/>
      <x:c r="I618" s="13"/>
      <x:c r="J618" s="15"/>
      <x:c r="K618" s="15"/>
      <x:c r="L618" s="17" t="str">
        <x:f>IF(B618="","",IF(NOT(AND(ISNUMBER(J618),ISNUMBER(K618))),"",SUM(J618:K618)))</x:f>
      </x:c>
      <x:c r="M618" s="15"/>
      <x:c r="N618" s="17" t="str">
        <x:f>IF(OR(B618="",D618&lt;&gt;"pagada",NOT(ISNUMBER(J618)),NOT(ISNUMBER(M618))),"",J618-M618)</x:f>
      </x:c>
      <x:c r="O618" s="9"/>
      <x:c r="P618" s="9"/>
      <x:c r="Q618" s="1" t="str">
        <x:f>IF(B618="","",IF(COUNTIFS($B$7:$B$1006,B618,$C$7:$C$1006,C618)&gt;1,"ID duplicado",IF(OR(A618="",C618="",D618="",E618="",F618="",I618="",J618="",K618="",O618=""),"Completar datos",IF(NOT(ISNUMBER(M618)),"Falta costo histórico","Revisar soporte"))))</x:f>
      </x:c>
      <x:c r="R618" s="9" t="n">
        <x:f>IF(B618="",0,IF(AND(D618="pagada",NOT(ISNUMBER(M618))),1,0))</x:f>
        <x:v>0</x:v>
      </x:c>
    </x:row>
    <x:row r="619" ht="22" customHeight="1">
      <x:c r="A619" s="11"/>
      <x:c r="B619" s="9"/>
      <x:c r="C619" s="9"/>
      <x:c r="D619" s="9"/>
      <x:c r="E619" s="9"/>
      <x:c r="F619" s="9"/>
      <x:c r="G619" s="9"/>
      <x:c r="H619" s="9"/>
      <x:c r="I619" s="13"/>
      <x:c r="J619" s="15"/>
      <x:c r="K619" s="15"/>
      <x:c r="L619" s="17" t="str">
        <x:f>IF(B619="","",IF(NOT(AND(ISNUMBER(J619),ISNUMBER(K619))),"",SUM(J619:K619)))</x:f>
      </x:c>
      <x:c r="M619" s="15"/>
      <x:c r="N619" s="17" t="str">
        <x:f>IF(OR(B619="",D619&lt;&gt;"pagada",NOT(ISNUMBER(J619)),NOT(ISNUMBER(M619))),"",J619-M619)</x:f>
      </x:c>
      <x:c r="O619" s="9"/>
      <x:c r="P619" s="9"/>
      <x:c r="Q619" s="1" t="str">
        <x:f>IF(B619="","",IF(COUNTIFS($B$7:$B$1006,B619,$C$7:$C$1006,C619)&gt;1,"ID duplicado",IF(OR(A619="",C619="",D619="",E619="",F619="",I619="",J619="",K619="",O619=""),"Completar datos",IF(NOT(ISNUMBER(M619)),"Falta costo histórico","Revisar soporte"))))</x:f>
      </x:c>
      <x:c r="R619" s="9" t="n">
        <x:f>IF(B619="",0,IF(AND(D619="pagada",NOT(ISNUMBER(M619))),1,0))</x:f>
        <x:v>0</x:v>
      </x:c>
    </x:row>
    <x:row r="620" ht="22" customHeight="1">
      <x:c r="A620" s="11"/>
      <x:c r="B620" s="9"/>
      <x:c r="C620" s="9"/>
      <x:c r="D620" s="9"/>
      <x:c r="E620" s="9"/>
      <x:c r="F620" s="9"/>
      <x:c r="G620" s="9"/>
      <x:c r="H620" s="9"/>
      <x:c r="I620" s="13"/>
      <x:c r="J620" s="15"/>
      <x:c r="K620" s="15"/>
      <x:c r="L620" s="17" t="str">
        <x:f>IF(B620="","",IF(NOT(AND(ISNUMBER(J620),ISNUMBER(K620))),"",SUM(J620:K620)))</x:f>
      </x:c>
      <x:c r="M620" s="15"/>
      <x:c r="N620" s="17" t="str">
        <x:f>IF(OR(B620="",D620&lt;&gt;"pagada",NOT(ISNUMBER(J620)),NOT(ISNUMBER(M620))),"",J620-M620)</x:f>
      </x:c>
      <x:c r="O620" s="9"/>
      <x:c r="P620" s="9"/>
      <x:c r="Q620" s="1" t="str">
        <x:f>IF(B620="","",IF(COUNTIFS($B$7:$B$1006,B620,$C$7:$C$1006,C620)&gt;1,"ID duplicado",IF(OR(A620="",C620="",D620="",E620="",F620="",I620="",J620="",K620="",O620=""),"Completar datos",IF(NOT(ISNUMBER(M620)),"Falta costo histórico","Revisar soporte"))))</x:f>
      </x:c>
      <x:c r="R620" s="9" t="n">
        <x:f>IF(B620="",0,IF(AND(D620="pagada",NOT(ISNUMBER(M620))),1,0))</x:f>
        <x:v>0</x:v>
      </x:c>
    </x:row>
    <x:row r="621" ht="22" customHeight="1">
      <x:c r="A621" s="11"/>
      <x:c r="B621" s="9"/>
      <x:c r="C621" s="9"/>
      <x:c r="D621" s="9"/>
      <x:c r="E621" s="9"/>
      <x:c r="F621" s="9"/>
      <x:c r="G621" s="9"/>
      <x:c r="H621" s="9"/>
      <x:c r="I621" s="13"/>
      <x:c r="J621" s="15"/>
      <x:c r="K621" s="15"/>
      <x:c r="L621" s="17" t="str">
        <x:f>IF(B621="","",IF(NOT(AND(ISNUMBER(J621),ISNUMBER(K621))),"",SUM(J621:K621)))</x:f>
      </x:c>
      <x:c r="M621" s="15"/>
      <x:c r="N621" s="17" t="str">
        <x:f>IF(OR(B621="",D621&lt;&gt;"pagada",NOT(ISNUMBER(J621)),NOT(ISNUMBER(M621))),"",J621-M621)</x:f>
      </x:c>
      <x:c r="O621" s="9"/>
      <x:c r="P621" s="9"/>
      <x:c r="Q621" s="1" t="str">
        <x:f>IF(B621="","",IF(COUNTIFS($B$7:$B$1006,B621,$C$7:$C$1006,C621)&gt;1,"ID duplicado",IF(OR(A621="",C621="",D621="",E621="",F621="",I621="",J621="",K621="",O621=""),"Completar datos",IF(NOT(ISNUMBER(M621)),"Falta costo histórico","Revisar soporte"))))</x:f>
      </x:c>
      <x:c r="R621" s="9" t="n">
        <x:f>IF(B621="",0,IF(AND(D621="pagada",NOT(ISNUMBER(M621))),1,0))</x:f>
        <x:v>0</x:v>
      </x:c>
    </x:row>
    <x:row r="622" ht="22" customHeight="1">
      <x:c r="A622" s="11"/>
      <x:c r="B622" s="9"/>
      <x:c r="C622" s="9"/>
      <x:c r="D622" s="9"/>
      <x:c r="E622" s="9"/>
      <x:c r="F622" s="9"/>
      <x:c r="G622" s="9"/>
      <x:c r="H622" s="9"/>
      <x:c r="I622" s="13"/>
      <x:c r="J622" s="15"/>
      <x:c r="K622" s="15"/>
      <x:c r="L622" s="17" t="str">
        <x:f>IF(B622="","",IF(NOT(AND(ISNUMBER(J622),ISNUMBER(K622))),"",SUM(J622:K622)))</x:f>
      </x:c>
      <x:c r="M622" s="15"/>
      <x:c r="N622" s="17" t="str">
        <x:f>IF(OR(B622="",D622&lt;&gt;"pagada",NOT(ISNUMBER(J622)),NOT(ISNUMBER(M622))),"",J622-M622)</x:f>
      </x:c>
      <x:c r="O622" s="9"/>
      <x:c r="P622" s="9"/>
      <x:c r="Q622" s="1" t="str">
        <x:f>IF(B622="","",IF(COUNTIFS($B$7:$B$1006,B622,$C$7:$C$1006,C622)&gt;1,"ID duplicado",IF(OR(A622="",C622="",D622="",E622="",F622="",I622="",J622="",K622="",O622=""),"Completar datos",IF(NOT(ISNUMBER(M622)),"Falta costo histórico","Revisar soporte"))))</x:f>
      </x:c>
      <x:c r="R622" s="9" t="n">
        <x:f>IF(B622="",0,IF(AND(D622="pagada",NOT(ISNUMBER(M622))),1,0))</x:f>
        <x:v>0</x:v>
      </x:c>
    </x:row>
    <x:row r="623" ht="22" customHeight="1">
      <x:c r="A623" s="11"/>
      <x:c r="B623" s="9"/>
      <x:c r="C623" s="9"/>
      <x:c r="D623" s="9"/>
      <x:c r="E623" s="9"/>
      <x:c r="F623" s="9"/>
      <x:c r="G623" s="9"/>
      <x:c r="H623" s="9"/>
      <x:c r="I623" s="13"/>
      <x:c r="J623" s="15"/>
      <x:c r="K623" s="15"/>
      <x:c r="L623" s="17" t="str">
        <x:f>IF(B623="","",IF(NOT(AND(ISNUMBER(J623),ISNUMBER(K623))),"",SUM(J623:K623)))</x:f>
      </x:c>
      <x:c r="M623" s="15"/>
      <x:c r="N623" s="17" t="str">
        <x:f>IF(OR(B623="",D623&lt;&gt;"pagada",NOT(ISNUMBER(J623)),NOT(ISNUMBER(M623))),"",J623-M623)</x:f>
      </x:c>
      <x:c r="O623" s="9"/>
      <x:c r="P623" s="9"/>
      <x:c r="Q623" s="1" t="str">
        <x:f>IF(B623="","",IF(COUNTIFS($B$7:$B$1006,B623,$C$7:$C$1006,C623)&gt;1,"ID duplicado",IF(OR(A623="",C623="",D623="",E623="",F623="",I623="",J623="",K623="",O623=""),"Completar datos",IF(NOT(ISNUMBER(M623)),"Falta costo histórico","Revisar soporte"))))</x:f>
      </x:c>
      <x:c r="R623" s="9" t="n">
        <x:f>IF(B623="",0,IF(AND(D623="pagada",NOT(ISNUMBER(M623))),1,0))</x:f>
        <x:v>0</x:v>
      </x:c>
    </x:row>
    <x:row r="624" ht="22" customHeight="1">
      <x:c r="A624" s="11"/>
      <x:c r="B624" s="9"/>
      <x:c r="C624" s="9"/>
      <x:c r="D624" s="9"/>
      <x:c r="E624" s="9"/>
      <x:c r="F624" s="9"/>
      <x:c r="G624" s="9"/>
      <x:c r="H624" s="9"/>
      <x:c r="I624" s="13"/>
      <x:c r="J624" s="15"/>
      <x:c r="K624" s="15"/>
      <x:c r="L624" s="17" t="str">
        <x:f>IF(B624="","",IF(NOT(AND(ISNUMBER(J624),ISNUMBER(K624))),"",SUM(J624:K624)))</x:f>
      </x:c>
      <x:c r="M624" s="15"/>
      <x:c r="N624" s="17" t="str">
        <x:f>IF(OR(B624="",D624&lt;&gt;"pagada",NOT(ISNUMBER(J624)),NOT(ISNUMBER(M624))),"",J624-M624)</x:f>
      </x:c>
      <x:c r="O624" s="9"/>
      <x:c r="P624" s="9"/>
      <x:c r="Q624" s="1" t="str">
        <x:f>IF(B624="","",IF(COUNTIFS($B$7:$B$1006,B624,$C$7:$C$1006,C624)&gt;1,"ID duplicado",IF(OR(A624="",C624="",D624="",E624="",F624="",I624="",J624="",K624="",O624=""),"Completar datos",IF(NOT(ISNUMBER(M624)),"Falta costo histórico","Revisar soporte"))))</x:f>
      </x:c>
      <x:c r="R624" s="9" t="n">
        <x:f>IF(B624="",0,IF(AND(D624="pagada",NOT(ISNUMBER(M624))),1,0))</x:f>
        <x:v>0</x:v>
      </x:c>
    </x:row>
    <x:row r="625" ht="22" customHeight="1">
      <x:c r="A625" s="11"/>
      <x:c r="B625" s="9"/>
      <x:c r="C625" s="9"/>
      <x:c r="D625" s="9"/>
      <x:c r="E625" s="9"/>
      <x:c r="F625" s="9"/>
      <x:c r="G625" s="9"/>
      <x:c r="H625" s="9"/>
      <x:c r="I625" s="13"/>
      <x:c r="J625" s="15"/>
      <x:c r="K625" s="15"/>
      <x:c r="L625" s="17" t="str">
        <x:f>IF(B625="","",IF(NOT(AND(ISNUMBER(J625),ISNUMBER(K625))),"",SUM(J625:K625)))</x:f>
      </x:c>
      <x:c r="M625" s="15"/>
      <x:c r="N625" s="17" t="str">
        <x:f>IF(OR(B625="",D625&lt;&gt;"pagada",NOT(ISNUMBER(J625)),NOT(ISNUMBER(M625))),"",J625-M625)</x:f>
      </x:c>
      <x:c r="O625" s="9"/>
      <x:c r="P625" s="9"/>
      <x:c r="Q625" s="1" t="str">
        <x:f>IF(B625="","",IF(COUNTIFS($B$7:$B$1006,B625,$C$7:$C$1006,C625)&gt;1,"ID duplicado",IF(OR(A625="",C625="",D625="",E625="",F625="",I625="",J625="",K625="",O625=""),"Completar datos",IF(NOT(ISNUMBER(M625)),"Falta costo histórico","Revisar soporte"))))</x:f>
      </x:c>
      <x:c r="R625" s="9" t="n">
        <x:f>IF(B625="",0,IF(AND(D625="pagada",NOT(ISNUMBER(M625))),1,0))</x:f>
        <x:v>0</x:v>
      </x:c>
    </x:row>
    <x:row r="626" ht="22" customHeight="1">
      <x:c r="A626" s="11"/>
      <x:c r="B626" s="9"/>
      <x:c r="C626" s="9"/>
      <x:c r="D626" s="9"/>
      <x:c r="E626" s="9"/>
      <x:c r="F626" s="9"/>
      <x:c r="G626" s="9"/>
      <x:c r="H626" s="9"/>
      <x:c r="I626" s="13"/>
      <x:c r="J626" s="15"/>
      <x:c r="K626" s="15"/>
      <x:c r="L626" s="17" t="str">
        <x:f>IF(B626="","",IF(NOT(AND(ISNUMBER(J626),ISNUMBER(K626))),"",SUM(J626:K626)))</x:f>
      </x:c>
      <x:c r="M626" s="15"/>
      <x:c r="N626" s="17" t="str">
        <x:f>IF(OR(B626="",D626&lt;&gt;"pagada",NOT(ISNUMBER(J626)),NOT(ISNUMBER(M626))),"",J626-M626)</x:f>
      </x:c>
      <x:c r="O626" s="9"/>
      <x:c r="P626" s="9"/>
      <x:c r="Q626" s="1" t="str">
        <x:f>IF(B626="","",IF(COUNTIFS($B$7:$B$1006,B626,$C$7:$C$1006,C626)&gt;1,"ID duplicado",IF(OR(A626="",C626="",D626="",E626="",F626="",I626="",J626="",K626="",O626=""),"Completar datos",IF(NOT(ISNUMBER(M626)),"Falta costo histórico","Revisar soporte"))))</x:f>
      </x:c>
      <x:c r="R626" s="9" t="n">
        <x:f>IF(B626="",0,IF(AND(D626="pagada",NOT(ISNUMBER(M626))),1,0))</x:f>
        <x:v>0</x:v>
      </x:c>
    </x:row>
    <x:row r="627" ht="22" customHeight="1">
      <x:c r="A627" s="11"/>
      <x:c r="B627" s="9"/>
      <x:c r="C627" s="9"/>
      <x:c r="D627" s="9"/>
      <x:c r="E627" s="9"/>
      <x:c r="F627" s="9"/>
      <x:c r="G627" s="9"/>
      <x:c r="H627" s="9"/>
      <x:c r="I627" s="13"/>
      <x:c r="J627" s="15"/>
      <x:c r="K627" s="15"/>
      <x:c r="L627" s="17" t="str">
        <x:f>IF(B627="","",IF(NOT(AND(ISNUMBER(J627),ISNUMBER(K627))),"",SUM(J627:K627)))</x:f>
      </x:c>
      <x:c r="M627" s="15"/>
      <x:c r="N627" s="17" t="str">
        <x:f>IF(OR(B627="",D627&lt;&gt;"pagada",NOT(ISNUMBER(J627)),NOT(ISNUMBER(M627))),"",J627-M627)</x:f>
      </x:c>
      <x:c r="O627" s="9"/>
      <x:c r="P627" s="9"/>
      <x:c r="Q627" s="1" t="str">
        <x:f>IF(B627="","",IF(COUNTIFS($B$7:$B$1006,B627,$C$7:$C$1006,C627)&gt;1,"ID duplicado",IF(OR(A627="",C627="",D627="",E627="",F627="",I627="",J627="",K627="",O627=""),"Completar datos",IF(NOT(ISNUMBER(M627)),"Falta costo histórico","Revisar soporte"))))</x:f>
      </x:c>
      <x:c r="R627" s="9" t="n">
        <x:f>IF(B627="",0,IF(AND(D627="pagada",NOT(ISNUMBER(M627))),1,0))</x:f>
        <x:v>0</x:v>
      </x:c>
    </x:row>
    <x:row r="628" ht="22" customHeight="1">
      <x:c r="A628" s="11"/>
      <x:c r="B628" s="9"/>
      <x:c r="C628" s="9"/>
      <x:c r="D628" s="9"/>
      <x:c r="E628" s="9"/>
      <x:c r="F628" s="9"/>
      <x:c r="G628" s="9"/>
      <x:c r="H628" s="9"/>
      <x:c r="I628" s="13"/>
      <x:c r="J628" s="15"/>
      <x:c r="K628" s="15"/>
      <x:c r="L628" s="17" t="str">
        <x:f>IF(B628="","",IF(NOT(AND(ISNUMBER(J628),ISNUMBER(K628))),"",SUM(J628:K628)))</x:f>
      </x:c>
      <x:c r="M628" s="15"/>
      <x:c r="N628" s="17" t="str">
        <x:f>IF(OR(B628="",D628&lt;&gt;"pagada",NOT(ISNUMBER(J628)),NOT(ISNUMBER(M628))),"",J628-M628)</x:f>
      </x:c>
      <x:c r="O628" s="9"/>
      <x:c r="P628" s="9"/>
      <x:c r="Q628" s="1" t="str">
        <x:f>IF(B628="","",IF(COUNTIFS($B$7:$B$1006,B628,$C$7:$C$1006,C628)&gt;1,"ID duplicado",IF(OR(A628="",C628="",D628="",E628="",F628="",I628="",J628="",K628="",O628=""),"Completar datos",IF(NOT(ISNUMBER(M628)),"Falta costo histórico","Revisar soporte"))))</x:f>
      </x:c>
      <x:c r="R628" s="9" t="n">
        <x:f>IF(B628="",0,IF(AND(D628="pagada",NOT(ISNUMBER(M628))),1,0))</x:f>
        <x:v>0</x:v>
      </x:c>
    </x:row>
    <x:row r="629" ht="22" customHeight="1">
      <x:c r="A629" s="11"/>
      <x:c r="B629" s="9"/>
      <x:c r="C629" s="9"/>
      <x:c r="D629" s="9"/>
      <x:c r="E629" s="9"/>
      <x:c r="F629" s="9"/>
      <x:c r="G629" s="9"/>
      <x:c r="H629" s="9"/>
      <x:c r="I629" s="13"/>
      <x:c r="J629" s="15"/>
      <x:c r="K629" s="15"/>
      <x:c r="L629" s="17" t="str">
        <x:f>IF(B629="","",IF(NOT(AND(ISNUMBER(J629),ISNUMBER(K629))),"",SUM(J629:K629)))</x:f>
      </x:c>
      <x:c r="M629" s="15"/>
      <x:c r="N629" s="17" t="str">
        <x:f>IF(OR(B629="",D629&lt;&gt;"pagada",NOT(ISNUMBER(J629)),NOT(ISNUMBER(M629))),"",J629-M629)</x:f>
      </x:c>
      <x:c r="O629" s="9"/>
      <x:c r="P629" s="9"/>
      <x:c r="Q629" s="1" t="str">
        <x:f>IF(B629="","",IF(COUNTIFS($B$7:$B$1006,B629,$C$7:$C$1006,C629)&gt;1,"ID duplicado",IF(OR(A629="",C629="",D629="",E629="",F629="",I629="",J629="",K629="",O629=""),"Completar datos",IF(NOT(ISNUMBER(M629)),"Falta costo histórico","Revisar soporte"))))</x:f>
      </x:c>
      <x:c r="R629" s="9" t="n">
        <x:f>IF(B629="",0,IF(AND(D629="pagada",NOT(ISNUMBER(M629))),1,0))</x:f>
        <x:v>0</x:v>
      </x:c>
    </x:row>
    <x:row r="630" ht="22" customHeight="1">
      <x:c r="A630" s="11"/>
      <x:c r="B630" s="9"/>
      <x:c r="C630" s="9"/>
      <x:c r="D630" s="9"/>
      <x:c r="E630" s="9"/>
      <x:c r="F630" s="9"/>
      <x:c r="G630" s="9"/>
      <x:c r="H630" s="9"/>
      <x:c r="I630" s="13"/>
      <x:c r="J630" s="15"/>
      <x:c r="K630" s="15"/>
      <x:c r="L630" s="17" t="str">
        <x:f>IF(B630="","",IF(NOT(AND(ISNUMBER(J630),ISNUMBER(K630))),"",SUM(J630:K630)))</x:f>
      </x:c>
      <x:c r="M630" s="15"/>
      <x:c r="N630" s="17" t="str">
        <x:f>IF(OR(B630="",D630&lt;&gt;"pagada",NOT(ISNUMBER(J630)),NOT(ISNUMBER(M630))),"",J630-M630)</x:f>
      </x:c>
      <x:c r="O630" s="9"/>
      <x:c r="P630" s="9"/>
      <x:c r="Q630" s="1" t="str">
        <x:f>IF(B630="","",IF(COUNTIFS($B$7:$B$1006,B630,$C$7:$C$1006,C630)&gt;1,"ID duplicado",IF(OR(A630="",C630="",D630="",E630="",F630="",I630="",J630="",K630="",O630=""),"Completar datos",IF(NOT(ISNUMBER(M630)),"Falta costo histórico","Revisar soporte"))))</x:f>
      </x:c>
      <x:c r="R630" s="9" t="n">
        <x:f>IF(B630="",0,IF(AND(D630="pagada",NOT(ISNUMBER(M630))),1,0))</x:f>
        <x:v>0</x:v>
      </x:c>
    </x:row>
    <x:row r="631" ht="22" customHeight="1">
      <x:c r="A631" s="11"/>
      <x:c r="B631" s="9"/>
      <x:c r="C631" s="9"/>
      <x:c r="D631" s="9"/>
      <x:c r="E631" s="9"/>
      <x:c r="F631" s="9"/>
      <x:c r="G631" s="9"/>
      <x:c r="H631" s="9"/>
      <x:c r="I631" s="13"/>
      <x:c r="J631" s="15"/>
      <x:c r="K631" s="15"/>
      <x:c r="L631" s="17" t="str">
        <x:f>IF(B631="","",IF(NOT(AND(ISNUMBER(J631),ISNUMBER(K631))),"",SUM(J631:K631)))</x:f>
      </x:c>
      <x:c r="M631" s="15"/>
      <x:c r="N631" s="17" t="str">
        <x:f>IF(OR(B631="",D631&lt;&gt;"pagada",NOT(ISNUMBER(J631)),NOT(ISNUMBER(M631))),"",J631-M631)</x:f>
      </x:c>
      <x:c r="O631" s="9"/>
      <x:c r="P631" s="9"/>
      <x:c r="Q631" s="1" t="str">
        <x:f>IF(B631="","",IF(COUNTIFS($B$7:$B$1006,B631,$C$7:$C$1006,C631)&gt;1,"ID duplicado",IF(OR(A631="",C631="",D631="",E631="",F631="",I631="",J631="",K631="",O631=""),"Completar datos",IF(NOT(ISNUMBER(M631)),"Falta costo histórico","Revisar soporte"))))</x:f>
      </x:c>
      <x:c r="R631" s="9" t="n">
        <x:f>IF(B631="",0,IF(AND(D631="pagada",NOT(ISNUMBER(M631))),1,0))</x:f>
        <x:v>0</x:v>
      </x:c>
    </x:row>
    <x:row r="632" ht="22" customHeight="1">
      <x:c r="A632" s="11"/>
      <x:c r="B632" s="9"/>
      <x:c r="C632" s="9"/>
      <x:c r="D632" s="9"/>
      <x:c r="E632" s="9"/>
      <x:c r="F632" s="9"/>
      <x:c r="G632" s="9"/>
      <x:c r="H632" s="9"/>
      <x:c r="I632" s="13"/>
      <x:c r="J632" s="15"/>
      <x:c r="K632" s="15"/>
      <x:c r="L632" s="17" t="str">
        <x:f>IF(B632="","",IF(NOT(AND(ISNUMBER(J632),ISNUMBER(K632))),"",SUM(J632:K632)))</x:f>
      </x:c>
      <x:c r="M632" s="15"/>
      <x:c r="N632" s="17" t="str">
        <x:f>IF(OR(B632="",D632&lt;&gt;"pagada",NOT(ISNUMBER(J632)),NOT(ISNUMBER(M632))),"",J632-M632)</x:f>
      </x:c>
      <x:c r="O632" s="9"/>
      <x:c r="P632" s="9"/>
      <x:c r="Q632" s="1" t="str">
        <x:f>IF(B632="","",IF(COUNTIFS($B$7:$B$1006,B632,$C$7:$C$1006,C632)&gt;1,"ID duplicado",IF(OR(A632="",C632="",D632="",E632="",F632="",I632="",J632="",K632="",O632=""),"Completar datos",IF(NOT(ISNUMBER(M632)),"Falta costo histórico","Revisar soporte"))))</x:f>
      </x:c>
      <x:c r="R632" s="9" t="n">
        <x:f>IF(B632="",0,IF(AND(D632="pagada",NOT(ISNUMBER(M632))),1,0))</x:f>
        <x:v>0</x:v>
      </x:c>
    </x:row>
    <x:row r="633" ht="22" customHeight="1">
      <x:c r="A633" s="11"/>
      <x:c r="B633" s="9"/>
      <x:c r="C633" s="9"/>
      <x:c r="D633" s="9"/>
      <x:c r="E633" s="9"/>
      <x:c r="F633" s="9"/>
      <x:c r="G633" s="9"/>
      <x:c r="H633" s="9"/>
      <x:c r="I633" s="13"/>
      <x:c r="J633" s="15"/>
      <x:c r="K633" s="15"/>
      <x:c r="L633" s="17" t="str">
        <x:f>IF(B633="","",IF(NOT(AND(ISNUMBER(J633),ISNUMBER(K633))),"",SUM(J633:K633)))</x:f>
      </x:c>
      <x:c r="M633" s="15"/>
      <x:c r="N633" s="17" t="str">
        <x:f>IF(OR(B633="",D633&lt;&gt;"pagada",NOT(ISNUMBER(J633)),NOT(ISNUMBER(M633))),"",J633-M633)</x:f>
      </x:c>
      <x:c r="O633" s="9"/>
      <x:c r="P633" s="9"/>
      <x:c r="Q633" s="1" t="str">
        <x:f>IF(B633="","",IF(COUNTIFS($B$7:$B$1006,B633,$C$7:$C$1006,C633)&gt;1,"ID duplicado",IF(OR(A633="",C633="",D633="",E633="",F633="",I633="",J633="",K633="",O633=""),"Completar datos",IF(NOT(ISNUMBER(M633)),"Falta costo histórico","Revisar soporte"))))</x:f>
      </x:c>
      <x:c r="R633" s="9" t="n">
        <x:f>IF(B633="",0,IF(AND(D633="pagada",NOT(ISNUMBER(M633))),1,0))</x:f>
        <x:v>0</x:v>
      </x:c>
    </x:row>
    <x:row r="634" ht="22" customHeight="1">
      <x:c r="A634" s="11"/>
      <x:c r="B634" s="9"/>
      <x:c r="C634" s="9"/>
      <x:c r="D634" s="9"/>
      <x:c r="E634" s="9"/>
      <x:c r="F634" s="9"/>
      <x:c r="G634" s="9"/>
      <x:c r="H634" s="9"/>
      <x:c r="I634" s="13"/>
      <x:c r="J634" s="15"/>
      <x:c r="K634" s="15"/>
      <x:c r="L634" s="17" t="str">
        <x:f>IF(B634="","",IF(NOT(AND(ISNUMBER(J634),ISNUMBER(K634))),"",SUM(J634:K634)))</x:f>
      </x:c>
      <x:c r="M634" s="15"/>
      <x:c r="N634" s="17" t="str">
        <x:f>IF(OR(B634="",D634&lt;&gt;"pagada",NOT(ISNUMBER(J634)),NOT(ISNUMBER(M634))),"",J634-M634)</x:f>
      </x:c>
      <x:c r="O634" s="9"/>
      <x:c r="P634" s="9"/>
      <x:c r="Q634" s="1" t="str">
        <x:f>IF(B634="","",IF(COUNTIFS($B$7:$B$1006,B634,$C$7:$C$1006,C634)&gt;1,"ID duplicado",IF(OR(A634="",C634="",D634="",E634="",F634="",I634="",J634="",K634="",O634=""),"Completar datos",IF(NOT(ISNUMBER(M634)),"Falta costo histórico","Revisar soporte"))))</x:f>
      </x:c>
      <x:c r="R634" s="9" t="n">
        <x:f>IF(B634="",0,IF(AND(D634="pagada",NOT(ISNUMBER(M634))),1,0))</x:f>
        <x:v>0</x:v>
      </x:c>
    </x:row>
    <x:row r="635" ht="22" customHeight="1">
      <x:c r="A635" s="11"/>
      <x:c r="B635" s="9"/>
      <x:c r="C635" s="9"/>
      <x:c r="D635" s="9"/>
      <x:c r="E635" s="9"/>
      <x:c r="F635" s="9"/>
      <x:c r="G635" s="9"/>
      <x:c r="H635" s="9"/>
      <x:c r="I635" s="13"/>
      <x:c r="J635" s="15"/>
      <x:c r="K635" s="15"/>
      <x:c r="L635" s="17" t="str">
        <x:f>IF(B635="","",IF(NOT(AND(ISNUMBER(J635),ISNUMBER(K635))),"",SUM(J635:K635)))</x:f>
      </x:c>
      <x:c r="M635" s="15"/>
      <x:c r="N635" s="17" t="str">
        <x:f>IF(OR(B635="",D635&lt;&gt;"pagada",NOT(ISNUMBER(J635)),NOT(ISNUMBER(M635))),"",J635-M635)</x:f>
      </x:c>
      <x:c r="O635" s="9"/>
      <x:c r="P635" s="9"/>
      <x:c r="Q635" s="1" t="str">
        <x:f>IF(B635="","",IF(COUNTIFS($B$7:$B$1006,B635,$C$7:$C$1006,C635)&gt;1,"ID duplicado",IF(OR(A635="",C635="",D635="",E635="",F635="",I635="",J635="",K635="",O635=""),"Completar datos",IF(NOT(ISNUMBER(M635)),"Falta costo histórico","Revisar soporte"))))</x:f>
      </x:c>
      <x:c r="R635" s="9" t="n">
        <x:f>IF(B635="",0,IF(AND(D635="pagada",NOT(ISNUMBER(M635))),1,0))</x:f>
        <x:v>0</x:v>
      </x:c>
    </x:row>
    <x:row r="636" ht="22" customHeight="1">
      <x:c r="A636" s="11"/>
      <x:c r="B636" s="9"/>
      <x:c r="C636" s="9"/>
      <x:c r="D636" s="9"/>
      <x:c r="E636" s="9"/>
      <x:c r="F636" s="9"/>
      <x:c r="G636" s="9"/>
      <x:c r="H636" s="9"/>
      <x:c r="I636" s="13"/>
      <x:c r="J636" s="15"/>
      <x:c r="K636" s="15"/>
      <x:c r="L636" s="17" t="str">
        <x:f>IF(B636="","",IF(NOT(AND(ISNUMBER(J636),ISNUMBER(K636))),"",SUM(J636:K636)))</x:f>
      </x:c>
      <x:c r="M636" s="15"/>
      <x:c r="N636" s="17" t="str">
        <x:f>IF(OR(B636="",D636&lt;&gt;"pagada",NOT(ISNUMBER(J636)),NOT(ISNUMBER(M636))),"",J636-M636)</x:f>
      </x:c>
      <x:c r="O636" s="9"/>
      <x:c r="P636" s="9"/>
      <x:c r="Q636" s="1" t="str">
        <x:f>IF(B636="","",IF(COUNTIFS($B$7:$B$1006,B636,$C$7:$C$1006,C636)&gt;1,"ID duplicado",IF(OR(A636="",C636="",D636="",E636="",F636="",I636="",J636="",K636="",O636=""),"Completar datos",IF(NOT(ISNUMBER(M636)),"Falta costo histórico","Revisar soporte"))))</x:f>
      </x:c>
      <x:c r="R636" s="9" t="n">
        <x:f>IF(B636="",0,IF(AND(D636="pagada",NOT(ISNUMBER(M636))),1,0))</x:f>
        <x:v>0</x:v>
      </x:c>
    </x:row>
    <x:row r="637" ht="22" customHeight="1">
      <x:c r="A637" s="11"/>
      <x:c r="B637" s="9"/>
      <x:c r="C637" s="9"/>
      <x:c r="D637" s="9"/>
      <x:c r="E637" s="9"/>
      <x:c r="F637" s="9"/>
      <x:c r="G637" s="9"/>
      <x:c r="H637" s="9"/>
      <x:c r="I637" s="13"/>
      <x:c r="J637" s="15"/>
      <x:c r="K637" s="15"/>
      <x:c r="L637" s="17" t="str">
        <x:f>IF(B637="","",IF(NOT(AND(ISNUMBER(J637),ISNUMBER(K637))),"",SUM(J637:K637)))</x:f>
      </x:c>
      <x:c r="M637" s="15"/>
      <x:c r="N637" s="17" t="str">
        <x:f>IF(OR(B637="",D637&lt;&gt;"pagada",NOT(ISNUMBER(J637)),NOT(ISNUMBER(M637))),"",J637-M637)</x:f>
      </x:c>
      <x:c r="O637" s="9"/>
      <x:c r="P637" s="9"/>
      <x:c r="Q637" s="1" t="str">
        <x:f>IF(B637="","",IF(COUNTIFS($B$7:$B$1006,B637,$C$7:$C$1006,C637)&gt;1,"ID duplicado",IF(OR(A637="",C637="",D637="",E637="",F637="",I637="",J637="",K637="",O637=""),"Completar datos",IF(NOT(ISNUMBER(M637)),"Falta costo histórico","Revisar soporte"))))</x:f>
      </x:c>
      <x:c r="R637" s="9" t="n">
        <x:f>IF(B637="",0,IF(AND(D637="pagada",NOT(ISNUMBER(M637))),1,0))</x:f>
        <x:v>0</x:v>
      </x:c>
    </x:row>
    <x:row r="638" ht="22" customHeight="1">
      <x:c r="A638" s="11"/>
      <x:c r="B638" s="9"/>
      <x:c r="C638" s="9"/>
      <x:c r="D638" s="9"/>
      <x:c r="E638" s="9"/>
      <x:c r="F638" s="9"/>
      <x:c r="G638" s="9"/>
      <x:c r="H638" s="9"/>
      <x:c r="I638" s="13"/>
      <x:c r="J638" s="15"/>
      <x:c r="K638" s="15"/>
      <x:c r="L638" s="17" t="str">
        <x:f>IF(B638="","",IF(NOT(AND(ISNUMBER(J638),ISNUMBER(K638))),"",SUM(J638:K638)))</x:f>
      </x:c>
      <x:c r="M638" s="15"/>
      <x:c r="N638" s="17" t="str">
        <x:f>IF(OR(B638="",D638&lt;&gt;"pagada",NOT(ISNUMBER(J638)),NOT(ISNUMBER(M638))),"",J638-M638)</x:f>
      </x:c>
      <x:c r="O638" s="9"/>
      <x:c r="P638" s="9"/>
      <x:c r="Q638" s="1" t="str">
        <x:f>IF(B638="","",IF(COUNTIFS($B$7:$B$1006,B638,$C$7:$C$1006,C638)&gt;1,"ID duplicado",IF(OR(A638="",C638="",D638="",E638="",F638="",I638="",J638="",K638="",O638=""),"Completar datos",IF(NOT(ISNUMBER(M638)),"Falta costo histórico","Revisar soporte"))))</x:f>
      </x:c>
      <x:c r="R638" s="9" t="n">
        <x:f>IF(B638="",0,IF(AND(D638="pagada",NOT(ISNUMBER(M638))),1,0))</x:f>
        <x:v>0</x:v>
      </x:c>
    </x:row>
    <x:row r="639" ht="22" customHeight="1">
      <x:c r="A639" s="11"/>
      <x:c r="B639" s="9"/>
      <x:c r="C639" s="9"/>
      <x:c r="D639" s="9"/>
      <x:c r="E639" s="9"/>
      <x:c r="F639" s="9"/>
      <x:c r="G639" s="9"/>
      <x:c r="H639" s="9"/>
      <x:c r="I639" s="13"/>
      <x:c r="J639" s="15"/>
      <x:c r="K639" s="15"/>
      <x:c r="L639" s="17" t="str">
        <x:f>IF(B639="","",IF(NOT(AND(ISNUMBER(J639),ISNUMBER(K639))),"",SUM(J639:K639)))</x:f>
      </x:c>
      <x:c r="M639" s="15"/>
      <x:c r="N639" s="17" t="str">
        <x:f>IF(OR(B639="",D639&lt;&gt;"pagada",NOT(ISNUMBER(J639)),NOT(ISNUMBER(M639))),"",J639-M639)</x:f>
      </x:c>
      <x:c r="O639" s="9"/>
      <x:c r="P639" s="9"/>
      <x:c r="Q639" s="1" t="str">
        <x:f>IF(B639="","",IF(COUNTIFS($B$7:$B$1006,B639,$C$7:$C$1006,C639)&gt;1,"ID duplicado",IF(OR(A639="",C639="",D639="",E639="",F639="",I639="",J639="",K639="",O639=""),"Completar datos",IF(NOT(ISNUMBER(M639)),"Falta costo histórico","Revisar soporte"))))</x:f>
      </x:c>
      <x:c r="R639" s="9" t="n">
        <x:f>IF(B639="",0,IF(AND(D639="pagada",NOT(ISNUMBER(M639))),1,0))</x:f>
        <x:v>0</x:v>
      </x:c>
    </x:row>
    <x:row r="640" ht="22" customHeight="1">
      <x:c r="A640" s="11"/>
      <x:c r="B640" s="9"/>
      <x:c r="C640" s="9"/>
      <x:c r="D640" s="9"/>
      <x:c r="E640" s="9"/>
      <x:c r="F640" s="9"/>
      <x:c r="G640" s="9"/>
      <x:c r="H640" s="9"/>
      <x:c r="I640" s="13"/>
      <x:c r="J640" s="15"/>
      <x:c r="K640" s="15"/>
      <x:c r="L640" s="17" t="str">
        <x:f>IF(B640="","",IF(NOT(AND(ISNUMBER(J640),ISNUMBER(K640))),"",SUM(J640:K640)))</x:f>
      </x:c>
      <x:c r="M640" s="15"/>
      <x:c r="N640" s="17" t="str">
        <x:f>IF(OR(B640="",D640&lt;&gt;"pagada",NOT(ISNUMBER(J640)),NOT(ISNUMBER(M640))),"",J640-M640)</x:f>
      </x:c>
      <x:c r="O640" s="9"/>
      <x:c r="P640" s="9"/>
      <x:c r="Q640" s="1" t="str">
        <x:f>IF(B640="","",IF(COUNTIFS($B$7:$B$1006,B640,$C$7:$C$1006,C640)&gt;1,"ID duplicado",IF(OR(A640="",C640="",D640="",E640="",F640="",I640="",J640="",K640="",O640=""),"Completar datos",IF(NOT(ISNUMBER(M640)),"Falta costo histórico","Revisar soporte"))))</x:f>
      </x:c>
      <x:c r="R640" s="9" t="n">
        <x:f>IF(B640="",0,IF(AND(D640="pagada",NOT(ISNUMBER(M640))),1,0))</x:f>
        <x:v>0</x:v>
      </x:c>
    </x:row>
    <x:row r="641" ht="22" customHeight="1">
      <x:c r="A641" s="11"/>
      <x:c r="B641" s="9"/>
      <x:c r="C641" s="9"/>
      <x:c r="D641" s="9"/>
      <x:c r="E641" s="9"/>
      <x:c r="F641" s="9"/>
      <x:c r="G641" s="9"/>
      <x:c r="H641" s="9"/>
      <x:c r="I641" s="13"/>
      <x:c r="J641" s="15"/>
      <x:c r="K641" s="15"/>
      <x:c r="L641" s="17" t="str">
        <x:f>IF(B641="","",IF(NOT(AND(ISNUMBER(J641),ISNUMBER(K641))),"",SUM(J641:K641)))</x:f>
      </x:c>
      <x:c r="M641" s="15"/>
      <x:c r="N641" s="17" t="str">
        <x:f>IF(OR(B641="",D641&lt;&gt;"pagada",NOT(ISNUMBER(J641)),NOT(ISNUMBER(M641))),"",J641-M641)</x:f>
      </x:c>
      <x:c r="O641" s="9"/>
      <x:c r="P641" s="9"/>
      <x:c r="Q641" s="1" t="str">
        <x:f>IF(B641="","",IF(COUNTIFS($B$7:$B$1006,B641,$C$7:$C$1006,C641)&gt;1,"ID duplicado",IF(OR(A641="",C641="",D641="",E641="",F641="",I641="",J641="",K641="",O641=""),"Completar datos",IF(NOT(ISNUMBER(M641)),"Falta costo histórico","Revisar soporte"))))</x:f>
      </x:c>
      <x:c r="R641" s="9" t="n">
        <x:f>IF(B641="",0,IF(AND(D641="pagada",NOT(ISNUMBER(M641))),1,0))</x:f>
        <x:v>0</x:v>
      </x:c>
    </x:row>
    <x:row r="642" ht="22" customHeight="1">
      <x:c r="A642" s="11"/>
      <x:c r="B642" s="9"/>
      <x:c r="C642" s="9"/>
      <x:c r="D642" s="9"/>
      <x:c r="E642" s="9"/>
      <x:c r="F642" s="9"/>
      <x:c r="G642" s="9"/>
      <x:c r="H642" s="9"/>
      <x:c r="I642" s="13"/>
      <x:c r="J642" s="15"/>
      <x:c r="K642" s="15"/>
      <x:c r="L642" s="17" t="str">
        <x:f>IF(B642="","",IF(NOT(AND(ISNUMBER(J642),ISNUMBER(K642))),"",SUM(J642:K642)))</x:f>
      </x:c>
      <x:c r="M642" s="15"/>
      <x:c r="N642" s="17" t="str">
        <x:f>IF(OR(B642="",D642&lt;&gt;"pagada",NOT(ISNUMBER(J642)),NOT(ISNUMBER(M642))),"",J642-M642)</x:f>
      </x:c>
      <x:c r="O642" s="9"/>
      <x:c r="P642" s="9"/>
      <x:c r="Q642" s="1" t="str">
        <x:f>IF(B642="","",IF(COUNTIFS($B$7:$B$1006,B642,$C$7:$C$1006,C642)&gt;1,"ID duplicado",IF(OR(A642="",C642="",D642="",E642="",F642="",I642="",J642="",K642="",O642=""),"Completar datos",IF(NOT(ISNUMBER(M642)),"Falta costo histórico","Revisar soporte"))))</x:f>
      </x:c>
      <x:c r="R642" s="9" t="n">
        <x:f>IF(B642="",0,IF(AND(D642="pagada",NOT(ISNUMBER(M642))),1,0))</x:f>
        <x:v>0</x:v>
      </x:c>
    </x:row>
    <x:row r="643" ht="22" customHeight="1">
      <x:c r="A643" s="11"/>
      <x:c r="B643" s="9"/>
      <x:c r="C643" s="9"/>
      <x:c r="D643" s="9"/>
      <x:c r="E643" s="9"/>
      <x:c r="F643" s="9"/>
      <x:c r="G643" s="9"/>
      <x:c r="H643" s="9"/>
      <x:c r="I643" s="13"/>
      <x:c r="J643" s="15"/>
      <x:c r="K643" s="15"/>
      <x:c r="L643" s="17" t="str">
        <x:f>IF(B643="","",IF(NOT(AND(ISNUMBER(J643),ISNUMBER(K643))),"",SUM(J643:K643)))</x:f>
      </x:c>
      <x:c r="M643" s="15"/>
      <x:c r="N643" s="17" t="str">
        <x:f>IF(OR(B643="",D643&lt;&gt;"pagada",NOT(ISNUMBER(J643)),NOT(ISNUMBER(M643))),"",J643-M643)</x:f>
      </x:c>
      <x:c r="O643" s="9"/>
      <x:c r="P643" s="9"/>
      <x:c r="Q643" s="1" t="str">
        <x:f>IF(B643="","",IF(COUNTIFS($B$7:$B$1006,B643,$C$7:$C$1006,C643)&gt;1,"ID duplicado",IF(OR(A643="",C643="",D643="",E643="",F643="",I643="",J643="",K643="",O643=""),"Completar datos",IF(NOT(ISNUMBER(M643)),"Falta costo histórico","Revisar soporte"))))</x:f>
      </x:c>
      <x:c r="R643" s="9" t="n">
        <x:f>IF(B643="",0,IF(AND(D643="pagada",NOT(ISNUMBER(M643))),1,0))</x:f>
        <x:v>0</x:v>
      </x:c>
    </x:row>
    <x:row r="644" ht="22" customHeight="1">
      <x:c r="A644" s="11"/>
      <x:c r="B644" s="9"/>
      <x:c r="C644" s="9"/>
      <x:c r="D644" s="9"/>
      <x:c r="E644" s="9"/>
      <x:c r="F644" s="9"/>
      <x:c r="G644" s="9"/>
      <x:c r="H644" s="9"/>
      <x:c r="I644" s="13"/>
      <x:c r="J644" s="15"/>
      <x:c r="K644" s="15"/>
      <x:c r="L644" s="17" t="str">
        <x:f>IF(B644="","",IF(NOT(AND(ISNUMBER(J644),ISNUMBER(K644))),"",SUM(J644:K644)))</x:f>
      </x:c>
      <x:c r="M644" s="15"/>
      <x:c r="N644" s="17" t="str">
        <x:f>IF(OR(B644="",D644&lt;&gt;"pagada",NOT(ISNUMBER(J644)),NOT(ISNUMBER(M644))),"",J644-M644)</x:f>
      </x:c>
      <x:c r="O644" s="9"/>
      <x:c r="P644" s="9"/>
      <x:c r="Q644" s="1" t="str">
        <x:f>IF(B644="","",IF(COUNTIFS($B$7:$B$1006,B644,$C$7:$C$1006,C644)&gt;1,"ID duplicado",IF(OR(A644="",C644="",D644="",E644="",F644="",I644="",J644="",K644="",O644=""),"Completar datos",IF(NOT(ISNUMBER(M644)),"Falta costo histórico","Revisar soporte"))))</x:f>
      </x:c>
      <x:c r="R644" s="9" t="n">
        <x:f>IF(B644="",0,IF(AND(D644="pagada",NOT(ISNUMBER(M644))),1,0))</x:f>
        <x:v>0</x:v>
      </x:c>
    </x:row>
    <x:row r="645" ht="22" customHeight="1">
      <x:c r="A645" s="11"/>
      <x:c r="B645" s="9"/>
      <x:c r="C645" s="9"/>
      <x:c r="D645" s="9"/>
      <x:c r="E645" s="9"/>
      <x:c r="F645" s="9"/>
      <x:c r="G645" s="9"/>
      <x:c r="H645" s="9"/>
      <x:c r="I645" s="13"/>
      <x:c r="J645" s="15"/>
      <x:c r="K645" s="15"/>
      <x:c r="L645" s="17" t="str">
        <x:f>IF(B645="","",IF(NOT(AND(ISNUMBER(J645),ISNUMBER(K645))),"",SUM(J645:K645)))</x:f>
      </x:c>
      <x:c r="M645" s="15"/>
      <x:c r="N645" s="17" t="str">
        <x:f>IF(OR(B645="",D645&lt;&gt;"pagada",NOT(ISNUMBER(J645)),NOT(ISNUMBER(M645))),"",J645-M645)</x:f>
      </x:c>
      <x:c r="O645" s="9"/>
      <x:c r="P645" s="9"/>
      <x:c r="Q645" s="1" t="str">
        <x:f>IF(B645="","",IF(COUNTIFS($B$7:$B$1006,B645,$C$7:$C$1006,C645)&gt;1,"ID duplicado",IF(OR(A645="",C645="",D645="",E645="",F645="",I645="",J645="",K645="",O645=""),"Completar datos",IF(NOT(ISNUMBER(M645)),"Falta costo histórico","Revisar soporte"))))</x:f>
      </x:c>
      <x:c r="R645" s="9" t="n">
        <x:f>IF(B645="",0,IF(AND(D645="pagada",NOT(ISNUMBER(M645))),1,0))</x:f>
        <x:v>0</x:v>
      </x:c>
    </x:row>
    <x:row r="646" ht="22" customHeight="1">
      <x:c r="A646" s="11"/>
      <x:c r="B646" s="9"/>
      <x:c r="C646" s="9"/>
      <x:c r="D646" s="9"/>
      <x:c r="E646" s="9"/>
      <x:c r="F646" s="9"/>
      <x:c r="G646" s="9"/>
      <x:c r="H646" s="9"/>
      <x:c r="I646" s="13"/>
      <x:c r="J646" s="15"/>
      <x:c r="K646" s="15"/>
      <x:c r="L646" s="17" t="str">
        <x:f>IF(B646="","",IF(NOT(AND(ISNUMBER(J646),ISNUMBER(K646))),"",SUM(J646:K646)))</x:f>
      </x:c>
      <x:c r="M646" s="15"/>
      <x:c r="N646" s="17" t="str">
        <x:f>IF(OR(B646="",D646&lt;&gt;"pagada",NOT(ISNUMBER(J646)),NOT(ISNUMBER(M646))),"",J646-M646)</x:f>
      </x:c>
      <x:c r="O646" s="9"/>
      <x:c r="P646" s="9"/>
      <x:c r="Q646" s="1" t="str">
        <x:f>IF(B646="","",IF(COUNTIFS($B$7:$B$1006,B646,$C$7:$C$1006,C646)&gt;1,"ID duplicado",IF(OR(A646="",C646="",D646="",E646="",F646="",I646="",J646="",K646="",O646=""),"Completar datos",IF(NOT(ISNUMBER(M646)),"Falta costo histórico","Revisar soporte"))))</x:f>
      </x:c>
      <x:c r="R646" s="9" t="n">
        <x:f>IF(B646="",0,IF(AND(D646="pagada",NOT(ISNUMBER(M646))),1,0))</x:f>
        <x:v>0</x:v>
      </x:c>
    </x:row>
    <x:row r="647" ht="22" customHeight="1">
      <x:c r="A647" s="11"/>
      <x:c r="B647" s="9"/>
      <x:c r="C647" s="9"/>
      <x:c r="D647" s="9"/>
      <x:c r="E647" s="9"/>
      <x:c r="F647" s="9"/>
      <x:c r="G647" s="9"/>
      <x:c r="H647" s="9"/>
      <x:c r="I647" s="13"/>
      <x:c r="J647" s="15"/>
      <x:c r="K647" s="15"/>
      <x:c r="L647" s="17" t="str">
        <x:f>IF(B647="","",IF(NOT(AND(ISNUMBER(J647),ISNUMBER(K647))),"",SUM(J647:K647)))</x:f>
      </x:c>
      <x:c r="M647" s="15"/>
      <x:c r="N647" s="17" t="str">
        <x:f>IF(OR(B647="",D647&lt;&gt;"pagada",NOT(ISNUMBER(J647)),NOT(ISNUMBER(M647))),"",J647-M647)</x:f>
      </x:c>
      <x:c r="O647" s="9"/>
      <x:c r="P647" s="9"/>
      <x:c r="Q647" s="1" t="str">
        <x:f>IF(B647="","",IF(COUNTIFS($B$7:$B$1006,B647,$C$7:$C$1006,C647)&gt;1,"ID duplicado",IF(OR(A647="",C647="",D647="",E647="",F647="",I647="",J647="",K647="",O647=""),"Completar datos",IF(NOT(ISNUMBER(M647)),"Falta costo histórico","Revisar soporte"))))</x:f>
      </x:c>
      <x:c r="R647" s="9" t="n">
        <x:f>IF(B647="",0,IF(AND(D647="pagada",NOT(ISNUMBER(M647))),1,0))</x:f>
        <x:v>0</x:v>
      </x:c>
    </x:row>
    <x:row r="648" ht="22" customHeight="1">
      <x:c r="A648" s="11"/>
      <x:c r="B648" s="9"/>
      <x:c r="C648" s="9"/>
      <x:c r="D648" s="9"/>
      <x:c r="E648" s="9"/>
      <x:c r="F648" s="9"/>
      <x:c r="G648" s="9"/>
      <x:c r="H648" s="9"/>
      <x:c r="I648" s="13"/>
      <x:c r="J648" s="15"/>
      <x:c r="K648" s="15"/>
      <x:c r="L648" s="17" t="str">
        <x:f>IF(B648="","",IF(NOT(AND(ISNUMBER(J648),ISNUMBER(K648))),"",SUM(J648:K648)))</x:f>
      </x:c>
      <x:c r="M648" s="15"/>
      <x:c r="N648" s="17" t="str">
        <x:f>IF(OR(B648="",D648&lt;&gt;"pagada",NOT(ISNUMBER(J648)),NOT(ISNUMBER(M648))),"",J648-M648)</x:f>
      </x:c>
      <x:c r="O648" s="9"/>
      <x:c r="P648" s="9"/>
      <x:c r="Q648" s="1" t="str">
        <x:f>IF(B648="","",IF(COUNTIFS($B$7:$B$1006,B648,$C$7:$C$1006,C648)&gt;1,"ID duplicado",IF(OR(A648="",C648="",D648="",E648="",F648="",I648="",J648="",K648="",O648=""),"Completar datos",IF(NOT(ISNUMBER(M648)),"Falta costo histórico","Revisar soporte"))))</x:f>
      </x:c>
      <x:c r="R648" s="9" t="n">
        <x:f>IF(B648="",0,IF(AND(D648="pagada",NOT(ISNUMBER(M648))),1,0))</x:f>
        <x:v>0</x:v>
      </x:c>
    </x:row>
    <x:row r="649" ht="22" customHeight="1">
      <x:c r="A649" s="11"/>
      <x:c r="B649" s="9"/>
      <x:c r="C649" s="9"/>
      <x:c r="D649" s="9"/>
      <x:c r="E649" s="9"/>
      <x:c r="F649" s="9"/>
      <x:c r="G649" s="9"/>
      <x:c r="H649" s="9"/>
      <x:c r="I649" s="13"/>
      <x:c r="J649" s="15"/>
      <x:c r="K649" s="15"/>
      <x:c r="L649" s="17" t="str">
        <x:f>IF(B649="","",IF(NOT(AND(ISNUMBER(J649),ISNUMBER(K649))),"",SUM(J649:K649)))</x:f>
      </x:c>
      <x:c r="M649" s="15"/>
      <x:c r="N649" s="17" t="str">
        <x:f>IF(OR(B649="",D649&lt;&gt;"pagada",NOT(ISNUMBER(J649)),NOT(ISNUMBER(M649))),"",J649-M649)</x:f>
      </x:c>
      <x:c r="O649" s="9"/>
      <x:c r="P649" s="9"/>
      <x:c r="Q649" s="1" t="str">
        <x:f>IF(B649="","",IF(COUNTIFS($B$7:$B$1006,B649,$C$7:$C$1006,C649)&gt;1,"ID duplicado",IF(OR(A649="",C649="",D649="",E649="",F649="",I649="",J649="",K649="",O649=""),"Completar datos",IF(NOT(ISNUMBER(M649)),"Falta costo histórico","Revisar soporte"))))</x:f>
      </x:c>
      <x:c r="R649" s="9" t="n">
        <x:f>IF(B649="",0,IF(AND(D649="pagada",NOT(ISNUMBER(M649))),1,0))</x:f>
        <x:v>0</x:v>
      </x:c>
    </x:row>
    <x:row r="650" ht="22" customHeight="1">
      <x:c r="A650" s="11"/>
      <x:c r="B650" s="9"/>
      <x:c r="C650" s="9"/>
      <x:c r="D650" s="9"/>
      <x:c r="E650" s="9"/>
      <x:c r="F650" s="9"/>
      <x:c r="G650" s="9"/>
      <x:c r="H650" s="9"/>
      <x:c r="I650" s="13"/>
      <x:c r="J650" s="15"/>
      <x:c r="K650" s="15"/>
      <x:c r="L650" s="17" t="str">
        <x:f>IF(B650="","",IF(NOT(AND(ISNUMBER(J650),ISNUMBER(K650))),"",SUM(J650:K650)))</x:f>
      </x:c>
      <x:c r="M650" s="15"/>
      <x:c r="N650" s="17" t="str">
        <x:f>IF(OR(B650="",D650&lt;&gt;"pagada",NOT(ISNUMBER(J650)),NOT(ISNUMBER(M650))),"",J650-M650)</x:f>
      </x:c>
      <x:c r="O650" s="9"/>
      <x:c r="P650" s="9"/>
      <x:c r="Q650" s="1" t="str">
        <x:f>IF(B650="","",IF(COUNTIFS($B$7:$B$1006,B650,$C$7:$C$1006,C650)&gt;1,"ID duplicado",IF(OR(A650="",C650="",D650="",E650="",F650="",I650="",J650="",K650="",O650=""),"Completar datos",IF(NOT(ISNUMBER(M650)),"Falta costo histórico","Revisar soporte"))))</x:f>
      </x:c>
      <x:c r="R650" s="9" t="n">
        <x:f>IF(B650="",0,IF(AND(D650="pagada",NOT(ISNUMBER(M650))),1,0))</x:f>
        <x:v>0</x:v>
      </x:c>
    </x:row>
    <x:row r="651" ht="22" customHeight="1">
      <x:c r="A651" s="11"/>
      <x:c r="B651" s="9"/>
      <x:c r="C651" s="9"/>
      <x:c r="D651" s="9"/>
      <x:c r="E651" s="9"/>
      <x:c r="F651" s="9"/>
      <x:c r="G651" s="9"/>
      <x:c r="H651" s="9"/>
      <x:c r="I651" s="13"/>
      <x:c r="J651" s="15"/>
      <x:c r="K651" s="15"/>
      <x:c r="L651" s="17" t="str">
        <x:f>IF(B651="","",IF(NOT(AND(ISNUMBER(J651),ISNUMBER(K651))),"",SUM(J651:K651)))</x:f>
      </x:c>
      <x:c r="M651" s="15"/>
      <x:c r="N651" s="17" t="str">
        <x:f>IF(OR(B651="",D651&lt;&gt;"pagada",NOT(ISNUMBER(J651)),NOT(ISNUMBER(M651))),"",J651-M651)</x:f>
      </x:c>
      <x:c r="O651" s="9"/>
      <x:c r="P651" s="9"/>
      <x:c r="Q651" s="1" t="str">
        <x:f>IF(B651="","",IF(COUNTIFS($B$7:$B$1006,B651,$C$7:$C$1006,C651)&gt;1,"ID duplicado",IF(OR(A651="",C651="",D651="",E651="",F651="",I651="",J651="",K651="",O651=""),"Completar datos",IF(NOT(ISNUMBER(M651)),"Falta costo histórico","Revisar soporte"))))</x:f>
      </x:c>
      <x:c r="R651" s="9" t="n">
        <x:f>IF(B651="",0,IF(AND(D651="pagada",NOT(ISNUMBER(M651))),1,0))</x:f>
        <x:v>0</x:v>
      </x:c>
    </x:row>
    <x:row r="652" ht="22" customHeight="1">
      <x:c r="A652" s="11"/>
      <x:c r="B652" s="9"/>
      <x:c r="C652" s="9"/>
      <x:c r="D652" s="9"/>
      <x:c r="E652" s="9"/>
      <x:c r="F652" s="9"/>
      <x:c r="G652" s="9"/>
      <x:c r="H652" s="9"/>
      <x:c r="I652" s="13"/>
      <x:c r="J652" s="15"/>
      <x:c r="K652" s="15"/>
      <x:c r="L652" s="17" t="str">
        <x:f>IF(B652="","",IF(NOT(AND(ISNUMBER(J652),ISNUMBER(K652))),"",SUM(J652:K652)))</x:f>
      </x:c>
      <x:c r="M652" s="15"/>
      <x:c r="N652" s="17" t="str">
        <x:f>IF(OR(B652="",D652&lt;&gt;"pagada",NOT(ISNUMBER(J652)),NOT(ISNUMBER(M652))),"",J652-M652)</x:f>
      </x:c>
      <x:c r="O652" s="9"/>
      <x:c r="P652" s="9"/>
      <x:c r="Q652" s="1" t="str">
        <x:f>IF(B652="","",IF(COUNTIFS($B$7:$B$1006,B652,$C$7:$C$1006,C652)&gt;1,"ID duplicado",IF(OR(A652="",C652="",D652="",E652="",F652="",I652="",J652="",K652="",O652=""),"Completar datos",IF(NOT(ISNUMBER(M652)),"Falta costo histórico","Revisar soporte"))))</x:f>
      </x:c>
      <x:c r="R652" s="9" t="n">
        <x:f>IF(B652="",0,IF(AND(D652="pagada",NOT(ISNUMBER(M652))),1,0))</x:f>
        <x:v>0</x:v>
      </x:c>
    </x:row>
    <x:row r="653" ht="22" customHeight="1">
      <x:c r="A653" s="11"/>
      <x:c r="B653" s="9"/>
      <x:c r="C653" s="9"/>
      <x:c r="D653" s="9"/>
      <x:c r="E653" s="9"/>
      <x:c r="F653" s="9"/>
      <x:c r="G653" s="9"/>
      <x:c r="H653" s="9"/>
      <x:c r="I653" s="13"/>
      <x:c r="J653" s="15"/>
      <x:c r="K653" s="15"/>
      <x:c r="L653" s="17" t="str">
        <x:f>IF(B653="","",IF(NOT(AND(ISNUMBER(J653),ISNUMBER(K653))),"",SUM(J653:K653)))</x:f>
      </x:c>
      <x:c r="M653" s="15"/>
      <x:c r="N653" s="17" t="str">
        <x:f>IF(OR(B653="",D653&lt;&gt;"pagada",NOT(ISNUMBER(J653)),NOT(ISNUMBER(M653))),"",J653-M653)</x:f>
      </x:c>
      <x:c r="O653" s="9"/>
      <x:c r="P653" s="9"/>
      <x:c r="Q653" s="1" t="str">
        <x:f>IF(B653="","",IF(COUNTIFS($B$7:$B$1006,B653,$C$7:$C$1006,C653)&gt;1,"ID duplicado",IF(OR(A653="",C653="",D653="",E653="",F653="",I653="",J653="",K653="",O653=""),"Completar datos",IF(NOT(ISNUMBER(M653)),"Falta costo histórico","Revisar soporte"))))</x:f>
      </x:c>
      <x:c r="R653" s="9" t="n">
        <x:f>IF(B653="",0,IF(AND(D653="pagada",NOT(ISNUMBER(M653))),1,0))</x:f>
        <x:v>0</x:v>
      </x:c>
    </x:row>
    <x:row r="654" ht="22" customHeight="1">
      <x:c r="A654" s="11"/>
      <x:c r="B654" s="9"/>
      <x:c r="C654" s="9"/>
      <x:c r="D654" s="9"/>
      <x:c r="E654" s="9"/>
      <x:c r="F654" s="9"/>
      <x:c r="G654" s="9"/>
      <x:c r="H654" s="9"/>
      <x:c r="I654" s="13"/>
      <x:c r="J654" s="15"/>
      <x:c r="K654" s="15"/>
      <x:c r="L654" s="17" t="str">
        <x:f>IF(B654="","",IF(NOT(AND(ISNUMBER(J654),ISNUMBER(K654))),"",SUM(J654:K654)))</x:f>
      </x:c>
      <x:c r="M654" s="15"/>
      <x:c r="N654" s="17" t="str">
        <x:f>IF(OR(B654="",D654&lt;&gt;"pagada",NOT(ISNUMBER(J654)),NOT(ISNUMBER(M654))),"",J654-M654)</x:f>
      </x:c>
      <x:c r="O654" s="9"/>
      <x:c r="P654" s="9"/>
      <x:c r="Q654" s="1" t="str">
        <x:f>IF(B654="","",IF(COUNTIFS($B$7:$B$1006,B654,$C$7:$C$1006,C654)&gt;1,"ID duplicado",IF(OR(A654="",C654="",D654="",E654="",F654="",I654="",J654="",K654="",O654=""),"Completar datos",IF(NOT(ISNUMBER(M654)),"Falta costo histórico","Revisar soporte"))))</x:f>
      </x:c>
      <x:c r="R654" s="9" t="n">
        <x:f>IF(B654="",0,IF(AND(D654="pagada",NOT(ISNUMBER(M654))),1,0))</x:f>
        <x:v>0</x:v>
      </x:c>
    </x:row>
    <x:row r="655" ht="22" customHeight="1">
      <x:c r="A655" s="11"/>
      <x:c r="B655" s="9"/>
      <x:c r="C655" s="9"/>
      <x:c r="D655" s="9"/>
      <x:c r="E655" s="9"/>
      <x:c r="F655" s="9"/>
      <x:c r="G655" s="9"/>
      <x:c r="H655" s="9"/>
      <x:c r="I655" s="13"/>
      <x:c r="J655" s="15"/>
      <x:c r="K655" s="15"/>
      <x:c r="L655" s="17" t="str">
        <x:f>IF(B655="","",IF(NOT(AND(ISNUMBER(J655),ISNUMBER(K655))),"",SUM(J655:K655)))</x:f>
      </x:c>
      <x:c r="M655" s="15"/>
      <x:c r="N655" s="17" t="str">
        <x:f>IF(OR(B655="",D655&lt;&gt;"pagada",NOT(ISNUMBER(J655)),NOT(ISNUMBER(M655))),"",J655-M655)</x:f>
      </x:c>
      <x:c r="O655" s="9"/>
      <x:c r="P655" s="9"/>
      <x:c r="Q655" s="1" t="str">
        <x:f>IF(B655="","",IF(COUNTIFS($B$7:$B$1006,B655,$C$7:$C$1006,C655)&gt;1,"ID duplicado",IF(OR(A655="",C655="",D655="",E655="",F655="",I655="",J655="",K655="",O655=""),"Completar datos",IF(NOT(ISNUMBER(M655)),"Falta costo histórico","Revisar soporte"))))</x:f>
      </x:c>
      <x:c r="R655" s="9" t="n">
        <x:f>IF(B655="",0,IF(AND(D655="pagada",NOT(ISNUMBER(M655))),1,0))</x:f>
        <x:v>0</x:v>
      </x:c>
    </x:row>
    <x:row r="656" ht="22" customHeight="1">
      <x:c r="A656" s="11"/>
      <x:c r="B656" s="9"/>
      <x:c r="C656" s="9"/>
      <x:c r="D656" s="9"/>
      <x:c r="E656" s="9"/>
      <x:c r="F656" s="9"/>
      <x:c r="G656" s="9"/>
      <x:c r="H656" s="9"/>
      <x:c r="I656" s="13"/>
      <x:c r="J656" s="15"/>
      <x:c r="K656" s="15"/>
      <x:c r="L656" s="17" t="str">
        <x:f>IF(B656="","",IF(NOT(AND(ISNUMBER(J656),ISNUMBER(K656))),"",SUM(J656:K656)))</x:f>
      </x:c>
      <x:c r="M656" s="15"/>
      <x:c r="N656" s="17" t="str">
        <x:f>IF(OR(B656="",D656&lt;&gt;"pagada",NOT(ISNUMBER(J656)),NOT(ISNUMBER(M656))),"",J656-M656)</x:f>
      </x:c>
      <x:c r="O656" s="9"/>
      <x:c r="P656" s="9"/>
      <x:c r="Q656" s="1" t="str">
        <x:f>IF(B656="","",IF(COUNTIFS($B$7:$B$1006,B656,$C$7:$C$1006,C656)&gt;1,"ID duplicado",IF(OR(A656="",C656="",D656="",E656="",F656="",I656="",J656="",K656="",O656=""),"Completar datos",IF(NOT(ISNUMBER(M656)),"Falta costo histórico","Revisar soporte"))))</x:f>
      </x:c>
      <x:c r="R656" s="9" t="n">
        <x:f>IF(B656="",0,IF(AND(D656="pagada",NOT(ISNUMBER(M656))),1,0))</x:f>
        <x:v>0</x:v>
      </x:c>
    </x:row>
    <x:row r="657" ht="22" customHeight="1">
      <x:c r="A657" s="11"/>
      <x:c r="B657" s="9"/>
      <x:c r="C657" s="9"/>
      <x:c r="D657" s="9"/>
      <x:c r="E657" s="9"/>
      <x:c r="F657" s="9"/>
      <x:c r="G657" s="9"/>
      <x:c r="H657" s="9"/>
      <x:c r="I657" s="13"/>
      <x:c r="J657" s="15"/>
      <x:c r="K657" s="15"/>
      <x:c r="L657" s="17" t="str">
        <x:f>IF(B657="","",IF(NOT(AND(ISNUMBER(J657),ISNUMBER(K657))),"",SUM(J657:K657)))</x:f>
      </x:c>
      <x:c r="M657" s="15"/>
      <x:c r="N657" s="17" t="str">
        <x:f>IF(OR(B657="",D657&lt;&gt;"pagada",NOT(ISNUMBER(J657)),NOT(ISNUMBER(M657))),"",J657-M657)</x:f>
      </x:c>
      <x:c r="O657" s="9"/>
      <x:c r="P657" s="9"/>
      <x:c r="Q657" s="1" t="str">
        <x:f>IF(B657="","",IF(COUNTIFS($B$7:$B$1006,B657,$C$7:$C$1006,C657)&gt;1,"ID duplicado",IF(OR(A657="",C657="",D657="",E657="",F657="",I657="",J657="",K657="",O657=""),"Completar datos",IF(NOT(ISNUMBER(M657)),"Falta costo histórico","Revisar soporte"))))</x:f>
      </x:c>
      <x:c r="R657" s="9" t="n">
        <x:f>IF(B657="",0,IF(AND(D657="pagada",NOT(ISNUMBER(M657))),1,0))</x:f>
        <x:v>0</x:v>
      </x:c>
    </x:row>
    <x:row r="658" ht="22" customHeight="1">
      <x:c r="A658" s="11"/>
      <x:c r="B658" s="9"/>
      <x:c r="C658" s="9"/>
      <x:c r="D658" s="9"/>
      <x:c r="E658" s="9"/>
      <x:c r="F658" s="9"/>
      <x:c r="G658" s="9"/>
      <x:c r="H658" s="9"/>
      <x:c r="I658" s="13"/>
      <x:c r="J658" s="15"/>
      <x:c r="K658" s="15"/>
      <x:c r="L658" s="17" t="str">
        <x:f>IF(B658="","",IF(NOT(AND(ISNUMBER(J658),ISNUMBER(K658))),"",SUM(J658:K658)))</x:f>
      </x:c>
      <x:c r="M658" s="15"/>
      <x:c r="N658" s="17" t="str">
        <x:f>IF(OR(B658="",D658&lt;&gt;"pagada",NOT(ISNUMBER(J658)),NOT(ISNUMBER(M658))),"",J658-M658)</x:f>
      </x:c>
      <x:c r="O658" s="9"/>
      <x:c r="P658" s="9"/>
      <x:c r="Q658" s="1" t="str">
        <x:f>IF(B658="","",IF(COUNTIFS($B$7:$B$1006,B658,$C$7:$C$1006,C658)&gt;1,"ID duplicado",IF(OR(A658="",C658="",D658="",E658="",F658="",I658="",J658="",K658="",O658=""),"Completar datos",IF(NOT(ISNUMBER(M658)),"Falta costo histórico","Revisar soporte"))))</x:f>
      </x:c>
      <x:c r="R658" s="9" t="n">
        <x:f>IF(B658="",0,IF(AND(D658="pagada",NOT(ISNUMBER(M658))),1,0))</x:f>
        <x:v>0</x:v>
      </x:c>
    </x:row>
    <x:row r="659" ht="22" customHeight="1">
      <x:c r="A659" s="11"/>
      <x:c r="B659" s="9"/>
      <x:c r="C659" s="9"/>
      <x:c r="D659" s="9"/>
      <x:c r="E659" s="9"/>
      <x:c r="F659" s="9"/>
      <x:c r="G659" s="9"/>
      <x:c r="H659" s="9"/>
      <x:c r="I659" s="13"/>
      <x:c r="J659" s="15"/>
      <x:c r="K659" s="15"/>
      <x:c r="L659" s="17" t="str">
        <x:f>IF(B659="","",IF(NOT(AND(ISNUMBER(J659),ISNUMBER(K659))),"",SUM(J659:K659)))</x:f>
      </x:c>
      <x:c r="M659" s="15"/>
      <x:c r="N659" s="17" t="str">
        <x:f>IF(OR(B659="",D659&lt;&gt;"pagada",NOT(ISNUMBER(J659)),NOT(ISNUMBER(M659))),"",J659-M659)</x:f>
      </x:c>
      <x:c r="O659" s="9"/>
      <x:c r="P659" s="9"/>
      <x:c r="Q659" s="1" t="str">
        <x:f>IF(B659="","",IF(COUNTIFS($B$7:$B$1006,B659,$C$7:$C$1006,C659)&gt;1,"ID duplicado",IF(OR(A659="",C659="",D659="",E659="",F659="",I659="",J659="",K659="",O659=""),"Completar datos",IF(NOT(ISNUMBER(M659)),"Falta costo histórico","Revisar soporte"))))</x:f>
      </x:c>
      <x:c r="R659" s="9" t="n">
        <x:f>IF(B659="",0,IF(AND(D659="pagada",NOT(ISNUMBER(M659))),1,0))</x:f>
        <x:v>0</x:v>
      </x:c>
    </x:row>
    <x:row r="660" ht="22" customHeight="1">
      <x:c r="A660" s="11"/>
      <x:c r="B660" s="9"/>
      <x:c r="C660" s="9"/>
      <x:c r="D660" s="9"/>
      <x:c r="E660" s="9"/>
      <x:c r="F660" s="9"/>
      <x:c r="G660" s="9"/>
      <x:c r="H660" s="9"/>
      <x:c r="I660" s="13"/>
      <x:c r="J660" s="15"/>
      <x:c r="K660" s="15"/>
      <x:c r="L660" s="17" t="str">
        <x:f>IF(B660="","",IF(NOT(AND(ISNUMBER(J660),ISNUMBER(K660))),"",SUM(J660:K660)))</x:f>
      </x:c>
      <x:c r="M660" s="15"/>
      <x:c r="N660" s="17" t="str">
        <x:f>IF(OR(B660="",D660&lt;&gt;"pagada",NOT(ISNUMBER(J660)),NOT(ISNUMBER(M660))),"",J660-M660)</x:f>
      </x:c>
      <x:c r="O660" s="9"/>
      <x:c r="P660" s="9"/>
      <x:c r="Q660" s="1" t="str">
        <x:f>IF(B660="","",IF(COUNTIFS($B$7:$B$1006,B660,$C$7:$C$1006,C660)&gt;1,"ID duplicado",IF(OR(A660="",C660="",D660="",E660="",F660="",I660="",J660="",K660="",O660=""),"Completar datos",IF(NOT(ISNUMBER(M660)),"Falta costo histórico","Revisar soporte"))))</x:f>
      </x:c>
      <x:c r="R660" s="9" t="n">
        <x:f>IF(B660="",0,IF(AND(D660="pagada",NOT(ISNUMBER(M660))),1,0))</x:f>
        <x:v>0</x:v>
      </x:c>
    </x:row>
    <x:row r="661" ht="22" customHeight="1">
      <x:c r="A661" s="11"/>
      <x:c r="B661" s="9"/>
      <x:c r="C661" s="9"/>
      <x:c r="D661" s="9"/>
      <x:c r="E661" s="9"/>
      <x:c r="F661" s="9"/>
      <x:c r="G661" s="9"/>
      <x:c r="H661" s="9"/>
      <x:c r="I661" s="13"/>
      <x:c r="J661" s="15"/>
      <x:c r="K661" s="15"/>
      <x:c r="L661" s="17" t="str">
        <x:f>IF(B661="","",IF(NOT(AND(ISNUMBER(J661),ISNUMBER(K661))),"",SUM(J661:K661)))</x:f>
      </x:c>
      <x:c r="M661" s="15"/>
      <x:c r="N661" s="17" t="str">
        <x:f>IF(OR(B661="",D661&lt;&gt;"pagada",NOT(ISNUMBER(J661)),NOT(ISNUMBER(M661))),"",J661-M661)</x:f>
      </x:c>
      <x:c r="O661" s="9"/>
      <x:c r="P661" s="9"/>
      <x:c r="Q661" s="1" t="str">
        <x:f>IF(B661="","",IF(COUNTIFS($B$7:$B$1006,B661,$C$7:$C$1006,C661)&gt;1,"ID duplicado",IF(OR(A661="",C661="",D661="",E661="",F661="",I661="",J661="",K661="",O661=""),"Completar datos",IF(NOT(ISNUMBER(M661)),"Falta costo histórico","Revisar soporte"))))</x:f>
      </x:c>
      <x:c r="R661" s="9" t="n">
        <x:f>IF(B661="",0,IF(AND(D661="pagada",NOT(ISNUMBER(M661))),1,0))</x:f>
        <x:v>0</x:v>
      </x:c>
    </x:row>
    <x:row r="662" ht="22" customHeight="1">
      <x:c r="A662" s="11"/>
      <x:c r="B662" s="9"/>
      <x:c r="C662" s="9"/>
      <x:c r="D662" s="9"/>
      <x:c r="E662" s="9"/>
      <x:c r="F662" s="9"/>
      <x:c r="G662" s="9"/>
      <x:c r="H662" s="9"/>
      <x:c r="I662" s="13"/>
      <x:c r="J662" s="15"/>
      <x:c r="K662" s="15"/>
      <x:c r="L662" s="17" t="str">
        <x:f>IF(B662="","",IF(NOT(AND(ISNUMBER(J662),ISNUMBER(K662))),"",SUM(J662:K662)))</x:f>
      </x:c>
      <x:c r="M662" s="15"/>
      <x:c r="N662" s="17" t="str">
        <x:f>IF(OR(B662="",D662&lt;&gt;"pagada",NOT(ISNUMBER(J662)),NOT(ISNUMBER(M662))),"",J662-M662)</x:f>
      </x:c>
      <x:c r="O662" s="9"/>
      <x:c r="P662" s="9"/>
      <x:c r="Q662" s="1" t="str">
        <x:f>IF(B662="","",IF(COUNTIFS($B$7:$B$1006,B662,$C$7:$C$1006,C662)&gt;1,"ID duplicado",IF(OR(A662="",C662="",D662="",E662="",F662="",I662="",J662="",K662="",O662=""),"Completar datos",IF(NOT(ISNUMBER(M662)),"Falta costo histórico","Revisar soporte"))))</x:f>
      </x:c>
      <x:c r="R662" s="9" t="n">
        <x:f>IF(B662="",0,IF(AND(D662="pagada",NOT(ISNUMBER(M662))),1,0))</x:f>
        <x:v>0</x:v>
      </x:c>
    </x:row>
    <x:row r="663" ht="22" customHeight="1">
      <x:c r="A663" s="11"/>
      <x:c r="B663" s="9"/>
      <x:c r="C663" s="9"/>
      <x:c r="D663" s="9"/>
      <x:c r="E663" s="9"/>
      <x:c r="F663" s="9"/>
      <x:c r="G663" s="9"/>
      <x:c r="H663" s="9"/>
      <x:c r="I663" s="13"/>
      <x:c r="J663" s="15"/>
      <x:c r="K663" s="15"/>
      <x:c r="L663" s="17" t="str">
        <x:f>IF(B663="","",IF(NOT(AND(ISNUMBER(J663),ISNUMBER(K663))),"",SUM(J663:K663)))</x:f>
      </x:c>
      <x:c r="M663" s="15"/>
      <x:c r="N663" s="17" t="str">
        <x:f>IF(OR(B663="",D663&lt;&gt;"pagada",NOT(ISNUMBER(J663)),NOT(ISNUMBER(M663))),"",J663-M663)</x:f>
      </x:c>
      <x:c r="O663" s="9"/>
      <x:c r="P663" s="9"/>
      <x:c r="Q663" s="1" t="str">
        <x:f>IF(B663="","",IF(COUNTIFS($B$7:$B$1006,B663,$C$7:$C$1006,C663)&gt;1,"ID duplicado",IF(OR(A663="",C663="",D663="",E663="",F663="",I663="",J663="",K663="",O663=""),"Completar datos",IF(NOT(ISNUMBER(M663)),"Falta costo histórico","Revisar soporte"))))</x:f>
      </x:c>
      <x:c r="R663" s="9" t="n">
        <x:f>IF(B663="",0,IF(AND(D663="pagada",NOT(ISNUMBER(M663))),1,0))</x:f>
        <x:v>0</x:v>
      </x:c>
    </x:row>
    <x:row r="664" ht="22" customHeight="1">
      <x:c r="A664" s="11"/>
      <x:c r="B664" s="9"/>
      <x:c r="C664" s="9"/>
      <x:c r="D664" s="9"/>
      <x:c r="E664" s="9"/>
      <x:c r="F664" s="9"/>
      <x:c r="G664" s="9"/>
      <x:c r="H664" s="9"/>
      <x:c r="I664" s="13"/>
      <x:c r="J664" s="15"/>
      <x:c r="K664" s="15"/>
      <x:c r="L664" s="17" t="str">
        <x:f>IF(B664="","",IF(NOT(AND(ISNUMBER(J664),ISNUMBER(K664))),"",SUM(J664:K664)))</x:f>
      </x:c>
      <x:c r="M664" s="15"/>
      <x:c r="N664" s="17" t="str">
        <x:f>IF(OR(B664="",D664&lt;&gt;"pagada",NOT(ISNUMBER(J664)),NOT(ISNUMBER(M664))),"",J664-M664)</x:f>
      </x:c>
      <x:c r="O664" s="9"/>
      <x:c r="P664" s="9"/>
      <x:c r="Q664" s="1" t="str">
        <x:f>IF(B664="","",IF(COUNTIFS($B$7:$B$1006,B664,$C$7:$C$1006,C664)&gt;1,"ID duplicado",IF(OR(A664="",C664="",D664="",E664="",F664="",I664="",J664="",K664="",O664=""),"Completar datos",IF(NOT(ISNUMBER(M664)),"Falta costo histórico","Revisar soporte"))))</x:f>
      </x:c>
      <x:c r="R664" s="9" t="n">
        <x:f>IF(B664="",0,IF(AND(D664="pagada",NOT(ISNUMBER(M664))),1,0))</x:f>
        <x:v>0</x:v>
      </x:c>
    </x:row>
    <x:row r="665" ht="22" customHeight="1">
      <x:c r="A665" s="11"/>
      <x:c r="B665" s="9"/>
      <x:c r="C665" s="9"/>
      <x:c r="D665" s="9"/>
      <x:c r="E665" s="9"/>
      <x:c r="F665" s="9"/>
      <x:c r="G665" s="9"/>
      <x:c r="H665" s="9"/>
      <x:c r="I665" s="13"/>
      <x:c r="J665" s="15"/>
      <x:c r="K665" s="15"/>
      <x:c r="L665" s="17" t="str">
        <x:f>IF(B665="","",IF(NOT(AND(ISNUMBER(J665),ISNUMBER(K665))),"",SUM(J665:K665)))</x:f>
      </x:c>
      <x:c r="M665" s="15"/>
      <x:c r="N665" s="17" t="str">
        <x:f>IF(OR(B665="",D665&lt;&gt;"pagada",NOT(ISNUMBER(J665)),NOT(ISNUMBER(M665))),"",J665-M665)</x:f>
      </x:c>
      <x:c r="O665" s="9"/>
      <x:c r="P665" s="9"/>
      <x:c r="Q665" s="1" t="str">
        <x:f>IF(B665="","",IF(COUNTIFS($B$7:$B$1006,B665,$C$7:$C$1006,C665)&gt;1,"ID duplicado",IF(OR(A665="",C665="",D665="",E665="",F665="",I665="",J665="",K665="",O665=""),"Completar datos",IF(NOT(ISNUMBER(M665)),"Falta costo histórico","Revisar soporte"))))</x:f>
      </x:c>
      <x:c r="R665" s="9" t="n">
        <x:f>IF(B665="",0,IF(AND(D665="pagada",NOT(ISNUMBER(M665))),1,0))</x:f>
        <x:v>0</x:v>
      </x:c>
    </x:row>
    <x:row r="666" ht="22" customHeight="1">
      <x:c r="A666" s="11"/>
      <x:c r="B666" s="9"/>
      <x:c r="C666" s="9"/>
      <x:c r="D666" s="9"/>
      <x:c r="E666" s="9"/>
      <x:c r="F666" s="9"/>
      <x:c r="G666" s="9"/>
      <x:c r="H666" s="9"/>
      <x:c r="I666" s="13"/>
      <x:c r="J666" s="15"/>
      <x:c r="K666" s="15"/>
      <x:c r="L666" s="17" t="str">
        <x:f>IF(B666="","",IF(NOT(AND(ISNUMBER(J666),ISNUMBER(K666))),"",SUM(J666:K666)))</x:f>
      </x:c>
      <x:c r="M666" s="15"/>
      <x:c r="N666" s="17" t="str">
        <x:f>IF(OR(B666="",D666&lt;&gt;"pagada",NOT(ISNUMBER(J666)),NOT(ISNUMBER(M666))),"",J666-M666)</x:f>
      </x:c>
      <x:c r="O666" s="9"/>
      <x:c r="P666" s="9"/>
      <x:c r="Q666" s="1" t="str">
        <x:f>IF(B666="","",IF(COUNTIFS($B$7:$B$1006,B666,$C$7:$C$1006,C666)&gt;1,"ID duplicado",IF(OR(A666="",C666="",D666="",E666="",F666="",I666="",J666="",K666="",O666=""),"Completar datos",IF(NOT(ISNUMBER(M666)),"Falta costo histórico","Revisar soporte"))))</x:f>
      </x:c>
      <x:c r="R666" s="9" t="n">
        <x:f>IF(B666="",0,IF(AND(D666="pagada",NOT(ISNUMBER(M666))),1,0))</x:f>
        <x:v>0</x:v>
      </x:c>
    </x:row>
    <x:row r="667" ht="22" customHeight="1">
      <x:c r="A667" s="11"/>
      <x:c r="B667" s="9"/>
      <x:c r="C667" s="9"/>
      <x:c r="D667" s="9"/>
      <x:c r="E667" s="9"/>
      <x:c r="F667" s="9"/>
      <x:c r="G667" s="9"/>
      <x:c r="H667" s="9"/>
      <x:c r="I667" s="13"/>
      <x:c r="J667" s="15"/>
      <x:c r="K667" s="15"/>
      <x:c r="L667" s="17" t="str">
        <x:f>IF(B667="","",IF(NOT(AND(ISNUMBER(J667),ISNUMBER(K667))),"",SUM(J667:K667)))</x:f>
      </x:c>
      <x:c r="M667" s="15"/>
      <x:c r="N667" s="17" t="str">
        <x:f>IF(OR(B667="",D667&lt;&gt;"pagada",NOT(ISNUMBER(J667)),NOT(ISNUMBER(M667))),"",J667-M667)</x:f>
      </x:c>
      <x:c r="O667" s="9"/>
      <x:c r="P667" s="9"/>
      <x:c r="Q667" s="1" t="str">
        <x:f>IF(B667="","",IF(COUNTIFS($B$7:$B$1006,B667,$C$7:$C$1006,C667)&gt;1,"ID duplicado",IF(OR(A667="",C667="",D667="",E667="",F667="",I667="",J667="",K667="",O667=""),"Completar datos",IF(NOT(ISNUMBER(M667)),"Falta costo histórico","Revisar soporte"))))</x:f>
      </x:c>
      <x:c r="R667" s="9" t="n">
        <x:f>IF(B667="",0,IF(AND(D667="pagada",NOT(ISNUMBER(M667))),1,0))</x:f>
        <x:v>0</x:v>
      </x:c>
    </x:row>
    <x:row r="668" ht="22" customHeight="1">
      <x:c r="A668" s="11"/>
      <x:c r="B668" s="9"/>
      <x:c r="C668" s="9"/>
      <x:c r="D668" s="9"/>
      <x:c r="E668" s="9"/>
      <x:c r="F668" s="9"/>
      <x:c r="G668" s="9"/>
      <x:c r="H668" s="9"/>
      <x:c r="I668" s="13"/>
      <x:c r="J668" s="15"/>
      <x:c r="K668" s="15"/>
      <x:c r="L668" s="17" t="str">
        <x:f>IF(B668="","",IF(NOT(AND(ISNUMBER(J668),ISNUMBER(K668))),"",SUM(J668:K668)))</x:f>
      </x:c>
      <x:c r="M668" s="15"/>
      <x:c r="N668" s="17" t="str">
        <x:f>IF(OR(B668="",D668&lt;&gt;"pagada",NOT(ISNUMBER(J668)),NOT(ISNUMBER(M668))),"",J668-M668)</x:f>
      </x:c>
      <x:c r="O668" s="9"/>
      <x:c r="P668" s="9"/>
      <x:c r="Q668" s="1" t="str">
        <x:f>IF(B668="","",IF(COUNTIFS($B$7:$B$1006,B668,$C$7:$C$1006,C668)&gt;1,"ID duplicado",IF(OR(A668="",C668="",D668="",E668="",F668="",I668="",J668="",K668="",O668=""),"Completar datos",IF(NOT(ISNUMBER(M668)),"Falta costo histórico","Revisar soporte"))))</x:f>
      </x:c>
      <x:c r="R668" s="9" t="n">
        <x:f>IF(B668="",0,IF(AND(D668="pagada",NOT(ISNUMBER(M668))),1,0))</x:f>
        <x:v>0</x:v>
      </x:c>
    </x:row>
    <x:row r="669" ht="22" customHeight="1">
      <x:c r="A669" s="11"/>
      <x:c r="B669" s="9"/>
      <x:c r="C669" s="9"/>
      <x:c r="D669" s="9"/>
      <x:c r="E669" s="9"/>
      <x:c r="F669" s="9"/>
      <x:c r="G669" s="9"/>
      <x:c r="H669" s="9"/>
      <x:c r="I669" s="13"/>
      <x:c r="J669" s="15"/>
      <x:c r="K669" s="15"/>
      <x:c r="L669" s="17" t="str">
        <x:f>IF(B669="","",IF(NOT(AND(ISNUMBER(J669),ISNUMBER(K669))),"",SUM(J669:K669)))</x:f>
      </x:c>
      <x:c r="M669" s="15"/>
      <x:c r="N669" s="17" t="str">
        <x:f>IF(OR(B669="",D669&lt;&gt;"pagada",NOT(ISNUMBER(J669)),NOT(ISNUMBER(M669))),"",J669-M669)</x:f>
      </x:c>
      <x:c r="O669" s="9"/>
      <x:c r="P669" s="9"/>
      <x:c r="Q669" s="1" t="str">
        <x:f>IF(B669="","",IF(COUNTIFS($B$7:$B$1006,B669,$C$7:$C$1006,C669)&gt;1,"ID duplicado",IF(OR(A669="",C669="",D669="",E669="",F669="",I669="",J669="",K669="",O669=""),"Completar datos",IF(NOT(ISNUMBER(M669)),"Falta costo histórico","Revisar soporte"))))</x:f>
      </x:c>
      <x:c r="R669" s="9" t="n">
        <x:f>IF(B669="",0,IF(AND(D669="pagada",NOT(ISNUMBER(M669))),1,0))</x:f>
        <x:v>0</x:v>
      </x:c>
    </x:row>
    <x:row r="670" ht="22" customHeight="1">
      <x:c r="A670" s="11"/>
      <x:c r="B670" s="9"/>
      <x:c r="C670" s="9"/>
      <x:c r="D670" s="9"/>
      <x:c r="E670" s="9"/>
      <x:c r="F670" s="9"/>
      <x:c r="G670" s="9"/>
      <x:c r="H670" s="9"/>
      <x:c r="I670" s="13"/>
      <x:c r="J670" s="15"/>
      <x:c r="K670" s="15"/>
      <x:c r="L670" s="17" t="str">
        <x:f>IF(B670="","",IF(NOT(AND(ISNUMBER(J670),ISNUMBER(K670))),"",SUM(J670:K670)))</x:f>
      </x:c>
      <x:c r="M670" s="15"/>
      <x:c r="N670" s="17" t="str">
        <x:f>IF(OR(B670="",D670&lt;&gt;"pagada",NOT(ISNUMBER(J670)),NOT(ISNUMBER(M670))),"",J670-M670)</x:f>
      </x:c>
      <x:c r="O670" s="9"/>
      <x:c r="P670" s="9"/>
      <x:c r="Q670" s="1" t="str">
        <x:f>IF(B670="","",IF(COUNTIFS($B$7:$B$1006,B670,$C$7:$C$1006,C670)&gt;1,"ID duplicado",IF(OR(A670="",C670="",D670="",E670="",F670="",I670="",J670="",K670="",O670=""),"Completar datos",IF(NOT(ISNUMBER(M670)),"Falta costo histórico","Revisar soporte"))))</x:f>
      </x:c>
      <x:c r="R670" s="9" t="n">
        <x:f>IF(B670="",0,IF(AND(D670="pagada",NOT(ISNUMBER(M670))),1,0))</x:f>
        <x:v>0</x:v>
      </x:c>
    </x:row>
    <x:row r="671" ht="22" customHeight="1">
      <x:c r="A671" s="11"/>
      <x:c r="B671" s="9"/>
      <x:c r="C671" s="9"/>
      <x:c r="D671" s="9"/>
      <x:c r="E671" s="9"/>
      <x:c r="F671" s="9"/>
      <x:c r="G671" s="9"/>
      <x:c r="H671" s="9"/>
      <x:c r="I671" s="13"/>
      <x:c r="J671" s="15"/>
      <x:c r="K671" s="15"/>
      <x:c r="L671" s="17" t="str">
        <x:f>IF(B671="","",IF(NOT(AND(ISNUMBER(J671),ISNUMBER(K671))),"",SUM(J671:K671)))</x:f>
      </x:c>
      <x:c r="M671" s="15"/>
      <x:c r="N671" s="17" t="str">
        <x:f>IF(OR(B671="",D671&lt;&gt;"pagada",NOT(ISNUMBER(J671)),NOT(ISNUMBER(M671))),"",J671-M671)</x:f>
      </x:c>
      <x:c r="O671" s="9"/>
      <x:c r="P671" s="9"/>
      <x:c r="Q671" s="1" t="str">
        <x:f>IF(B671="","",IF(COUNTIFS($B$7:$B$1006,B671,$C$7:$C$1006,C671)&gt;1,"ID duplicado",IF(OR(A671="",C671="",D671="",E671="",F671="",I671="",J671="",K671="",O671=""),"Completar datos",IF(NOT(ISNUMBER(M671)),"Falta costo histórico","Revisar soporte"))))</x:f>
      </x:c>
      <x:c r="R671" s="9" t="n">
        <x:f>IF(B671="",0,IF(AND(D671="pagada",NOT(ISNUMBER(M671))),1,0))</x:f>
        <x:v>0</x:v>
      </x:c>
    </x:row>
    <x:row r="672" ht="22" customHeight="1">
      <x:c r="A672" s="11"/>
      <x:c r="B672" s="9"/>
      <x:c r="C672" s="9"/>
      <x:c r="D672" s="9"/>
      <x:c r="E672" s="9"/>
      <x:c r="F672" s="9"/>
      <x:c r="G672" s="9"/>
      <x:c r="H672" s="9"/>
      <x:c r="I672" s="13"/>
      <x:c r="J672" s="15"/>
      <x:c r="K672" s="15"/>
      <x:c r="L672" s="17" t="str">
        <x:f>IF(B672="","",IF(NOT(AND(ISNUMBER(J672),ISNUMBER(K672))),"",SUM(J672:K672)))</x:f>
      </x:c>
      <x:c r="M672" s="15"/>
      <x:c r="N672" s="17" t="str">
        <x:f>IF(OR(B672="",D672&lt;&gt;"pagada",NOT(ISNUMBER(J672)),NOT(ISNUMBER(M672))),"",J672-M672)</x:f>
      </x:c>
      <x:c r="O672" s="9"/>
      <x:c r="P672" s="9"/>
      <x:c r="Q672" s="1" t="str">
        <x:f>IF(B672="","",IF(COUNTIFS($B$7:$B$1006,B672,$C$7:$C$1006,C672)&gt;1,"ID duplicado",IF(OR(A672="",C672="",D672="",E672="",F672="",I672="",J672="",K672="",O672=""),"Completar datos",IF(NOT(ISNUMBER(M672)),"Falta costo histórico","Revisar soporte"))))</x:f>
      </x:c>
      <x:c r="R672" s="9" t="n">
        <x:f>IF(B672="",0,IF(AND(D672="pagada",NOT(ISNUMBER(M672))),1,0))</x:f>
        <x:v>0</x:v>
      </x:c>
    </x:row>
    <x:row r="673" ht="22" customHeight="1">
      <x:c r="A673" s="11"/>
      <x:c r="B673" s="9"/>
      <x:c r="C673" s="9"/>
      <x:c r="D673" s="9"/>
      <x:c r="E673" s="9"/>
      <x:c r="F673" s="9"/>
      <x:c r="G673" s="9"/>
      <x:c r="H673" s="9"/>
      <x:c r="I673" s="13"/>
      <x:c r="J673" s="15"/>
      <x:c r="K673" s="15"/>
      <x:c r="L673" s="17" t="str">
        <x:f>IF(B673="","",IF(NOT(AND(ISNUMBER(J673),ISNUMBER(K673))),"",SUM(J673:K673)))</x:f>
      </x:c>
      <x:c r="M673" s="15"/>
      <x:c r="N673" s="17" t="str">
        <x:f>IF(OR(B673="",D673&lt;&gt;"pagada",NOT(ISNUMBER(J673)),NOT(ISNUMBER(M673))),"",J673-M673)</x:f>
      </x:c>
      <x:c r="O673" s="9"/>
      <x:c r="P673" s="9"/>
      <x:c r="Q673" s="1" t="str">
        <x:f>IF(B673="","",IF(COUNTIFS($B$7:$B$1006,B673,$C$7:$C$1006,C673)&gt;1,"ID duplicado",IF(OR(A673="",C673="",D673="",E673="",F673="",I673="",J673="",K673="",O673=""),"Completar datos",IF(NOT(ISNUMBER(M673)),"Falta costo histórico","Revisar soporte"))))</x:f>
      </x:c>
      <x:c r="R673" s="9" t="n">
        <x:f>IF(B673="",0,IF(AND(D673="pagada",NOT(ISNUMBER(M673))),1,0))</x:f>
        <x:v>0</x:v>
      </x:c>
    </x:row>
    <x:row r="674" ht="22" customHeight="1">
      <x:c r="A674" s="11"/>
      <x:c r="B674" s="9"/>
      <x:c r="C674" s="9"/>
      <x:c r="D674" s="9"/>
      <x:c r="E674" s="9"/>
      <x:c r="F674" s="9"/>
      <x:c r="G674" s="9"/>
      <x:c r="H674" s="9"/>
      <x:c r="I674" s="13"/>
      <x:c r="J674" s="15"/>
      <x:c r="K674" s="15"/>
      <x:c r="L674" s="17" t="str">
        <x:f>IF(B674="","",IF(NOT(AND(ISNUMBER(J674),ISNUMBER(K674))),"",SUM(J674:K674)))</x:f>
      </x:c>
      <x:c r="M674" s="15"/>
      <x:c r="N674" s="17" t="str">
        <x:f>IF(OR(B674="",D674&lt;&gt;"pagada",NOT(ISNUMBER(J674)),NOT(ISNUMBER(M674))),"",J674-M674)</x:f>
      </x:c>
      <x:c r="O674" s="9"/>
      <x:c r="P674" s="9"/>
      <x:c r="Q674" s="1" t="str">
        <x:f>IF(B674="","",IF(COUNTIFS($B$7:$B$1006,B674,$C$7:$C$1006,C674)&gt;1,"ID duplicado",IF(OR(A674="",C674="",D674="",E674="",F674="",I674="",J674="",K674="",O674=""),"Completar datos",IF(NOT(ISNUMBER(M674)),"Falta costo histórico","Revisar soporte"))))</x:f>
      </x:c>
      <x:c r="R674" s="9" t="n">
        <x:f>IF(B674="",0,IF(AND(D674="pagada",NOT(ISNUMBER(M674))),1,0))</x:f>
        <x:v>0</x:v>
      </x:c>
    </x:row>
    <x:row r="675" ht="22" customHeight="1">
      <x:c r="A675" s="11"/>
      <x:c r="B675" s="9"/>
      <x:c r="C675" s="9"/>
      <x:c r="D675" s="9"/>
      <x:c r="E675" s="9"/>
      <x:c r="F675" s="9"/>
      <x:c r="G675" s="9"/>
      <x:c r="H675" s="9"/>
      <x:c r="I675" s="13"/>
      <x:c r="J675" s="15"/>
      <x:c r="K675" s="15"/>
      <x:c r="L675" s="17" t="str">
        <x:f>IF(B675="","",IF(NOT(AND(ISNUMBER(J675),ISNUMBER(K675))),"",SUM(J675:K675)))</x:f>
      </x:c>
      <x:c r="M675" s="15"/>
      <x:c r="N675" s="17" t="str">
        <x:f>IF(OR(B675="",D675&lt;&gt;"pagada",NOT(ISNUMBER(J675)),NOT(ISNUMBER(M675))),"",J675-M675)</x:f>
      </x:c>
      <x:c r="O675" s="9"/>
      <x:c r="P675" s="9"/>
      <x:c r="Q675" s="1" t="str">
        <x:f>IF(B675="","",IF(COUNTIFS($B$7:$B$1006,B675,$C$7:$C$1006,C675)&gt;1,"ID duplicado",IF(OR(A675="",C675="",D675="",E675="",F675="",I675="",J675="",K675="",O675=""),"Completar datos",IF(NOT(ISNUMBER(M675)),"Falta costo histórico","Revisar soporte"))))</x:f>
      </x:c>
      <x:c r="R675" s="9" t="n">
        <x:f>IF(B675="",0,IF(AND(D675="pagada",NOT(ISNUMBER(M675))),1,0))</x:f>
        <x:v>0</x:v>
      </x:c>
    </x:row>
    <x:row r="676" ht="22" customHeight="1">
      <x:c r="A676" s="11"/>
      <x:c r="B676" s="9"/>
      <x:c r="C676" s="9"/>
      <x:c r="D676" s="9"/>
      <x:c r="E676" s="9"/>
      <x:c r="F676" s="9"/>
      <x:c r="G676" s="9"/>
      <x:c r="H676" s="9"/>
      <x:c r="I676" s="13"/>
      <x:c r="J676" s="15"/>
      <x:c r="K676" s="15"/>
      <x:c r="L676" s="17" t="str">
        <x:f>IF(B676="","",IF(NOT(AND(ISNUMBER(J676),ISNUMBER(K676))),"",SUM(J676:K676)))</x:f>
      </x:c>
      <x:c r="M676" s="15"/>
      <x:c r="N676" s="17" t="str">
        <x:f>IF(OR(B676="",D676&lt;&gt;"pagada",NOT(ISNUMBER(J676)),NOT(ISNUMBER(M676))),"",J676-M676)</x:f>
      </x:c>
      <x:c r="O676" s="9"/>
      <x:c r="P676" s="9"/>
      <x:c r="Q676" s="1" t="str">
        <x:f>IF(B676="","",IF(COUNTIFS($B$7:$B$1006,B676,$C$7:$C$1006,C676)&gt;1,"ID duplicado",IF(OR(A676="",C676="",D676="",E676="",F676="",I676="",J676="",K676="",O676=""),"Completar datos",IF(NOT(ISNUMBER(M676)),"Falta costo histórico","Revisar soporte"))))</x:f>
      </x:c>
      <x:c r="R676" s="9" t="n">
        <x:f>IF(B676="",0,IF(AND(D676="pagada",NOT(ISNUMBER(M676))),1,0))</x:f>
        <x:v>0</x:v>
      </x:c>
    </x:row>
    <x:row r="677" ht="22" customHeight="1">
      <x:c r="A677" s="11"/>
      <x:c r="B677" s="9"/>
      <x:c r="C677" s="9"/>
      <x:c r="D677" s="9"/>
      <x:c r="E677" s="9"/>
      <x:c r="F677" s="9"/>
      <x:c r="G677" s="9"/>
      <x:c r="H677" s="9"/>
      <x:c r="I677" s="13"/>
      <x:c r="J677" s="15"/>
      <x:c r="K677" s="15"/>
      <x:c r="L677" s="17" t="str">
        <x:f>IF(B677="","",IF(NOT(AND(ISNUMBER(J677),ISNUMBER(K677))),"",SUM(J677:K677)))</x:f>
      </x:c>
      <x:c r="M677" s="15"/>
      <x:c r="N677" s="17" t="str">
        <x:f>IF(OR(B677="",D677&lt;&gt;"pagada",NOT(ISNUMBER(J677)),NOT(ISNUMBER(M677))),"",J677-M677)</x:f>
      </x:c>
      <x:c r="O677" s="9"/>
      <x:c r="P677" s="9"/>
      <x:c r="Q677" s="1" t="str">
        <x:f>IF(B677="","",IF(COUNTIFS($B$7:$B$1006,B677,$C$7:$C$1006,C677)&gt;1,"ID duplicado",IF(OR(A677="",C677="",D677="",E677="",F677="",I677="",J677="",K677="",O677=""),"Completar datos",IF(NOT(ISNUMBER(M677)),"Falta costo histórico","Revisar soporte"))))</x:f>
      </x:c>
      <x:c r="R677" s="9" t="n">
        <x:f>IF(B677="",0,IF(AND(D677="pagada",NOT(ISNUMBER(M677))),1,0))</x:f>
        <x:v>0</x:v>
      </x:c>
    </x:row>
    <x:row r="678" ht="22" customHeight="1">
      <x:c r="A678" s="11"/>
      <x:c r="B678" s="9"/>
      <x:c r="C678" s="9"/>
      <x:c r="D678" s="9"/>
      <x:c r="E678" s="9"/>
      <x:c r="F678" s="9"/>
      <x:c r="G678" s="9"/>
      <x:c r="H678" s="9"/>
      <x:c r="I678" s="13"/>
      <x:c r="J678" s="15"/>
      <x:c r="K678" s="15"/>
      <x:c r="L678" s="17" t="str">
        <x:f>IF(B678="","",IF(NOT(AND(ISNUMBER(J678),ISNUMBER(K678))),"",SUM(J678:K678)))</x:f>
      </x:c>
      <x:c r="M678" s="15"/>
      <x:c r="N678" s="17" t="str">
        <x:f>IF(OR(B678="",D678&lt;&gt;"pagada",NOT(ISNUMBER(J678)),NOT(ISNUMBER(M678))),"",J678-M678)</x:f>
      </x:c>
      <x:c r="O678" s="9"/>
      <x:c r="P678" s="9"/>
      <x:c r="Q678" s="1" t="str">
        <x:f>IF(B678="","",IF(COUNTIFS($B$7:$B$1006,B678,$C$7:$C$1006,C678)&gt;1,"ID duplicado",IF(OR(A678="",C678="",D678="",E678="",F678="",I678="",J678="",K678="",O678=""),"Completar datos",IF(NOT(ISNUMBER(M678)),"Falta costo histórico","Revisar soporte"))))</x:f>
      </x:c>
      <x:c r="R678" s="9" t="n">
        <x:f>IF(B678="",0,IF(AND(D678="pagada",NOT(ISNUMBER(M678))),1,0))</x:f>
        <x:v>0</x:v>
      </x:c>
    </x:row>
    <x:row r="679" ht="22" customHeight="1">
      <x:c r="A679" s="11"/>
      <x:c r="B679" s="9"/>
      <x:c r="C679" s="9"/>
      <x:c r="D679" s="9"/>
      <x:c r="E679" s="9"/>
      <x:c r="F679" s="9"/>
      <x:c r="G679" s="9"/>
      <x:c r="H679" s="9"/>
      <x:c r="I679" s="13"/>
      <x:c r="J679" s="15"/>
      <x:c r="K679" s="15"/>
      <x:c r="L679" s="17" t="str">
        <x:f>IF(B679="","",IF(NOT(AND(ISNUMBER(J679),ISNUMBER(K679))),"",SUM(J679:K679)))</x:f>
      </x:c>
      <x:c r="M679" s="15"/>
      <x:c r="N679" s="17" t="str">
        <x:f>IF(OR(B679="",D679&lt;&gt;"pagada",NOT(ISNUMBER(J679)),NOT(ISNUMBER(M679))),"",J679-M679)</x:f>
      </x:c>
      <x:c r="O679" s="9"/>
      <x:c r="P679" s="9"/>
      <x:c r="Q679" s="1" t="str">
        <x:f>IF(B679="","",IF(COUNTIFS($B$7:$B$1006,B679,$C$7:$C$1006,C679)&gt;1,"ID duplicado",IF(OR(A679="",C679="",D679="",E679="",F679="",I679="",J679="",K679="",O679=""),"Completar datos",IF(NOT(ISNUMBER(M679)),"Falta costo histórico","Revisar soporte"))))</x:f>
      </x:c>
      <x:c r="R679" s="9" t="n">
        <x:f>IF(B679="",0,IF(AND(D679="pagada",NOT(ISNUMBER(M679))),1,0))</x:f>
        <x:v>0</x:v>
      </x:c>
    </x:row>
    <x:row r="680" ht="22" customHeight="1">
      <x:c r="A680" s="11"/>
      <x:c r="B680" s="9"/>
      <x:c r="C680" s="9"/>
      <x:c r="D680" s="9"/>
      <x:c r="E680" s="9"/>
      <x:c r="F680" s="9"/>
      <x:c r="G680" s="9"/>
      <x:c r="H680" s="9"/>
      <x:c r="I680" s="13"/>
      <x:c r="J680" s="15"/>
      <x:c r="K680" s="15"/>
      <x:c r="L680" s="17" t="str">
        <x:f>IF(B680="","",IF(NOT(AND(ISNUMBER(J680),ISNUMBER(K680))),"",SUM(J680:K680)))</x:f>
      </x:c>
      <x:c r="M680" s="15"/>
      <x:c r="N680" s="17" t="str">
        <x:f>IF(OR(B680="",D680&lt;&gt;"pagada",NOT(ISNUMBER(J680)),NOT(ISNUMBER(M680))),"",J680-M680)</x:f>
      </x:c>
      <x:c r="O680" s="9"/>
      <x:c r="P680" s="9"/>
      <x:c r="Q680" s="1" t="str">
        <x:f>IF(B680="","",IF(COUNTIFS($B$7:$B$1006,B680,$C$7:$C$1006,C680)&gt;1,"ID duplicado",IF(OR(A680="",C680="",D680="",E680="",F680="",I680="",J680="",K680="",O680=""),"Completar datos",IF(NOT(ISNUMBER(M680)),"Falta costo histórico","Revisar soporte"))))</x:f>
      </x:c>
      <x:c r="R680" s="9" t="n">
        <x:f>IF(B680="",0,IF(AND(D680="pagada",NOT(ISNUMBER(M680))),1,0))</x:f>
        <x:v>0</x:v>
      </x:c>
    </x:row>
    <x:row r="681" ht="22" customHeight="1">
      <x:c r="A681" s="11"/>
      <x:c r="B681" s="9"/>
      <x:c r="C681" s="9"/>
      <x:c r="D681" s="9"/>
      <x:c r="E681" s="9"/>
      <x:c r="F681" s="9"/>
      <x:c r="G681" s="9"/>
      <x:c r="H681" s="9"/>
      <x:c r="I681" s="13"/>
      <x:c r="J681" s="15"/>
      <x:c r="K681" s="15"/>
      <x:c r="L681" s="17" t="str">
        <x:f>IF(B681="","",IF(NOT(AND(ISNUMBER(J681),ISNUMBER(K681))),"",SUM(J681:K681)))</x:f>
      </x:c>
      <x:c r="M681" s="15"/>
      <x:c r="N681" s="17" t="str">
        <x:f>IF(OR(B681="",D681&lt;&gt;"pagada",NOT(ISNUMBER(J681)),NOT(ISNUMBER(M681))),"",J681-M681)</x:f>
      </x:c>
      <x:c r="O681" s="9"/>
      <x:c r="P681" s="9"/>
      <x:c r="Q681" s="1" t="str">
        <x:f>IF(B681="","",IF(COUNTIFS($B$7:$B$1006,B681,$C$7:$C$1006,C681)&gt;1,"ID duplicado",IF(OR(A681="",C681="",D681="",E681="",F681="",I681="",J681="",K681="",O681=""),"Completar datos",IF(NOT(ISNUMBER(M681)),"Falta costo histórico","Revisar soporte"))))</x:f>
      </x:c>
      <x:c r="R681" s="9" t="n">
        <x:f>IF(B681="",0,IF(AND(D681="pagada",NOT(ISNUMBER(M681))),1,0))</x:f>
        <x:v>0</x:v>
      </x:c>
    </x:row>
    <x:row r="682" ht="22" customHeight="1">
      <x:c r="A682" s="11"/>
      <x:c r="B682" s="9"/>
      <x:c r="C682" s="9"/>
      <x:c r="D682" s="9"/>
      <x:c r="E682" s="9"/>
      <x:c r="F682" s="9"/>
      <x:c r="G682" s="9"/>
      <x:c r="H682" s="9"/>
      <x:c r="I682" s="13"/>
      <x:c r="J682" s="15"/>
      <x:c r="K682" s="15"/>
      <x:c r="L682" s="17" t="str">
        <x:f>IF(B682="","",IF(NOT(AND(ISNUMBER(J682),ISNUMBER(K682))),"",SUM(J682:K682)))</x:f>
      </x:c>
      <x:c r="M682" s="15"/>
      <x:c r="N682" s="17" t="str">
        <x:f>IF(OR(B682="",D682&lt;&gt;"pagada",NOT(ISNUMBER(J682)),NOT(ISNUMBER(M682))),"",J682-M682)</x:f>
      </x:c>
      <x:c r="O682" s="9"/>
      <x:c r="P682" s="9"/>
      <x:c r="Q682" s="1" t="str">
        <x:f>IF(B682="","",IF(COUNTIFS($B$7:$B$1006,B682,$C$7:$C$1006,C682)&gt;1,"ID duplicado",IF(OR(A682="",C682="",D682="",E682="",F682="",I682="",J682="",K682="",O682=""),"Completar datos",IF(NOT(ISNUMBER(M682)),"Falta costo histórico","Revisar soporte"))))</x:f>
      </x:c>
      <x:c r="R682" s="9" t="n">
        <x:f>IF(B682="",0,IF(AND(D682="pagada",NOT(ISNUMBER(M682))),1,0))</x:f>
        <x:v>0</x:v>
      </x:c>
    </x:row>
    <x:row r="683" ht="22" customHeight="1">
      <x:c r="A683" s="11"/>
      <x:c r="B683" s="9"/>
      <x:c r="C683" s="9"/>
      <x:c r="D683" s="9"/>
      <x:c r="E683" s="9"/>
      <x:c r="F683" s="9"/>
      <x:c r="G683" s="9"/>
      <x:c r="H683" s="9"/>
      <x:c r="I683" s="13"/>
      <x:c r="J683" s="15"/>
      <x:c r="K683" s="15"/>
      <x:c r="L683" s="17" t="str">
        <x:f>IF(B683="","",IF(NOT(AND(ISNUMBER(J683),ISNUMBER(K683))),"",SUM(J683:K683)))</x:f>
      </x:c>
      <x:c r="M683" s="15"/>
      <x:c r="N683" s="17" t="str">
        <x:f>IF(OR(B683="",D683&lt;&gt;"pagada",NOT(ISNUMBER(J683)),NOT(ISNUMBER(M683))),"",J683-M683)</x:f>
      </x:c>
      <x:c r="O683" s="9"/>
      <x:c r="P683" s="9"/>
      <x:c r="Q683" s="1" t="str">
        <x:f>IF(B683="","",IF(COUNTIFS($B$7:$B$1006,B683,$C$7:$C$1006,C683)&gt;1,"ID duplicado",IF(OR(A683="",C683="",D683="",E683="",F683="",I683="",J683="",K683="",O683=""),"Completar datos",IF(NOT(ISNUMBER(M683)),"Falta costo histórico","Revisar soporte"))))</x:f>
      </x:c>
      <x:c r="R683" s="9" t="n">
        <x:f>IF(B683="",0,IF(AND(D683="pagada",NOT(ISNUMBER(M683))),1,0))</x:f>
        <x:v>0</x:v>
      </x:c>
    </x:row>
    <x:row r="684" ht="22" customHeight="1">
      <x:c r="A684" s="11"/>
      <x:c r="B684" s="9"/>
      <x:c r="C684" s="9"/>
      <x:c r="D684" s="9"/>
      <x:c r="E684" s="9"/>
      <x:c r="F684" s="9"/>
      <x:c r="G684" s="9"/>
      <x:c r="H684" s="9"/>
      <x:c r="I684" s="13"/>
      <x:c r="J684" s="15"/>
      <x:c r="K684" s="15"/>
      <x:c r="L684" s="17" t="str">
        <x:f>IF(B684="","",IF(NOT(AND(ISNUMBER(J684),ISNUMBER(K684))),"",SUM(J684:K684)))</x:f>
      </x:c>
      <x:c r="M684" s="15"/>
      <x:c r="N684" s="17" t="str">
        <x:f>IF(OR(B684="",D684&lt;&gt;"pagada",NOT(ISNUMBER(J684)),NOT(ISNUMBER(M684))),"",J684-M684)</x:f>
      </x:c>
      <x:c r="O684" s="9"/>
      <x:c r="P684" s="9"/>
      <x:c r="Q684" s="1" t="str">
        <x:f>IF(B684="","",IF(COUNTIFS($B$7:$B$1006,B684,$C$7:$C$1006,C684)&gt;1,"ID duplicado",IF(OR(A684="",C684="",D684="",E684="",F684="",I684="",J684="",K684="",O684=""),"Completar datos",IF(NOT(ISNUMBER(M684)),"Falta costo histórico","Revisar soporte"))))</x:f>
      </x:c>
      <x:c r="R684" s="9" t="n">
        <x:f>IF(B684="",0,IF(AND(D684="pagada",NOT(ISNUMBER(M684))),1,0))</x:f>
        <x:v>0</x:v>
      </x:c>
    </x:row>
    <x:row r="685" ht="22" customHeight="1">
      <x:c r="A685" s="11"/>
      <x:c r="B685" s="9"/>
      <x:c r="C685" s="9"/>
      <x:c r="D685" s="9"/>
      <x:c r="E685" s="9"/>
      <x:c r="F685" s="9"/>
      <x:c r="G685" s="9"/>
      <x:c r="H685" s="9"/>
      <x:c r="I685" s="13"/>
      <x:c r="J685" s="15"/>
      <x:c r="K685" s="15"/>
      <x:c r="L685" s="17" t="str">
        <x:f>IF(B685="","",IF(NOT(AND(ISNUMBER(J685),ISNUMBER(K685))),"",SUM(J685:K685)))</x:f>
      </x:c>
      <x:c r="M685" s="15"/>
      <x:c r="N685" s="17" t="str">
        <x:f>IF(OR(B685="",D685&lt;&gt;"pagada",NOT(ISNUMBER(J685)),NOT(ISNUMBER(M685))),"",J685-M685)</x:f>
      </x:c>
      <x:c r="O685" s="9"/>
      <x:c r="P685" s="9"/>
      <x:c r="Q685" s="1" t="str">
        <x:f>IF(B685="","",IF(COUNTIFS($B$7:$B$1006,B685,$C$7:$C$1006,C685)&gt;1,"ID duplicado",IF(OR(A685="",C685="",D685="",E685="",F685="",I685="",J685="",K685="",O685=""),"Completar datos",IF(NOT(ISNUMBER(M685)),"Falta costo histórico","Revisar soporte"))))</x:f>
      </x:c>
      <x:c r="R685" s="9" t="n">
        <x:f>IF(B685="",0,IF(AND(D685="pagada",NOT(ISNUMBER(M685))),1,0))</x:f>
        <x:v>0</x:v>
      </x:c>
    </x:row>
    <x:row r="686" ht="22" customHeight="1">
      <x:c r="A686" s="11"/>
      <x:c r="B686" s="9"/>
      <x:c r="C686" s="9"/>
      <x:c r="D686" s="9"/>
      <x:c r="E686" s="9"/>
      <x:c r="F686" s="9"/>
      <x:c r="G686" s="9"/>
      <x:c r="H686" s="9"/>
      <x:c r="I686" s="13"/>
      <x:c r="J686" s="15"/>
      <x:c r="K686" s="15"/>
      <x:c r="L686" s="17" t="str">
        <x:f>IF(B686="","",IF(NOT(AND(ISNUMBER(J686),ISNUMBER(K686))),"",SUM(J686:K686)))</x:f>
      </x:c>
      <x:c r="M686" s="15"/>
      <x:c r="N686" s="17" t="str">
        <x:f>IF(OR(B686="",D686&lt;&gt;"pagada",NOT(ISNUMBER(J686)),NOT(ISNUMBER(M686))),"",J686-M686)</x:f>
      </x:c>
      <x:c r="O686" s="9"/>
      <x:c r="P686" s="9"/>
      <x:c r="Q686" s="1" t="str">
        <x:f>IF(B686="","",IF(COUNTIFS($B$7:$B$1006,B686,$C$7:$C$1006,C686)&gt;1,"ID duplicado",IF(OR(A686="",C686="",D686="",E686="",F686="",I686="",J686="",K686="",O686=""),"Completar datos",IF(NOT(ISNUMBER(M686)),"Falta costo histórico","Revisar soporte"))))</x:f>
      </x:c>
      <x:c r="R686" s="9" t="n">
        <x:f>IF(B686="",0,IF(AND(D686="pagada",NOT(ISNUMBER(M686))),1,0))</x:f>
        <x:v>0</x:v>
      </x:c>
    </x:row>
    <x:row r="687" ht="22" customHeight="1">
      <x:c r="A687" s="11"/>
      <x:c r="B687" s="9"/>
      <x:c r="C687" s="9"/>
      <x:c r="D687" s="9"/>
      <x:c r="E687" s="9"/>
      <x:c r="F687" s="9"/>
      <x:c r="G687" s="9"/>
      <x:c r="H687" s="9"/>
      <x:c r="I687" s="13"/>
      <x:c r="J687" s="15"/>
      <x:c r="K687" s="15"/>
      <x:c r="L687" s="17" t="str">
        <x:f>IF(B687="","",IF(NOT(AND(ISNUMBER(J687),ISNUMBER(K687))),"",SUM(J687:K687)))</x:f>
      </x:c>
      <x:c r="M687" s="15"/>
      <x:c r="N687" s="17" t="str">
        <x:f>IF(OR(B687="",D687&lt;&gt;"pagada",NOT(ISNUMBER(J687)),NOT(ISNUMBER(M687))),"",J687-M687)</x:f>
      </x:c>
      <x:c r="O687" s="9"/>
      <x:c r="P687" s="9"/>
      <x:c r="Q687" s="1" t="str">
        <x:f>IF(B687="","",IF(COUNTIFS($B$7:$B$1006,B687,$C$7:$C$1006,C687)&gt;1,"ID duplicado",IF(OR(A687="",C687="",D687="",E687="",F687="",I687="",J687="",K687="",O687=""),"Completar datos",IF(NOT(ISNUMBER(M687)),"Falta costo histórico","Revisar soporte"))))</x:f>
      </x:c>
      <x:c r="R687" s="9" t="n">
        <x:f>IF(B687="",0,IF(AND(D687="pagada",NOT(ISNUMBER(M687))),1,0))</x:f>
        <x:v>0</x:v>
      </x:c>
    </x:row>
    <x:row r="688" ht="22" customHeight="1">
      <x:c r="A688" s="11"/>
      <x:c r="B688" s="9"/>
      <x:c r="C688" s="9"/>
      <x:c r="D688" s="9"/>
      <x:c r="E688" s="9"/>
      <x:c r="F688" s="9"/>
      <x:c r="G688" s="9"/>
      <x:c r="H688" s="9"/>
      <x:c r="I688" s="13"/>
      <x:c r="J688" s="15"/>
      <x:c r="K688" s="15"/>
      <x:c r="L688" s="17" t="str">
        <x:f>IF(B688="","",IF(NOT(AND(ISNUMBER(J688),ISNUMBER(K688))),"",SUM(J688:K688)))</x:f>
      </x:c>
      <x:c r="M688" s="15"/>
      <x:c r="N688" s="17" t="str">
        <x:f>IF(OR(B688="",D688&lt;&gt;"pagada",NOT(ISNUMBER(J688)),NOT(ISNUMBER(M688))),"",J688-M688)</x:f>
      </x:c>
      <x:c r="O688" s="9"/>
      <x:c r="P688" s="9"/>
      <x:c r="Q688" s="1" t="str">
        <x:f>IF(B688="","",IF(COUNTIFS($B$7:$B$1006,B688,$C$7:$C$1006,C688)&gt;1,"ID duplicado",IF(OR(A688="",C688="",D688="",E688="",F688="",I688="",J688="",K688="",O688=""),"Completar datos",IF(NOT(ISNUMBER(M688)),"Falta costo histórico","Revisar soporte"))))</x:f>
      </x:c>
      <x:c r="R688" s="9" t="n">
        <x:f>IF(B688="",0,IF(AND(D688="pagada",NOT(ISNUMBER(M688))),1,0))</x:f>
        <x:v>0</x:v>
      </x:c>
    </x:row>
    <x:row r="689" ht="22" customHeight="1">
      <x:c r="A689" s="11"/>
      <x:c r="B689" s="9"/>
      <x:c r="C689" s="9"/>
      <x:c r="D689" s="9"/>
      <x:c r="E689" s="9"/>
      <x:c r="F689" s="9"/>
      <x:c r="G689" s="9"/>
      <x:c r="H689" s="9"/>
      <x:c r="I689" s="13"/>
      <x:c r="J689" s="15"/>
      <x:c r="K689" s="15"/>
      <x:c r="L689" s="17" t="str">
        <x:f>IF(B689="","",IF(NOT(AND(ISNUMBER(J689),ISNUMBER(K689))),"",SUM(J689:K689)))</x:f>
      </x:c>
      <x:c r="M689" s="15"/>
      <x:c r="N689" s="17" t="str">
        <x:f>IF(OR(B689="",D689&lt;&gt;"pagada",NOT(ISNUMBER(J689)),NOT(ISNUMBER(M689))),"",J689-M689)</x:f>
      </x:c>
      <x:c r="O689" s="9"/>
      <x:c r="P689" s="9"/>
      <x:c r="Q689" s="1" t="str">
        <x:f>IF(B689="","",IF(COUNTIFS($B$7:$B$1006,B689,$C$7:$C$1006,C689)&gt;1,"ID duplicado",IF(OR(A689="",C689="",D689="",E689="",F689="",I689="",J689="",K689="",O689=""),"Completar datos",IF(NOT(ISNUMBER(M689)),"Falta costo histórico","Revisar soporte"))))</x:f>
      </x:c>
      <x:c r="R689" s="9" t="n">
        <x:f>IF(B689="",0,IF(AND(D689="pagada",NOT(ISNUMBER(M689))),1,0))</x:f>
        <x:v>0</x:v>
      </x:c>
    </x:row>
    <x:row r="690" ht="22" customHeight="1">
      <x:c r="A690" s="11"/>
      <x:c r="B690" s="9"/>
      <x:c r="C690" s="9"/>
      <x:c r="D690" s="9"/>
      <x:c r="E690" s="9"/>
      <x:c r="F690" s="9"/>
      <x:c r="G690" s="9"/>
      <x:c r="H690" s="9"/>
      <x:c r="I690" s="13"/>
      <x:c r="J690" s="15"/>
      <x:c r="K690" s="15"/>
      <x:c r="L690" s="17" t="str">
        <x:f>IF(B690="","",IF(NOT(AND(ISNUMBER(J690),ISNUMBER(K690))),"",SUM(J690:K690)))</x:f>
      </x:c>
      <x:c r="M690" s="15"/>
      <x:c r="N690" s="17" t="str">
        <x:f>IF(OR(B690="",D690&lt;&gt;"pagada",NOT(ISNUMBER(J690)),NOT(ISNUMBER(M690))),"",J690-M690)</x:f>
      </x:c>
      <x:c r="O690" s="9"/>
      <x:c r="P690" s="9"/>
      <x:c r="Q690" s="1" t="str">
        <x:f>IF(B690="","",IF(COUNTIFS($B$7:$B$1006,B690,$C$7:$C$1006,C690)&gt;1,"ID duplicado",IF(OR(A690="",C690="",D690="",E690="",F690="",I690="",J690="",K690="",O690=""),"Completar datos",IF(NOT(ISNUMBER(M690)),"Falta costo histórico","Revisar soporte"))))</x:f>
      </x:c>
      <x:c r="R690" s="9" t="n">
        <x:f>IF(B690="",0,IF(AND(D690="pagada",NOT(ISNUMBER(M690))),1,0))</x:f>
        <x:v>0</x:v>
      </x:c>
    </x:row>
    <x:row r="691" ht="22" customHeight="1">
      <x:c r="A691" s="11"/>
      <x:c r="B691" s="9"/>
      <x:c r="C691" s="9"/>
      <x:c r="D691" s="9"/>
      <x:c r="E691" s="9"/>
      <x:c r="F691" s="9"/>
      <x:c r="G691" s="9"/>
      <x:c r="H691" s="9"/>
      <x:c r="I691" s="13"/>
      <x:c r="J691" s="15"/>
      <x:c r="K691" s="15"/>
      <x:c r="L691" s="17" t="str">
        <x:f>IF(B691="","",IF(NOT(AND(ISNUMBER(J691),ISNUMBER(K691))),"",SUM(J691:K691)))</x:f>
      </x:c>
      <x:c r="M691" s="15"/>
      <x:c r="N691" s="17" t="str">
        <x:f>IF(OR(B691="",D691&lt;&gt;"pagada",NOT(ISNUMBER(J691)),NOT(ISNUMBER(M691))),"",J691-M691)</x:f>
      </x:c>
      <x:c r="O691" s="9"/>
      <x:c r="P691" s="9"/>
      <x:c r="Q691" s="1" t="str">
        <x:f>IF(B691="","",IF(COUNTIFS($B$7:$B$1006,B691,$C$7:$C$1006,C691)&gt;1,"ID duplicado",IF(OR(A691="",C691="",D691="",E691="",F691="",I691="",J691="",K691="",O691=""),"Completar datos",IF(NOT(ISNUMBER(M691)),"Falta costo histórico","Revisar soporte"))))</x:f>
      </x:c>
      <x:c r="R691" s="9" t="n">
        <x:f>IF(B691="",0,IF(AND(D691="pagada",NOT(ISNUMBER(M691))),1,0))</x:f>
        <x:v>0</x:v>
      </x:c>
    </x:row>
    <x:row r="692" ht="22" customHeight="1">
      <x:c r="A692" s="11"/>
      <x:c r="B692" s="9"/>
      <x:c r="C692" s="9"/>
      <x:c r="D692" s="9"/>
      <x:c r="E692" s="9"/>
      <x:c r="F692" s="9"/>
      <x:c r="G692" s="9"/>
      <x:c r="H692" s="9"/>
      <x:c r="I692" s="13"/>
      <x:c r="J692" s="15"/>
      <x:c r="K692" s="15"/>
      <x:c r="L692" s="17" t="str">
        <x:f>IF(B692="","",IF(NOT(AND(ISNUMBER(J692),ISNUMBER(K692))),"",SUM(J692:K692)))</x:f>
      </x:c>
      <x:c r="M692" s="15"/>
      <x:c r="N692" s="17" t="str">
        <x:f>IF(OR(B692="",D692&lt;&gt;"pagada",NOT(ISNUMBER(J692)),NOT(ISNUMBER(M692))),"",J692-M692)</x:f>
      </x:c>
      <x:c r="O692" s="9"/>
      <x:c r="P692" s="9"/>
      <x:c r="Q692" s="1" t="str">
        <x:f>IF(B692="","",IF(COUNTIFS($B$7:$B$1006,B692,$C$7:$C$1006,C692)&gt;1,"ID duplicado",IF(OR(A692="",C692="",D692="",E692="",F692="",I692="",J692="",K692="",O692=""),"Completar datos",IF(NOT(ISNUMBER(M692)),"Falta costo histórico","Revisar soporte"))))</x:f>
      </x:c>
      <x:c r="R692" s="9" t="n">
        <x:f>IF(B692="",0,IF(AND(D692="pagada",NOT(ISNUMBER(M692))),1,0))</x:f>
        <x:v>0</x:v>
      </x:c>
    </x:row>
    <x:row r="693" ht="22" customHeight="1">
      <x:c r="A693" s="11"/>
      <x:c r="B693" s="9"/>
      <x:c r="C693" s="9"/>
      <x:c r="D693" s="9"/>
      <x:c r="E693" s="9"/>
      <x:c r="F693" s="9"/>
      <x:c r="G693" s="9"/>
      <x:c r="H693" s="9"/>
      <x:c r="I693" s="13"/>
      <x:c r="J693" s="15"/>
      <x:c r="K693" s="15"/>
      <x:c r="L693" s="17" t="str">
        <x:f>IF(B693="","",IF(NOT(AND(ISNUMBER(J693),ISNUMBER(K693))),"",SUM(J693:K693)))</x:f>
      </x:c>
      <x:c r="M693" s="15"/>
      <x:c r="N693" s="17" t="str">
        <x:f>IF(OR(B693="",D693&lt;&gt;"pagada",NOT(ISNUMBER(J693)),NOT(ISNUMBER(M693))),"",J693-M693)</x:f>
      </x:c>
      <x:c r="O693" s="9"/>
      <x:c r="P693" s="9"/>
      <x:c r="Q693" s="1" t="str">
        <x:f>IF(B693="","",IF(COUNTIFS($B$7:$B$1006,B693,$C$7:$C$1006,C693)&gt;1,"ID duplicado",IF(OR(A693="",C693="",D693="",E693="",F693="",I693="",J693="",K693="",O693=""),"Completar datos",IF(NOT(ISNUMBER(M693)),"Falta costo histórico","Revisar soporte"))))</x:f>
      </x:c>
      <x:c r="R693" s="9" t="n">
        <x:f>IF(B693="",0,IF(AND(D693="pagada",NOT(ISNUMBER(M693))),1,0))</x:f>
        <x:v>0</x:v>
      </x:c>
    </x:row>
    <x:row r="694" ht="22" customHeight="1">
      <x:c r="A694" s="11"/>
      <x:c r="B694" s="9"/>
      <x:c r="C694" s="9"/>
      <x:c r="D694" s="9"/>
      <x:c r="E694" s="9"/>
      <x:c r="F694" s="9"/>
      <x:c r="G694" s="9"/>
      <x:c r="H694" s="9"/>
      <x:c r="I694" s="13"/>
      <x:c r="J694" s="15"/>
      <x:c r="K694" s="15"/>
      <x:c r="L694" s="17" t="str">
        <x:f>IF(B694="","",IF(NOT(AND(ISNUMBER(J694),ISNUMBER(K694))),"",SUM(J694:K694)))</x:f>
      </x:c>
      <x:c r="M694" s="15"/>
      <x:c r="N694" s="17" t="str">
        <x:f>IF(OR(B694="",D694&lt;&gt;"pagada",NOT(ISNUMBER(J694)),NOT(ISNUMBER(M694))),"",J694-M694)</x:f>
      </x:c>
      <x:c r="O694" s="9"/>
      <x:c r="P694" s="9"/>
      <x:c r="Q694" s="1" t="str">
        <x:f>IF(B694="","",IF(COUNTIFS($B$7:$B$1006,B694,$C$7:$C$1006,C694)&gt;1,"ID duplicado",IF(OR(A694="",C694="",D694="",E694="",F694="",I694="",J694="",K694="",O694=""),"Completar datos",IF(NOT(ISNUMBER(M694)),"Falta costo histórico","Revisar soporte"))))</x:f>
      </x:c>
      <x:c r="R694" s="9" t="n">
        <x:f>IF(B694="",0,IF(AND(D694="pagada",NOT(ISNUMBER(M694))),1,0))</x:f>
        <x:v>0</x:v>
      </x:c>
    </x:row>
    <x:row r="695" ht="22" customHeight="1">
      <x:c r="A695" s="11"/>
      <x:c r="B695" s="9"/>
      <x:c r="C695" s="9"/>
      <x:c r="D695" s="9"/>
      <x:c r="E695" s="9"/>
      <x:c r="F695" s="9"/>
      <x:c r="G695" s="9"/>
      <x:c r="H695" s="9"/>
      <x:c r="I695" s="13"/>
      <x:c r="J695" s="15"/>
      <x:c r="K695" s="15"/>
      <x:c r="L695" s="17" t="str">
        <x:f>IF(B695="","",IF(NOT(AND(ISNUMBER(J695),ISNUMBER(K695))),"",SUM(J695:K695)))</x:f>
      </x:c>
      <x:c r="M695" s="15"/>
      <x:c r="N695" s="17" t="str">
        <x:f>IF(OR(B695="",D695&lt;&gt;"pagada",NOT(ISNUMBER(J695)),NOT(ISNUMBER(M695))),"",J695-M695)</x:f>
      </x:c>
      <x:c r="O695" s="9"/>
      <x:c r="P695" s="9"/>
      <x:c r="Q695" s="1" t="str">
        <x:f>IF(B695="","",IF(COUNTIFS($B$7:$B$1006,B695,$C$7:$C$1006,C695)&gt;1,"ID duplicado",IF(OR(A695="",C695="",D695="",E695="",F695="",I695="",J695="",K695="",O695=""),"Completar datos",IF(NOT(ISNUMBER(M695)),"Falta costo histórico","Revisar soporte"))))</x:f>
      </x:c>
      <x:c r="R695" s="9" t="n">
        <x:f>IF(B695="",0,IF(AND(D695="pagada",NOT(ISNUMBER(M695))),1,0))</x:f>
        <x:v>0</x:v>
      </x:c>
    </x:row>
    <x:row r="696" ht="22" customHeight="1">
      <x:c r="A696" s="11"/>
      <x:c r="B696" s="9"/>
      <x:c r="C696" s="9"/>
      <x:c r="D696" s="9"/>
      <x:c r="E696" s="9"/>
      <x:c r="F696" s="9"/>
      <x:c r="G696" s="9"/>
      <x:c r="H696" s="9"/>
      <x:c r="I696" s="13"/>
      <x:c r="J696" s="15"/>
      <x:c r="K696" s="15"/>
      <x:c r="L696" s="17" t="str">
        <x:f>IF(B696="","",IF(NOT(AND(ISNUMBER(J696),ISNUMBER(K696))),"",SUM(J696:K696)))</x:f>
      </x:c>
      <x:c r="M696" s="15"/>
      <x:c r="N696" s="17" t="str">
        <x:f>IF(OR(B696="",D696&lt;&gt;"pagada",NOT(ISNUMBER(J696)),NOT(ISNUMBER(M696))),"",J696-M696)</x:f>
      </x:c>
      <x:c r="O696" s="9"/>
      <x:c r="P696" s="9"/>
      <x:c r="Q696" s="1" t="str">
        <x:f>IF(B696="","",IF(COUNTIFS($B$7:$B$1006,B696,$C$7:$C$1006,C696)&gt;1,"ID duplicado",IF(OR(A696="",C696="",D696="",E696="",F696="",I696="",J696="",K696="",O696=""),"Completar datos",IF(NOT(ISNUMBER(M696)),"Falta costo histórico","Revisar soporte"))))</x:f>
      </x:c>
      <x:c r="R696" s="9" t="n">
        <x:f>IF(B696="",0,IF(AND(D696="pagada",NOT(ISNUMBER(M696))),1,0))</x:f>
        <x:v>0</x:v>
      </x:c>
    </x:row>
    <x:row r="697" ht="22" customHeight="1">
      <x:c r="A697" s="11"/>
      <x:c r="B697" s="9"/>
      <x:c r="C697" s="9"/>
      <x:c r="D697" s="9"/>
      <x:c r="E697" s="9"/>
      <x:c r="F697" s="9"/>
      <x:c r="G697" s="9"/>
      <x:c r="H697" s="9"/>
      <x:c r="I697" s="13"/>
      <x:c r="J697" s="15"/>
      <x:c r="K697" s="15"/>
      <x:c r="L697" s="17" t="str">
        <x:f>IF(B697="","",IF(NOT(AND(ISNUMBER(J697),ISNUMBER(K697))),"",SUM(J697:K697)))</x:f>
      </x:c>
      <x:c r="M697" s="15"/>
      <x:c r="N697" s="17" t="str">
        <x:f>IF(OR(B697="",D697&lt;&gt;"pagada",NOT(ISNUMBER(J697)),NOT(ISNUMBER(M697))),"",J697-M697)</x:f>
      </x:c>
      <x:c r="O697" s="9"/>
      <x:c r="P697" s="9"/>
      <x:c r="Q697" s="1" t="str">
        <x:f>IF(B697="","",IF(COUNTIFS($B$7:$B$1006,B697,$C$7:$C$1006,C697)&gt;1,"ID duplicado",IF(OR(A697="",C697="",D697="",E697="",F697="",I697="",J697="",K697="",O697=""),"Completar datos",IF(NOT(ISNUMBER(M697)),"Falta costo histórico","Revisar soporte"))))</x:f>
      </x:c>
      <x:c r="R697" s="9" t="n">
        <x:f>IF(B697="",0,IF(AND(D697="pagada",NOT(ISNUMBER(M697))),1,0))</x:f>
        <x:v>0</x:v>
      </x:c>
    </x:row>
    <x:row r="698" ht="22" customHeight="1">
      <x:c r="A698" s="11"/>
      <x:c r="B698" s="9"/>
      <x:c r="C698" s="9"/>
      <x:c r="D698" s="9"/>
      <x:c r="E698" s="9"/>
      <x:c r="F698" s="9"/>
      <x:c r="G698" s="9"/>
      <x:c r="H698" s="9"/>
      <x:c r="I698" s="13"/>
      <x:c r="J698" s="15"/>
      <x:c r="K698" s="15"/>
      <x:c r="L698" s="17" t="str">
        <x:f>IF(B698="","",IF(NOT(AND(ISNUMBER(J698),ISNUMBER(K698))),"",SUM(J698:K698)))</x:f>
      </x:c>
      <x:c r="M698" s="15"/>
      <x:c r="N698" s="17" t="str">
        <x:f>IF(OR(B698="",D698&lt;&gt;"pagada",NOT(ISNUMBER(J698)),NOT(ISNUMBER(M698))),"",J698-M698)</x:f>
      </x:c>
      <x:c r="O698" s="9"/>
      <x:c r="P698" s="9"/>
      <x:c r="Q698" s="1" t="str">
        <x:f>IF(B698="","",IF(COUNTIFS($B$7:$B$1006,B698,$C$7:$C$1006,C698)&gt;1,"ID duplicado",IF(OR(A698="",C698="",D698="",E698="",F698="",I698="",J698="",K698="",O698=""),"Completar datos",IF(NOT(ISNUMBER(M698)),"Falta costo histórico","Revisar soporte"))))</x:f>
      </x:c>
      <x:c r="R698" s="9" t="n">
        <x:f>IF(B698="",0,IF(AND(D698="pagada",NOT(ISNUMBER(M698))),1,0))</x:f>
        <x:v>0</x:v>
      </x:c>
    </x:row>
    <x:row r="699" ht="22" customHeight="1">
      <x:c r="A699" s="11"/>
      <x:c r="B699" s="9"/>
      <x:c r="C699" s="9"/>
      <x:c r="D699" s="9"/>
      <x:c r="E699" s="9"/>
      <x:c r="F699" s="9"/>
      <x:c r="G699" s="9"/>
      <x:c r="H699" s="9"/>
      <x:c r="I699" s="13"/>
      <x:c r="J699" s="15"/>
      <x:c r="K699" s="15"/>
      <x:c r="L699" s="17" t="str">
        <x:f>IF(B699="","",IF(NOT(AND(ISNUMBER(J699),ISNUMBER(K699))),"",SUM(J699:K699)))</x:f>
      </x:c>
      <x:c r="M699" s="15"/>
      <x:c r="N699" s="17" t="str">
        <x:f>IF(OR(B699="",D699&lt;&gt;"pagada",NOT(ISNUMBER(J699)),NOT(ISNUMBER(M699))),"",J699-M699)</x:f>
      </x:c>
      <x:c r="O699" s="9"/>
      <x:c r="P699" s="9"/>
      <x:c r="Q699" s="1" t="str">
        <x:f>IF(B699="","",IF(COUNTIFS($B$7:$B$1006,B699,$C$7:$C$1006,C699)&gt;1,"ID duplicado",IF(OR(A699="",C699="",D699="",E699="",F699="",I699="",J699="",K699="",O699=""),"Completar datos",IF(NOT(ISNUMBER(M699)),"Falta costo histórico","Revisar soporte"))))</x:f>
      </x:c>
      <x:c r="R699" s="9" t="n">
        <x:f>IF(B699="",0,IF(AND(D699="pagada",NOT(ISNUMBER(M699))),1,0))</x:f>
        <x:v>0</x:v>
      </x:c>
    </x:row>
    <x:row r="700" ht="22" customHeight="1">
      <x:c r="A700" s="11"/>
      <x:c r="B700" s="9"/>
      <x:c r="C700" s="9"/>
      <x:c r="D700" s="9"/>
      <x:c r="E700" s="9"/>
      <x:c r="F700" s="9"/>
      <x:c r="G700" s="9"/>
      <x:c r="H700" s="9"/>
      <x:c r="I700" s="13"/>
      <x:c r="J700" s="15"/>
      <x:c r="K700" s="15"/>
      <x:c r="L700" s="17" t="str">
        <x:f>IF(B700="","",IF(NOT(AND(ISNUMBER(J700),ISNUMBER(K700))),"",SUM(J700:K700)))</x:f>
      </x:c>
      <x:c r="M700" s="15"/>
      <x:c r="N700" s="17" t="str">
        <x:f>IF(OR(B700="",D700&lt;&gt;"pagada",NOT(ISNUMBER(J700)),NOT(ISNUMBER(M700))),"",J700-M700)</x:f>
      </x:c>
      <x:c r="O700" s="9"/>
      <x:c r="P700" s="9"/>
      <x:c r="Q700" s="1" t="str">
        <x:f>IF(B700="","",IF(COUNTIFS($B$7:$B$1006,B700,$C$7:$C$1006,C700)&gt;1,"ID duplicado",IF(OR(A700="",C700="",D700="",E700="",F700="",I700="",J700="",K700="",O700=""),"Completar datos",IF(NOT(ISNUMBER(M700)),"Falta costo histórico","Revisar soporte"))))</x:f>
      </x:c>
      <x:c r="R700" s="9" t="n">
        <x:f>IF(B700="",0,IF(AND(D700="pagada",NOT(ISNUMBER(M700))),1,0))</x:f>
        <x:v>0</x:v>
      </x:c>
    </x:row>
    <x:row r="701" ht="22" customHeight="1">
      <x:c r="A701" s="11"/>
      <x:c r="B701" s="9"/>
      <x:c r="C701" s="9"/>
      <x:c r="D701" s="9"/>
      <x:c r="E701" s="9"/>
      <x:c r="F701" s="9"/>
      <x:c r="G701" s="9"/>
      <x:c r="H701" s="9"/>
      <x:c r="I701" s="13"/>
      <x:c r="J701" s="15"/>
      <x:c r="K701" s="15"/>
      <x:c r="L701" s="17" t="str">
        <x:f>IF(B701="","",IF(NOT(AND(ISNUMBER(J701),ISNUMBER(K701))),"",SUM(J701:K701)))</x:f>
      </x:c>
      <x:c r="M701" s="15"/>
      <x:c r="N701" s="17" t="str">
        <x:f>IF(OR(B701="",D701&lt;&gt;"pagada",NOT(ISNUMBER(J701)),NOT(ISNUMBER(M701))),"",J701-M701)</x:f>
      </x:c>
      <x:c r="O701" s="9"/>
      <x:c r="P701" s="9"/>
      <x:c r="Q701" s="1" t="str">
        <x:f>IF(B701="","",IF(COUNTIFS($B$7:$B$1006,B701,$C$7:$C$1006,C701)&gt;1,"ID duplicado",IF(OR(A701="",C701="",D701="",E701="",F701="",I701="",J701="",K701="",O701=""),"Completar datos",IF(NOT(ISNUMBER(M701)),"Falta costo histórico","Revisar soporte"))))</x:f>
      </x:c>
      <x:c r="R701" s="9" t="n">
        <x:f>IF(B701="",0,IF(AND(D701="pagada",NOT(ISNUMBER(M701))),1,0))</x:f>
        <x:v>0</x:v>
      </x:c>
    </x:row>
    <x:row r="702" ht="22" customHeight="1">
      <x:c r="A702" s="11"/>
      <x:c r="B702" s="9"/>
      <x:c r="C702" s="9"/>
      <x:c r="D702" s="9"/>
      <x:c r="E702" s="9"/>
      <x:c r="F702" s="9"/>
      <x:c r="G702" s="9"/>
      <x:c r="H702" s="9"/>
      <x:c r="I702" s="13"/>
      <x:c r="J702" s="15"/>
      <x:c r="K702" s="15"/>
      <x:c r="L702" s="17" t="str">
        <x:f>IF(B702="","",IF(NOT(AND(ISNUMBER(J702),ISNUMBER(K702))),"",SUM(J702:K702)))</x:f>
      </x:c>
      <x:c r="M702" s="15"/>
      <x:c r="N702" s="17" t="str">
        <x:f>IF(OR(B702="",D702&lt;&gt;"pagada",NOT(ISNUMBER(J702)),NOT(ISNUMBER(M702))),"",J702-M702)</x:f>
      </x:c>
      <x:c r="O702" s="9"/>
      <x:c r="P702" s="9"/>
      <x:c r="Q702" s="1" t="str">
        <x:f>IF(B702="","",IF(COUNTIFS($B$7:$B$1006,B702,$C$7:$C$1006,C702)&gt;1,"ID duplicado",IF(OR(A702="",C702="",D702="",E702="",F702="",I702="",J702="",K702="",O702=""),"Completar datos",IF(NOT(ISNUMBER(M702)),"Falta costo histórico","Revisar soporte"))))</x:f>
      </x:c>
      <x:c r="R702" s="9" t="n">
        <x:f>IF(B702="",0,IF(AND(D702="pagada",NOT(ISNUMBER(M702))),1,0))</x:f>
        <x:v>0</x:v>
      </x:c>
    </x:row>
    <x:row r="703" ht="22" customHeight="1">
      <x:c r="A703" s="11"/>
      <x:c r="B703" s="9"/>
      <x:c r="C703" s="9"/>
      <x:c r="D703" s="9"/>
      <x:c r="E703" s="9"/>
      <x:c r="F703" s="9"/>
      <x:c r="G703" s="9"/>
      <x:c r="H703" s="9"/>
      <x:c r="I703" s="13"/>
      <x:c r="J703" s="15"/>
      <x:c r="K703" s="15"/>
      <x:c r="L703" s="17" t="str">
        <x:f>IF(B703="","",IF(NOT(AND(ISNUMBER(J703),ISNUMBER(K703))),"",SUM(J703:K703)))</x:f>
      </x:c>
      <x:c r="M703" s="15"/>
      <x:c r="N703" s="17" t="str">
        <x:f>IF(OR(B703="",D703&lt;&gt;"pagada",NOT(ISNUMBER(J703)),NOT(ISNUMBER(M703))),"",J703-M703)</x:f>
      </x:c>
      <x:c r="O703" s="9"/>
      <x:c r="P703" s="9"/>
      <x:c r="Q703" s="1" t="str">
        <x:f>IF(B703="","",IF(COUNTIFS($B$7:$B$1006,B703,$C$7:$C$1006,C703)&gt;1,"ID duplicado",IF(OR(A703="",C703="",D703="",E703="",F703="",I703="",J703="",K703="",O703=""),"Completar datos",IF(NOT(ISNUMBER(M703)),"Falta costo histórico","Revisar soporte"))))</x:f>
      </x:c>
      <x:c r="R703" s="9" t="n">
        <x:f>IF(B703="",0,IF(AND(D703="pagada",NOT(ISNUMBER(M703))),1,0))</x:f>
        <x:v>0</x:v>
      </x:c>
    </x:row>
    <x:row r="704" ht="22" customHeight="1">
      <x:c r="A704" s="11"/>
      <x:c r="B704" s="9"/>
      <x:c r="C704" s="9"/>
      <x:c r="D704" s="9"/>
      <x:c r="E704" s="9"/>
      <x:c r="F704" s="9"/>
      <x:c r="G704" s="9"/>
      <x:c r="H704" s="9"/>
      <x:c r="I704" s="13"/>
      <x:c r="J704" s="15"/>
      <x:c r="K704" s="15"/>
      <x:c r="L704" s="17" t="str">
        <x:f>IF(B704="","",IF(NOT(AND(ISNUMBER(J704),ISNUMBER(K704))),"",SUM(J704:K704)))</x:f>
      </x:c>
      <x:c r="M704" s="15"/>
      <x:c r="N704" s="17" t="str">
        <x:f>IF(OR(B704="",D704&lt;&gt;"pagada",NOT(ISNUMBER(J704)),NOT(ISNUMBER(M704))),"",J704-M704)</x:f>
      </x:c>
      <x:c r="O704" s="9"/>
      <x:c r="P704" s="9"/>
      <x:c r="Q704" s="1" t="str">
        <x:f>IF(B704="","",IF(COUNTIFS($B$7:$B$1006,B704,$C$7:$C$1006,C704)&gt;1,"ID duplicado",IF(OR(A704="",C704="",D704="",E704="",F704="",I704="",J704="",K704="",O704=""),"Completar datos",IF(NOT(ISNUMBER(M704)),"Falta costo histórico","Revisar soporte"))))</x:f>
      </x:c>
      <x:c r="R704" s="9" t="n">
        <x:f>IF(B704="",0,IF(AND(D704="pagada",NOT(ISNUMBER(M704))),1,0))</x:f>
        <x:v>0</x:v>
      </x:c>
    </x:row>
    <x:row r="705" ht="22" customHeight="1">
      <x:c r="A705" s="11"/>
      <x:c r="B705" s="9"/>
      <x:c r="C705" s="9"/>
      <x:c r="D705" s="9"/>
      <x:c r="E705" s="9"/>
      <x:c r="F705" s="9"/>
      <x:c r="G705" s="9"/>
      <x:c r="H705" s="9"/>
      <x:c r="I705" s="13"/>
      <x:c r="J705" s="15"/>
      <x:c r="K705" s="15"/>
      <x:c r="L705" s="17" t="str">
        <x:f>IF(B705="","",IF(NOT(AND(ISNUMBER(J705),ISNUMBER(K705))),"",SUM(J705:K705)))</x:f>
      </x:c>
      <x:c r="M705" s="15"/>
      <x:c r="N705" s="17" t="str">
        <x:f>IF(OR(B705="",D705&lt;&gt;"pagada",NOT(ISNUMBER(J705)),NOT(ISNUMBER(M705))),"",J705-M705)</x:f>
      </x:c>
      <x:c r="O705" s="9"/>
      <x:c r="P705" s="9"/>
      <x:c r="Q705" s="1" t="str">
        <x:f>IF(B705="","",IF(COUNTIFS($B$7:$B$1006,B705,$C$7:$C$1006,C705)&gt;1,"ID duplicado",IF(OR(A705="",C705="",D705="",E705="",F705="",I705="",J705="",K705="",O705=""),"Completar datos",IF(NOT(ISNUMBER(M705)),"Falta costo histórico","Revisar soporte"))))</x:f>
      </x:c>
      <x:c r="R705" s="9" t="n">
        <x:f>IF(B705="",0,IF(AND(D705="pagada",NOT(ISNUMBER(M705))),1,0))</x:f>
        <x:v>0</x:v>
      </x:c>
    </x:row>
    <x:row r="706" ht="22" customHeight="1">
      <x:c r="A706" s="11"/>
      <x:c r="B706" s="9"/>
      <x:c r="C706" s="9"/>
      <x:c r="D706" s="9"/>
      <x:c r="E706" s="9"/>
      <x:c r="F706" s="9"/>
      <x:c r="G706" s="9"/>
      <x:c r="H706" s="9"/>
      <x:c r="I706" s="13"/>
      <x:c r="J706" s="15"/>
      <x:c r="K706" s="15"/>
      <x:c r="L706" s="17" t="str">
        <x:f>IF(B706="","",IF(NOT(AND(ISNUMBER(J706),ISNUMBER(K706))),"",SUM(J706:K706)))</x:f>
      </x:c>
      <x:c r="M706" s="15"/>
      <x:c r="N706" s="17" t="str">
        <x:f>IF(OR(B706="",D706&lt;&gt;"pagada",NOT(ISNUMBER(J706)),NOT(ISNUMBER(M706))),"",J706-M706)</x:f>
      </x:c>
      <x:c r="O706" s="9"/>
      <x:c r="P706" s="9"/>
      <x:c r="Q706" s="1" t="str">
        <x:f>IF(B706="","",IF(COUNTIFS($B$7:$B$1006,B706,$C$7:$C$1006,C706)&gt;1,"ID duplicado",IF(OR(A706="",C706="",D706="",E706="",F706="",I706="",J706="",K706="",O706=""),"Completar datos",IF(NOT(ISNUMBER(M706)),"Falta costo histórico","Revisar soporte"))))</x:f>
      </x:c>
      <x:c r="R706" s="9" t="n">
        <x:f>IF(B706="",0,IF(AND(D706="pagada",NOT(ISNUMBER(M706))),1,0))</x:f>
        <x:v>0</x:v>
      </x:c>
    </x:row>
    <x:row r="707" ht="22" customHeight="1">
      <x:c r="A707" s="11"/>
      <x:c r="B707" s="9"/>
      <x:c r="C707" s="9"/>
      <x:c r="D707" s="9"/>
      <x:c r="E707" s="9"/>
      <x:c r="F707" s="9"/>
      <x:c r="G707" s="9"/>
      <x:c r="H707" s="9"/>
      <x:c r="I707" s="13"/>
      <x:c r="J707" s="15"/>
      <x:c r="K707" s="15"/>
      <x:c r="L707" s="17" t="str">
        <x:f>IF(B707="","",IF(NOT(AND(ISNUMBER(J707),ISNUMBER(K707))),"",SUM(J707:K707)))</x:f>
      </x:c>
      <x:c r="M707" s="15"/>
      <x:c r="N707" s="17" t="str">
        <x:f>IF(OR(B707="",D707&lt;&gt;"pagada",NOT(ISNUMBER(J707)),NOT(ISNUMBER(M707))),"",J707-M707)</x:f>
      </x:c>
      <x:c r="O707" s="9"/>
      <x:c r="P707" s="9"/>
      <x:c r="Q707" s="1" t="str">
        <x:f>IF(B707="","",IF(COUNTIFS($B$7:$B$1006,B707,$C$7:$C$1006,C707)&gt;1,"ID duplicado",IF(OR(A707="",C707="",D707="",E707="",F707="",I707="",J707="",K707="",O707=""),"Completar datos",IF(NOT(ISNUMBER(M707)),"Falta costo histórico","Revisar soporte"))))</x:f>
      </x:c>
      <x:c r="R707" s="9" t="n">
        <x:f>IF(B707="",0,IF(AND(D707="pagada",NOT(ISNUMBER(M707))),1,0))</x:f>
        <x:v>0</x:v>
      </x:c>
    </x:row>
    <x:row r="708" ht="22" customHeight="1">
      <x:c r="A708" s="11"/>
      <x:c r="B708" s="9"/>
      <x:c r="C708" s="9"/>
      <x:c r="D708" s="9"/>
      <x:c r="E708" s="9"/>
      <x:c r="F708" s="9"/>
      <x:c r="G708" s="9"/>
      <x:c r="H708" s="9"/>
      <x:c r="I708" s="13"/>
      <x:c r="J708" s="15"/>
      <x:c r="K708" s="15"/>
      <x:c r="L708" s="17" t="str">
        <x:f>IF(B708="","",IF(NOT(AND(ISNUMBER(J708),ISNUMBER(K708))),"",SUM(J708:K708)))</x:f>
      </x:c>
      <x:c r="M708" s="15"/>
      <x:c r="N708" s="17" t="str">
        <x:f>IF(OR(B708="",D708&lt;&gt;"pagada",NOT(ISNUMBER(J708)),NOT(ISNUMBER(M708))),"",J708-M708)</x:f>
      </x:c>
      <x:c r="O708" s="9"/>
      <x:c r="P708" s="9"/>
      <x:c r="Q708" s="1" t="str">
        <x:f>IF(B708="","",IF(COUNTIFS($B$7:$B$1006,B708,$C$7:$C$1006,C708)&gt;1,"ID duplicado",IF(OR(A708="",C708="",D708="",E708="",F708="",I708="",J708="",K708="",O708=""),"Completar datos",IF(NOT(ISNUMBER(M708)),"Falta costo histórico","Revisar soporte"))))</x:f>
      </x:c>
      <x:c r="R708" s="9" t="n">
        <x:f>IF(B708="",0,IF(AND(D708="pagada",NOT(ISNUMBER(M708))),1,0))</x:f>
        <x:v>0</x:v>
      </x:c>
    </x:row>
    <x:row r="709" ht="22" customHeight="1">
      <x:c r="A709" s="11"/>
      <x:c r="B709" s="9"/>
      <x:c r="C709" s="9"/>
      <x:c r="D709" s="9"/>
      <x:c r="E709" s="9"/>
      <x:c r="F709" s="9"/>
      <x:c r="G709" s="9"/>
      <x:c r="H709" s="9"/>
      <x:c r="I709" s="13"/>
      <x:c r="J709" s="15"/>
      <x:c r="K709" s="15"/>
      <x:c r="L709" s="17" t="str">
        <x:f>IF(B709="","",IF(NOT(AND(ISNUMBER(J709),ISNUMBER(K709))),"",SUM(J709:K709)))</x:f>
      </x:c>
      <x:c r="M709" s="15"/>
      <x:c r="N709" s="17" t="str">
        <x:f>IF(OR(B709="",D709&lt;&gt;"pagada",NOT(ISNUMBER(J709)),NOT(ISNUMBER(M709))),"",J709-M709)</x:f>
      </x:c>
      <x:c r="O709" s="9"/>
      <x:c r="P709" s="9"/>
      <x:c r="Q709" s="1" t="str">
        <x:f>IF(B709="","",IF(COUNTIFS($B$7:$B$1006,B709,$C$7:$C$1006,C709)&gt;1,"ID duplicado",IF(OR(A709="",C709="",D709="",E709="",F709="",I709="",J709="",K709="",O709=""),"Completar datos",IF(NOT(ISNUMBER(M709)),"Falta costo histórico","Revisar soporte"))))</x:f>
      </x:c>
      <x:c r="R709" s="9" t="n">
        <x:f>IF(B709="",0,IF(AND(D709="pagada",NOT(ISNUMBER(M709))),1,0))</x:f>
        <x:v>0</x:v>
      </x:c>
    </x:row>
    <x:row r="710" ht="22" customHeight="1">
      <x:c r="A710" s="11"/>
      <x:c r="B710" s="9"/>
      <x:c r="C710" s="9"/>
      <x:c r="D710" s="9"/>
      <x:c r="E710" s="9"/>
      <x:c r="F710" s="9"/>
      <x:c r="G710" s="9"/>
      <x:c r="H710" s="9"/>
      <x:c r="I710" s="13"/>
      <x:c r="J710" s="15"/>
      <x:c r="K710" s="15"/>
      <x:c r="L710" s="17" t="str">
        <x:f>IF(B710="","",IF(NOT(AND(ISNUMBER(J710),ISNUMBER(K710))),"",SUM(J710:K710)))</x:f>
      </x:c>
      <x:c r="M710" s="15"/>
      <x:c r="N710" s="17" t="str">
        <x:f>IF(OR(B710="",D710&lt;&gt;"pagada",NOT(ISNUMBER(J710)),NOT(ISNUMBER(M710))),"",J710-M710)</x:f>
      </x:c>
      <x:c r="O710" s="9"/>
      <x:c r="P710" s="9"/>
      <x:c r="Q710" s="1" t="str">
        <x:f>IF(B710="","",IF(COUNTIFS($B$7:$B$1006,B710,$C$7:$C$1006,C710)&gt;1,"ID duplicado",IF(OR(A710="",C710="",D710="",E710="",F710="",I710="",J710="",K710="",O710=""),"Completar datos",IF(NOT(ISNUMBER(M710)),"Falta costo histórico","Revisar soporte"))))</x:f>
      </x:c>
      <x:c r="R710" s="9" t="n">
        <x:f>IF(B710="",0,IF(AND(D710="pagada",NOT(ISNUMBER(M710))),1,0))</x:f>
        <x:v>0</x:v>
      </x:c>
    </x:row>
    <x:row r="711" ht="22" customHeight="1">
      <x:c r="A711" s="11"/>
      <x:c r="B711" s="9"/>
      <x:c r="C711" s="9"/>
      <x:c r="D711" s="9"/>
      <x:c r="E711" s="9"/>
      <x:c r="F711" s="9"/>
      <x:c r="G711" s="9"/>
      <x:c r="H711" s="9"/>
      <x:c r="I711" s="13"/>
      <x:c r="J711" s="15"/>
      <x:c r="K711" s="15"/>
      <x:c r="L711" s="17" t="str">
        <x:f>IF(B711="","",IF(NOT(AND(ISNUMBER(J711),ISNUMBER(K711))),"",SUM(J711:K711)))</x:f>
      </x:c>
      <x:c r="M711" s="15"/>
      <x:c r="N711" s="17" t="str">
        <x:f>IF(OR(B711="",D711&lt;&gt;"pagada",NOT(ISNUMBER(J711)),NOT(ISNUMBER(M711))),"",J711-M711)</x:f>
      </x:c>
      <x:c r="O711" s="9"/>
      <x:c r="P711" s="9"/>
      <x:c r="Q711" s="1" t="str">
        <x:f>IF(B711="","",IF(COUNTIFS($B$7:$B$1006,B711,$C$7:$C$1006,C711)&gt;1,"ID duplicado",IF(OR(A711="",C711="",D711="",E711="",F711="",I711="",J711="",K711="",O711=""),"Completar datos",IF(NOT(ISNUMBER(M711)),"Falta costo histórico","Revisar soporte"))))</x:f>
      </x:c>
      <x:c r="R711" s="9" t="n">
        <x:f>IF(B711="",0,IF(AND(D711="pagada",NOT(ISNUMBER(M711))),1,0))</x:f>
        <x:v>0</x:v>
      </x:c>
    </x:row>
    <x:row r="712" ht="22" customHeight="1">
      <x:c r="A712" s="11"/>
      <x:c r="B712" s="9"/>
      <x:c r="C712" s="9"/>
      <x:c r="D712" s="9"/>
      <x:c r="E712" s="9"/>
      <x:c r="F712" s="9"/>
      <x:c r="G712" s="9"/>
      <x:c r="H712" s="9"/>
      <x:c r="I712" s="13"/>
      <x:c r="J712" s="15"/>
      <x:c r="K712" s="15"/>
      <x:c r="L712" s="17" t="str">
        <x:f>IF(B712="","",IF(NOT(AND(ISNUMBER(J712),ISNUMBER(K712))),"",SUM(J712:K712)))</x:f>
      </x:c>
      <x:c r="M712" s="15"/>
      <x:c r="N712" s="17" t="str">
        <x:f>IF(OR(B712="",D712&lt;&gt;"pagada",NOT(ISNUMBER(J712)),NOT(ISNUMBER(M712))),"",J712-M712)</x:f>
      </x:c>
      <x:c r="O712" s="9"/>
      <x:c r="P712" s="9"/>
      <x:c r="Q712" s="1" t="str">
        <x:f>IF(B712="","",IF(COUNTIFS($B$7:$B$1006,B712,$C$7:$C$1006,C712)&gt;1,"ID duplicado",IF(OR(A712="",C712="",D712="",E712="",F712="",I712="",J712="",K712="",O712=""),"Completar datos",IF(NOT(ISNUMBER(M712)),"Falta costo histórico","Revisar soporte"))))</x:f>
      </x:c>
      <x:c r="R712" s="9" t="n">
        <x:f>IF(B712="",0,IF(AND(D712="pagada",NOT(ISNUMBER(M712))),1,0))</x:f>
        <x:v>0</x:v>
      </x:c>
    </x:row>
    <x:row r="713" ht="22" customHeight="1">
      <x:c r="A713" s="11"/>
      <x:c r="B713" s="9"/>
      <x:c r="C713" s="9"/>
      <x:c r="D713" s="9"/>
      <x:c r="E713" s="9"/>
      <x:c r="F713" s="9"/>
      <x:c r="G713" s="9"/>
      <x:c r="H713" s="9"/>
      <x:c r="I713" s="13"/>
      <x:c r="J713" s="15"/>
      <x:c r="K713" s="15"/>
      <x:c r="L713" s="17" t="str">
        <x:f>IF(B713="","",IF(NOT(AND(ISNUMBER(J713),ISNUMBER(K713))),"",SUM(J713:K713)))</x:f>
      </x:c>
      <x:c r="M713" s="15"/>
      <x:c r="N713" s="17" t="str">
        <x:f>IF(OR(B713="",D713&lt;&gt;"pagada",NOT(ISNUMBER(J713)),NOT(ISNUMBER(M713))),"",J713-M713)</x:f>
      </x:c>
      <x:c r="O713" s="9"/>
      <x:c r="P713" s="9"/>
      <x:c r="Q713" s="1" t="str">
        <x:f>IF(B713="","",IF(COUNTIFS($B$7:$B$1006,B713,$C$7:$C$1006,C713)&gt;1,"ID duplicado",IF(OR(A713="",C713="",D713="",E713="",F713="",I713="",J713="",K713="",O713=""),"Completar datos",IF(NOT(ISNUMBER(M713)),"Falta costo histórico","Revisar soporte"))))</x:f>
      </x:c>
      <x:c r="R713" s="9" t="n">
        <x:f>IF(B713="",0,IF(AND(D713="pagada",NOT(ISNUMBER(M713))),1,0))</x:f>
        <x:v>0</x:v>
      </x:c>
    </x:row>
    <x:row r="714" ht="22" customHeight="1">
      <x:c r="A714" s="11"/>
      <x:c r="B714" s="9"/>
      <x:c r="C714" s="9"/>
      <x:c r="D714" s="9"/>
      <x:c r="E714" s="9"/>
      <x:c r="F714" s="9"/>
      <x:c r="G714" s="9"/>
      <x:c r="H714" s="9"/>
      <x:c r="I714" s="13"/>
      <x:c r="J714" s="15"/>
      <x:c r="K714" s="15"/>
      <x:c r="L714" s="17" t="str">
        <x:f>IF(B714="","",IF(NOT(AND(ISNUMBER(J714),ISNUMBER(K714))),"",SUM(J714:K714)))</x:f>
      </x:c>
      <x:c r="M714" s="15"/>
      <x:c r="N714" s="17" t="str">
        <x:f>IF(OR(B714="",D714&lt;&gt;"pagada",NOT(ISNUMBER(J714)),NOT(ISNUMBER(M714))),"",J714-M714)</x:f>
      </x:c>
      <x:c r="O714" s="9"/>
      <x:c r="P714" s="9"/>
      <x:c r="Q714" s="1" t="str">
        <x:f>IF(B714="","",IF(COUNTIFS($B$7:$B$1006,B714,$C$7:$C$1006,C714)&gt;1,"ID duplicado",IF(OR(A714="",C714="",D714="",E714="",F714="",I714="",J714="",K714="",O714=""),"Completar datos",IF(NOT(ISNUMBER(M714)),"Falta costo histórico","Revisar soporte"))))</x:f>
      </x:c>
      <x:c r="R714" s="9" t="n">
        <x:f>IF(B714="",0,IF(AND(D714="pagada",NOT(ISNUMBER(M714))),1,0))</x:f>
        <x:v>0</x:v>
      </x:c>
    </x:row>
    <x:row r="715" ht="22" customHeight="1">
      <x:c r="A715" s="11"/>
      <x:c r="B715" s="9"/>
      <x:c r="C715" s="9"/>
      <x:c r="D715" s="9"/>
      <x:c r="E715" s="9"/>
      <x:c r="F715" s="9"/>
      <x:c r="G715" s="9"/>
      <x:c r="H715" s="9"/>
      <x:c r="I715" s="13"/>
      <x:c r="J715" s="15"/>
      <x:c r="K715" s="15"/>
      <x:c r="L715" s="17" t="str">
        <x:f>IF(B715="","",IF(NOT(AND(ISNUMBER(J715),ISNUMBER(K715))),"",SUM(J715:K715)))</x:f>
      </x:c>
      <x:c r="M715" s="15"/>
      <x:c r="N715" s="17" t="str">
        <x:f>IF(OR(B715="",D715&lt;&gt;"pagada",NOT(ISNUMBER(J715)),NOT(ISNUMBER(M715))),"",J715-M715)</x:f>
      </x:c>
      <x:c r="O715" s="9"/>
      <x:c r="P715" s="9"/>
      <x:c r="Q715" s="1" t="str">
        <x:f>IF(B715="","",IF(COUNTIFS($B$7:$B$1006,B715,$C$7:$C$1006,C715)&gt;1,"ID duplicado",IF(OR(A715="",C715="",D715="",E715="",F715="",I715="",J715="",K715="",O715=""),"Completar datos",IF(NOT(ISNUMBER(M715)),"Falta costo histórico","Revisar soporte"))))</x:f>
      </x:c>
      <x:c r="R715" s="9" t="n">
        <x:f>IF(B715="",0,IF(AND(D715="pagada",NOT(ISNUMBER(M715))),1,0))</x:f>
        <x:v>0</x:v>
      </x:c>
    </x:row>
    <x:row r="716" ht="22" customHeight="1">
      <x:c r="A716" s="11"/>
      <x:c r="B716" s="9"/>
      <x:c r="C716" s="9"/>
      <x:c r="D716" s="9"/>
      <x:c r="E716" s="9"/>
      <x:c r="F716" s="9"/>
      <x:c r="G716" s="9"/>
      <x:c r="H716" s="9"/>
      <x:c r="I716" s="13"/>
      <x:c r="J716" s="15"/>
      <x:c r="K716" s="15"/>
      <x:c r="L716" s="17" t="str">
        <x:f>IF(B716="","",IF(NOT(AND(ISNUMBER(J716),ISNUMBER(K716))),"",SUM(J716:K716)))</x:f>
      </x:c>
      <x:c r="M716" s="15"/>
      <x:c r="N716" s="17" t="str">
        <x:f>IF(OR(B716="",D716&lt;&gt;"pagada",NOT(ISNUMBER(J716)),NOT(ISNUMBER(M716))),"",J716-M716)</x:f>
      </x:c>
      <x:c r="O716" s="9"/>
      <x:c r="P716" s="9"/>
      <x:c r="Q716" s="1" t="str">
        <x:f>IF(B716="","",IF(COUNTIFS($B$7:$B$1006,B716,$C$7:$C$1006,C716)&gt;1,"ID duplicado",IF(OR(A716="",C716="",D716="",E716="",F716="",I716="",J716="",K716="",O716=""),"Completar datos",IF(NOT(ISNUMBER(M716)),"Falta costo histórico","Revisar soporte"))))</x:f>
      </x:c>
      <x:c r="R716" s="9" t="n">
        <x:f>IF(B716="",0,IF(AND(D716="pagada",NOT(ISNUMBER(M716))),1,0))</x:f>
        <x:v>0</x:v>
      </x:c>
    </x:row>
    <x:row r="717" ht="22" customHeight="1">
      <x:c r="A717" s="11"/>
      <x:c r="B717" s="9"/>
      <x:c r="C717" s="9"/>
      <x:c r="D717" s="9"/>
      <x:c r="E717" s="9"/>
      <x:c r="F717" s="9"/>
      <x:c r="G717" s="9"/>
      <x:c r="H717" s="9"/>
      <x:c r="I717" s="13"/>
      <x:c r="J717" s="15"/>
      <x:c r="K717" s="15"/>
      <x:c r="L717" s="17" t="str">
        <x:f>IF(B717="","",IF(NOT(AND(ISNUMBER(J717),ISNUMBER(K717))),"",SUM(J717:K717)))</x:f>
      </x:c>
      <x:c r="M717" s="15"/>
      <x:c r="N717" s="17" t="str">
        <x:f>IF(OR(B717="",D717&lt;&gt;"pagada",NOT(ISNUMBER(J717)),NOT(ISNUMBER(M717))),"",J717-M717)</x:f>
      </x:c>
      <x:c r="O717" s="9"/>
      <x:c r="P717" s="9"/>
      <x:c r="Q717" s="1" t="str">
        <x:f>IF(B717="","",IF(COUNTIFS($B$7:$B$1006,B717,$C$7:$C$1006,C717)&gt;1,"ID duplicado",IF(OR(A717="",C717="",D717="",E717="",F717="",I717="",J717="",K717="",O717=""),"Completar datos",IF(NOT(ISNUMBER(M717)),"Falta costo histórico","Revisar soporte"))))</x:f>
      </x:c>
      <x:c r="R717" s="9" t="n">
        <x:f>IF(B717="",0,IF(AND(D717="pagada",NOT(ISNUMBER(M717))),1,0))</x:f>
        <x:v>0</x:v>
      </x:c>
    </x:row>
    <x:row r="718" ht="22" customHeight="1">
      <x:c r="A718" s="11"/>
      <x:c r="B718" s="9"/>
      <x:c r="C718" s="9"/>
      <x:c r="D718" s="9"/>
      <x:c r="E718" s="9"/>
      <x:c r="F718" s="9"/>
      <x:c r="G718" s="9"/>
      <x:c r="H718" s="9"/>
      <x:c r="I718" s="13"/>
      <x:c r="J718" s="15"/>
      <x:c r="K718" s="15"/>
      <x:c r="L718" s="17" t="str">
        <x:f>IF(B718="","",IF(NOT(AND(ISNUMBER(J718),ISNUMBER(K718))),"",SUM(J718:K718)))</x:f>
      </x:c>
      <x:c r="M718" s="15"/>
      <x:c r="N718" s="17" t="str">
        <x:f>IF(OR(B718="",D718&lt;&gt;"pagada",NOT(ISNUMBER(J718)),NOT(ISNUMBER(M718))),"",J718-M718)</x:f>
      </x:c>
      <x:c r="O718" s="9"/>
      <x:c r="P718" s="9"/>
      <x:c r="Q718" s="1" t="str">
        <x:f>IF(B718="","",IF(COUNTIFS($B$7:$B$1006,B718,$C$7:$C$1006,C718)&gt;1,"ID duplicado",IF(OR(A718="",C718="",D718="",E718="",F718="",I718="",J718="",K718="",O718=""),"Completar datos",IF(NOT(ISNUMBER(M718)),"Falta costo histórico","Revisar soporte"))))</x:f>
      </x:c>
      <x:c r="R718" s="9" t="n">
        <x:f>IF(B718="",0,IF(AND(D718="pagada",NOT(ISNUMBER(M718))),1,0))</x:f>
        <x:v>0</x:v>
      </x:c>
    </x:row>
    <x:row r="719" ht="22" customHeight="1">
      <x:c r="A719" s="11"/>
      <x:c r="B719" s="9"/>
      <x:c r="C719" s="9"/>
      <x:c r="D719" s="9"/>
      <x:c r="E719" s="9"/>
      <x:c r="F719" s="9"/>
      <x:c r="G719" s="9"/>
      <x:c r="H719" s="9"/>
      <x:c r="I719" s="13"/>
      <x:c r="J719" s="15"/>
      <x:c r="K719" s="15"/>
      <x:c r="L719" s="17" t="str">
        <x:f>IF(B719="","",IF(NOT(AND(ISNUMBER(J719),ISNUMBER(K719))),"",SUM(J719:K719)))</x:f>
      </x:c>
      <x:c r="M719" s="15"/>
      <x:c r="N719" s="17" t="str">
        <x:f>IF(OR(B719="",D719&lt;&gt;"pagada",NOT(ISNUMBER(J719)),NOT(ISNUMBER(M719))),"",J719-M719)</x:f>
      </x:c>
      <x:c r="O719" s="9"/>
      <x:c r="P719" s="9"/>
      <x:c r="Q719" s="1" t="str">
        <x:f>IF(B719="","",IF(COUNTIFS($B$7:$B$1006,B719,$C$7:$C$1006,C719)&gt;1,"ID duplicado",IF(OR(A719="",C719="",D719="",E719="",F719="",I719="",J719="",K719="",O719=""),"Completar datos",IF(NOT(ISNUMBER(M719)),"Falta costo histórico","Revisar soporte"))))</x:f>
      </x:c>
      <x:c r="R719" s="9" t="n">
        <x:f>IF(B719="",0,IF(AND(D719="pagada",NOT(ISNUMBER(M719))),1,0))</x:f>
        <x:v>0</x:v>
      </x:c>
    </x:row>
    <x:row r="720" ht="22" customHeight="1">
      <x:c r="A720" s="11"/>
      <x:c r="B720" s="9"/>
      <x:c r="C720" s="9"/>
      <x:c r="D720" s="9"/>
      <x:c r="E720" s="9"/>
      <x:c r="F720" s="9"/>
      <x:c r="G720" s="9"/>
      <x:c r="H720" s="9"/>
      <x:c r="I720" s="13"/>
      <x:c r="J720" s="15"/>
      <x:c r="K720" s="15"/>
      <x:c r="L720" s="17" t="str">
        <x:f>IF(B720="","",IF(NOT(AND(ISNUMBER(J720),ISNUMBER(K720))),"",SUM(J720:K720)))</x:f>
      </x:c>
      <x:c r="M720" s="15"/>
      <x:c r="N720" s="17" t="str">
        <x:f>IF(OR(B720="",D720&lt;&gt;"pagada",NOT(ISNUMBER(J720)),NOT(ISNUMBER(M720))),"",J720-M720)</x:f>
      </x:c>
      <x:c r="O720" s="9"/>
      <x:c r="P720" s="9"/>
      <x:c r="Q720" s="1" t="str">
        <x:f>IF(B720="","",IF(COUNTIFS($B$7:$B$1006,B720,$C$7:$C$1006,C720)&gt;1,"ID duplicado",IF(OR(A720="",C720="",D720="",E720="",F720="",I720="",J720="",K720="",O720=""),"Completar datos",IF(NOT(ISNUMBER(M720)),"Falta costo histórico","Revisar soporte"))))</x:f>
      </x:c>
      <x:c r="R720" s="9" t="n">
        <x:f>IF(B720="",0,IF(AND(D720="pagada",NOT(ISNUMBER(M720))),1,0))</x:f>
        <x:v>0</x:v>
      </x:c>
    </x:row>
    <x:row r="721" ht="22" customHeight="1">
      <x:c r="A721" s="11"/>
      <x:c r="B721" s="9"/>
      <x:c r="C721" s="9"/>
      <x:c r="D721" s="9"/>
      <x:c r="E721" s="9"/>
      <x:c r="F721" s="9"/>
      <x:c r="G721" s="9"/>
      <x:c r="H721" s="9"/>
      <x:c r="I721" s="13"/>
      <x:c r="J721" s="15"/>
      <x:c r="K721" s="15"/>
      <x:c r="L721" s="17" t="str">
        <x:f>IF(B721="","",IF(NOT(AND(ISNUMBER(J721),ISNUMBER(K721))),"",SUM(J721:K721)))</x:f>
      </x:c>
      <x:c r="M721" s="15"/>
      <x:c r="N721" s="17" t="str">
        <x:f>IF(OR(B721="",D721&lt;&gt;"pagada",NOT(ISNUMBER(J721)),NOT(ISNUMBER(M721))),"",J721-M721)</x:f>
      </x:c>
      <x:c r="O721" s="9"/>
      <x:c r="P721" s="9"/>
      <x:c r="Q721" s="1" t="str">
        <x:f>IF(B721="","",IF(COUNTIFS($B$7:$B$1006,B721,$C$7:$C$1006,C721)&gt;1,"ID duplicado",IF(OR(A721="",C721="",D721="",E721="",F721="",I721="",J721="",K721="",O721=""),"Completar datos",IF(NOT(ISNUMBER(M721)),"Falta costo histórico","Revisar soporte"))))</x:f>
      </x:c>
      <x:c r="R721" s="9" t="n">
        <x:f>IF(B721="",0,IF(AND(D721="pagada",NOT(ISNUMBER(M721))),1,0))</x:f>
        <x:v>0</x:v>
      </x:c>
    </x:row>
    <x:row r="722" ht="22" customHeight="1">
      <x:c r="A722" s="11"/>
      <x:c r="B722" s="9"/>
      <x:c r="C722" s="9"/>
      <x:c r="D722" s="9"/>
      <x:c r="E722" s="9"/>
      <x:c r="F722" s="9"/>
      <x:c r="G722" s="9"/>
      <x:c r="H722" s="9"/>
      <x:c r="I722" s="13"/>
      <x:c r="J722" s="15"/>
      <x:c r="K722" s="15"/>
      <x:c r="L722" s="17" t="str">
        <x:f>IF(B722="","",IF(NOT(AND(ISNUMBER(J722),ISNUMBER(K722))),"",SUM(J722:K722)))</x:f>
      </x:c>
      <x:c r="M722" s="15"/>
      <x:c r="N722" s="17" t="str">
        <x:f>IF(OR(B722="",D722&lt;&gt;"pagada",NOT(ISNUMBER(J722)),NOT(ISNUMBER(M722))),"",J722-M722)</x:f>
      </x:c>
      <x:c r="O722" s="9"/>
      <x:c r="P722" s="9"/>
      <x:c r="Q722" s="1" t="str">
        <x:f>IF(B722="","",IF(COUNTIFS($B$7:$B$1006,B722,$C$7:$C$1006,C722)&gt;1,"ID duplicado",IF(OR(A722="",C722="",D722="",E722="",F722="",I722="",J722="",K722="",O722=""),"Completar datos",IF(NOT(ISNUMBER(M722)),"Falta costo histórico","Revisar soporte"))))</x:f>
      </x:c>
      <x:c r="R722" s="9" t="n">
        <x:f>IF(B722="",0,IF(AND(D722="pagada",NOT(ISNUMBER(M722))),1,0))</x:f>
        <x:v>0</x:v>
      </x:c>
    </x:row>
    <x:row r="723" ht="22" customHeight="1">
      <x:c r="A723" s="11"/>
      <x:c r="B723" s="9"/>
      <x:c r="C723" s="9"/>
      <x:c r="D723" s="9"/>
      <x:c r="E723" s="9"/>
      <x:c r="F723" s="9"/>
      <x:c r="G723" s="9"/>
      <x:c r="H723" s="9"/>
      <x:c r="I723" s="13"/>
      <x:c r="J723" s="15"/>
      <x:c r="K723" s="15"/>
      <x:c r="L723" s="17" t="str">
        <x:f>IF(B723="","",IF(NOT(AND(ISNUMBER(J723),ISNUMBER(K723))),"",SUM(J723:K723)))</x:f>
      </x:c>
      <x:c r="M723" s="15"/>
      <x:c r="N723" s="17" t="str">
        <x:f>IF(OR(B723="",D723&lt;&gt;"pagada",NOT(ISNUMBER(J723)),NOT(ISNUMBER(M723))),"",J723-M723)</x:f>
      </x:c>
      <x:c r="O723" s="9"/>
      <x:c r="P723" s="9"/>
      <x:c r="Q723" s="1" t="str">
        <x:f>IF(B723="","",IF(COUNTIFS($B$7:$B$1006,B723,$C$7:$C$1006,C723)&gt;1,"ID duplicado",IF(OR(A723="",C723="",D723="",E723="",F723="",I723="",J723="",K723="",O723=""),"Completar datos",IF(NOT(ISNUMBER(M723)),"Falta costo histórico","Revisar soporte"))))</x:f>
      </x:c>
      <x:c r="R723" s="9" t="n">
        <x:f>IF(B723="",0,IF(AND(D723="pagada",NOT(ISNUMBER(M723))),1,0))</x:f>
        <x:v>0</x:v>
      </x:c>
    </x:row>
    <x:row r="724" ht="22" customHeight="1">
      <x:c r="A724" s="11"/>
      <x:c r="B724" s="9"/>
      <x:c r="C724" s="9"/>
      <x:c r="D724" s="9"/>
      <x:c r="E724" s="9"/>
      <x:c r="F724" s="9"/>
      <x:c r="G724" s="9"/>
      <x:c r="H724" s="9"/>
      <x:c r="I724" s="13"/>
      <x:c r="J724" s="15"/>
      <x:c r="K724" s="15"/>
      <x:c r="L724" s="17" t="str">
        <x:f>IF(B724="","",IF(NOT(AND(ISNUMBER(J724),ISNUMBER(K724))),"",SUM(J724:K724)))</x:f>
      </x:c>
      <x:c r="M724" s="15"/>
      <x:c r="N724" s="17" t="str">
        <x:f>IF(OR(B724="",D724&lt;&gt;"pagada",NOT(ISNUMBER(J724)),NOT(ISNUMBER(M724))),"",J724-M724)</x:f>
      </x:c>
      <x:c r="O724" s="9"/>
      <x:c r="P724" s="9"/>
      <x:c r="Q724" s="1" t="str">
        <x:f>IF(B724="","",IF(COUNTIFS($B$7:$B$1006,B724,$C$7:$C$1006,C724)&gt;1,"ID duplicado",IF(OR(A724="",C724="",D724="",E724="",F724="",I724="",J724="",K724="",O724=""),"Completar datos",IF(NOT(ISNUMBER(M724)),"Falta costo histórico","Revisar soporte"))))</x:f>
      </x:c>
      <x:c r="R724" s="9" t="n">
        <x:f>IF(B724="",0,IF(AND(D724="pagada",NOT(ISNUMBER(M724))),1,0))</x:f>
        <x:v>0</x:v>
      </x:c>
    </x:row>
    <x:row r="725" ht="22" customHeight="1">
      <x:c r="A725" s="11"/>
      <x:c r="B725" s="9"/>
      <x:c r="C725" s="9"/>
      <x:c r="D725" s="9"/>
      <x:c r="E725" s="9"/>
      <x:c r="F725" s="9"/>
      <x:c r="G725" s="9"/>
      <x:c r="H725" s="9"/>
      <x:c r="I725" s="13"/>
      <x:c r="J725" s="15"/>
      <x:c r="K725" s="15"/>
      <x:c r="L725" s="17" t="str">
        <x:f>IF(B725="","",IF(NOT(AND(ISNUMBER(J725),ISNUMBER(K725))),"",SUM(J725:K725)))</x:f>
      </x:c>
      <x:c r="M725" s="15"/>
      <x:c r="N725" s="17" t="str">
        <x:f>IF(OR(B725="",D725&lt;&gt;"pagada",NOT(ISNUMBER(J725)),NOT(ISNUMBER(M725))),"",J725-M725)</x:f>
      </x:c>
      <x:c r="O725" s="9"/>
      <x:c r="P725" s="9"/>
      <x:c r="Q725" s="1" t="str">
        <x:f>IF(B725="","",IF(COUNTIFS($B$7:$B$1006,B725,$C$7:$C$1006,C725)&gt;1,"ID duplicado",IF(OR(A725="",C725="",D725="",E725="",F725="",I725="",J725="",K725="",O725=""),"Completar datos",IF(NOT(ISNUMBER(M725)),"Falta costo histórico","Revisar soporte"))))</x:f>
      </x:c>
      <x:c r="R725" s="9" t="n">
        <x:f>IF(B725="",0,IF(AND(D725="pagada",NOT(ISNUMBER(M725))),1,0))</x:f>
        <x:v>0</x:v>
      </x:c>
    </x:row>
    <x:row r="726" ht="22" customHeight="1">
      <x:c r="A726" s="11"/>
      <x:c r="B726" s="9"/>
      <x:c r="C726" s="9"/>
      <x:c r="D726" s="9"/>
      <x:c r="E726" s="9"/>
      <x:c r="F726" s="9"/>
      <x:c r="G726" s="9"/>
      <x:c r="H726" s="9"/>
      <x:c r="I726" s="13"/>
      <x:c r="J726" s="15"/>
      <x:c r="K726" s="15"/>
      <x:c r="L726" s="17" t="str">
        <x:f>IF(B726="","",IF(NOT(AND(ISNUMBER(J726),ISNUMBER(K726))),"",SUM(J726:K726)))</x:f>
      </x:c>
      <x:c r="M726" s="15"/>
      <x:c r="N726" s="17" t="str">
        <x:f>IF(OR(B726="",D726&lt;&gt;"pagada",NOT(ISNUMBER(J726)),NOT(ISNUMBER(M726))),"",J726-M726)</x:f>
      </x:c>
      <x:c r="O726" s="9"/>
      <x:c r="P726" s="9"/>
      <x:c r="Q726" s="1" t="str">
        <x:f>IF(B726="","",IF(COUNTIFS($B$7:$B$1006,B726,$C$7:$C$1006,C726)&gt;1,"ID duplicado",IF(OR(A726="",C726="",D726="",E726="",F726="",I726="",J726="",K726="",O726=""),"Completar datos",IF(NOT(ISNUMBER(M726)),"Falta costo histórico","Revisar soporte"))))</x:f>
      </x:c>
      <x:c r="R726" s="9" t="n">
        <x:f>IF(B726="",0,IF(AND(D726="pagada",NOT(ISNUMBER(M726))),1,0))</x:f>
        <x:v>0</x:v>
      </x:c>
    </x:row>
    <x:row r="727" ht="22" customHeight="1">
      <x:c r="A727" s="11"/>
      <x:c r="B727" s="9"/>
      <x:c r="C727" s="9"/>
      <x:c r="D727" s="9"/>
      <x:c r="E727" s="9"/>
      <x:c r="F727" s="9"/>
      <x:c r="G727" s="9"/>
      <x:c r="H727" s="9"/>
      <x:c r="I727" s="13"/>
      <x:c r="J727" s="15"/>
      <x:c r="K727" s="15"/>
      <x:c r="L727" s="17" t="str">
        <x:f>IF(B727="","",IF(NOT(AND(ISNUMBER(J727),ISNUMBER(K727))),"",SUM(J727:K727)))</x:f>
      </x:c>
      <x:c r="M727" s="15"/>
      <x:c r="N727" s="17" t="str">
        <x:f>IF(OR(B727="",D727&lt;&gt;"pagada",NOT(ISNUMBER(J727)),NOT(ISNUMBER(M727))),"",J727-M727)</x:f>
      </x:c>
      <x:c r="O727" s="9"/>
      <x:c r="P727" s="9"/>
      <x:c r="Q727" s="1" t="str">
        <x:f>IF(B727="","",IF(COUNTIFS($B$7:$B$1006,B727,$C$7:$C$1006,C727)&gt;1,"ID duplicado",IF(OR(A727="",C727="",D727="",E727="",F727="",I727="",J727="",K727="",O727=""),"Completar datos",IF(NOT(ISNUMBER(M727)),"Falta costo histórico","Revisar soporte"))))</x:f>
      </x:c>
      <x:c r="R727" s="9" t="n">
        <x:f>IF(B727="",0,IF(AND(D727="pagada",NOT(ISNUMBER(M727))),1,0))</x:f>
        <x:v>0</x:v>
      </x:c>
    </x:row>
    <x:row r="728" ht="22" customHeight="1">
      <x:c r="A728" s="11"/>
      <x:c r="B728" s="9"/>
      <x:c r="C728" s="9"/>
      <x:c r="D728" s="9"/>
      <x:c r="E728" s="9"/>
      <x:c r="F728" s="9"/>
      <x:c r="G728" s="9"/>
      <x:c r="H728" s="9"/>
      <x:c r="I728" s="13"/>
      <x:c r="J728" s="15"/>
      <x:c r="K728" s="15"/>
      <x:c r="L728" s="17" t="str">
        <x:f>IF(B728="","",IF(NOT(AND(ISNUMBER(J728),ISNUMBER(K728))),"",SUM(J728:K728)))</x:f>
      </x:c>
      <x:c r="M728" s="15"/>
      <x:c r="N728" s="17" t="str">
        <x:f>IF(OR(B728="",D728&lt;&gt;"pagada",NOT(ISNUMBER(J728)),NOT(ISNUMBER(M728))),"",J728-M728)</x:f>
      </x:c>
      <x:c r="O728" s="9"/>
      <x:c r="P728" s="9"/>
      <x:c r="Q728" s="1" t="str">
        <x:f>IF(B728="","",IF(COUNTIFS($B$7:$B$1006,B728,$C$7:$C$1006,C728)&gt;1,"ID duplicado",IF(OR(A728="",C728="",D728="",E728="",F728="",I728="",J728="",K728="",O728=""),"Completar datos",IF(NOT(ISNUMBER(M728)),"Falta costo histórico","Revisar soporte"))))</x:f>
      </x:c>
      <x:c r="R728" s="9" t="n">
        <x:f>IF(B728="",0,IF(AND(D728="pagada",NOT(ISNUMBER(M728))),1,0))</x:f>
        <x:v>0</x:v>
      </x:c>
    </x:row>
    <x:row r="729" ht="22" customHeight="1">
      <x:c r="A729" s="11"/>
      <x:c r="B729" s="9"/>
      <x:c r="C729" s="9"/>
      <x:c r="D729" s="9"/>
      <x:c r="E729" s="9"/>
      <x:c r="F729" s="9"/>
      <x:c r="G729" s="9"/>
      <x:c r="H729" s="9"/>
      <x:c r="I729" s="13"/>
      <x:c r="J729" s="15"/>
      <x:c r="K729" s="15"/>
      <x:c r="L729" s="17" t="str">
        <x:f>IF(B729="","",IF(NOT(AND(ISNUMBER(J729),ISNUMBER(K729))),"",SUM(J729:K729)))</x:f>
      </x:c>
      <x:c r="M729" s="15"/>
      <x:c r="N729" s="17" t="str">
        <x:f>IF(OR(B729="",D729&lt;&gt;"pagada",NOT(ISNUMBER(J729)),NOT(ISNUMBER(M729))),"",J729-M729)</x:f>
      </x:c>
      <x:c r="O729" s="9"/>
      <x:c r="P729" s="9"/>
      <x:c r="Q729" s="1" t="str">
        <x:f>IF(B729="","",IF(COUNTIFS($B$7:$B$1006,B729,$C$7:$C$1006,C729)&gt;1,"ID duplicado",IF(OR(A729="",C729="",D729="",E729="",F729="",I729="",J729="",K729="",O729=""),"Completar datos",IF(NOT(ISNUMBER(M729)),"Falta costo histórico","Revisar soporte"))))</x:f>
      </x:c>
      <x:c r="R729" s="9" t="n">
        <x:f>IF(B729="",0,IF(AND(D729="pagada",NOT(ISNUMBER(M729))),1,0))</x:f>
        <x:v>0</x:v>
      </x:c>
    </x:row>
    <x:row r="730" ht="22" customHeight="1">
      <x:c r="A730" s="11"/>
      <x:c r="B730" s="9"/>
      <x:c r="C730" s="9"/>
      <x:c r="D730" s="9"/>
      <x:c r="E730" s="9"/>
      <x:c r="F730" s="9"/>
      <x:c r="G730" s="9"/>
      <x:c r="H730" s="9"/>
      <x:c r="I730" s="13"/>
      <x:c r="J730" s="15"/>
      <x:c r="K730" s="15"/>
      <x:c r="L730" s="17" t="str">
        <x:f>IF(B730="","",IF(NOT(AND(ISNUMBER(J730),ISNUMBER(K730))),"",SUM(J730:K730)))</x:f>
      </x:c>
      <x:c r="M730" s="15"/>
      <x:c r="N730" s="17" t="str">
        <x:f>IF(OR(B730="",D730&lt;&gt;"pagada",NOT(ISNUMBER(J730)),NOT(ISNUMBER(M730))),"",J730-M730)</x:f>
      </x:c>
      <x:c r="O730" s="9"/>
      <x:c r="P730" s="9"/>
      <x:c r="Q730" s="1" t="str">
        <x:f>IF(B730="","",IF(COUNTIFS($B$7:$B$1006,B730,$C$7:$C$1006,C730)&gt;1,"ID duplicado",IF(OR(A730="",C730="",D730="",E730="",F730="",I730="",J730="",K730="",O730=""),"Completar datos",IF(NOT(ISNUMBER(M730)),"Falta costo histórico","Revisar soporte"))))</x:f>
      </x:c>
      <x:c r="R730" s="9" t="n">
        <x:f>IF(B730="",0,IF(AND(D730="pagada",NOT(ISNUMBER(M730))),1,0))</x:f>
        <x:v>0</x:v>
      </x:c>
    </x:row>
    <x:row r="731" ht="22" customHeight="1">
      <x:c r="A731" s="11"/>
      <x:c r="B731" s="9"/>
      <x:c r="C731" s="9"/>
      <x:c r="D731" s="9"/>
      <x:c r="E731" s="9"/>
      <x:c r="F731" s="9"/>
      <x:c r="G731" s="9"/>
      <x:c r="H731" s="9"/>
      <x:c r="I731" s="13"/>
      <x:c r="J731" s="15"/>
      <x:c r="K731" s="15"/>
      <x:c r="L731" s="17" t="str">
        <x:f>IF(B731="","",IF(NOT(AND(ISNUMBER(J731),ISNUMBER(K731))),"",SUM(J731:K731)))</x:f>
      </x:c>
      <x:c r="M731" s="15"/>
      <x:c r="N731" s="17" t="str">
        <x:f>IF(OR(B731="",D731&lt;&gt;"pagada",NOT(ISNUMBER(J731)),NOT(ISNUMBER(M731))),"",J731-M731)</x:f>
      </x:c>
      <x:c r="O731" s="9"/>
      <x:c r="P731" s="9"/>
      <x:c r="Q731" s="1" t="str">
        <x:f>IF(B731="","",IF(COUNTIFS($B$7:$B$1006,B731,$C$7:$C$1006,C731)&gt;1,"ID duplicado",IF(OR(A731="",C731="",D731="",E731="",F731="",I731="",J731="",K731="",O731=""),"Completar datos",IF(NOT(ISNUMBER(M731)),"Falta costo histórico","Revisar soporte"))))</x:f>
      </x:c>
      <x:c r="R731" s="9" t="n">
        <x:f>IF(B731="",0,IF(AND(D731="pagada",NOT(ISNUMBER(M731))),1,0))</x:f>
        <x:v>0</x:v>
      </x:c>
    </x:row>
    <x:row r="732" ht="22" customHeight="1">
      <x:c r="A732" s="11"/>
      <x:c r="B732" s="9"/>
      <x:c r="C732" s="9"/>
      <x:c r="D732" s="9"/>
      <x:c r="E732" s="9"/>
      <x:c r="F732" s="9"/>
      <x:c r="G732" s="9"/>
      <x:c r="H732" s="9"/>
      <x:c r="I732" s="13"/>
      <x:c r="J732" s="15"/>
      <x:c r="K732" s="15"/>
      <x:c r="L732" s="17" t="str">
        <x:f>IF(B732="","",IF(NOT(AND(ISNUMBER(J732),ISNUMBER(K732))),"",SUM(J732:K732)))</x:f>
      </x:c>
      <x:c r="M732" s="15"/>
      <x:c r="N732" s="17" t="str">
        <x:f>IF(OR(B732="",D732&lt;&gt;"pagada",NOT(ISNUMBER(J732)),NOT(ISNUMBER(M732))),"",J732-M732)</x:f>
      </x:c>
      <x:c r="O732" s="9"/>
      <x:c r="P732" s="9"/>
      <x:c r="Q732" s="1" t="str">
        <x:f>IF(B732="","",IF(COUNTIFS($B$7:$B$1006,B732,$C$7:$C$1006,C732)&gt;1,"ID duplicado",IF(OR(A732="",C732="",D732="",E732="",F732="",I732="",J732="",K732="",O732=""),"Completar datos",IF(NOT(ISNUMBER(M732)),"Falta costo histórico","Revisar soporte"))))</x:f>
      </x:c>
      <x:c r="R732" s="9" t="n">
        <x:f>IF(B732="",0,IF(AND(D732="pagada",NOT(ISNUMBER(M732))),1,0))</x:f>
        <x:v>0</x:v>
      </x:c>
    </x:row>
    <x:row r="733" ht="22" customHeight="1">
      <x:c r="A733" s="11"/>
      <x:c r="B733" s="9"/>
      <x:c r="C733" s="9"/>
      <x:c r="D733" s="9"/>
      <x:c r="E733" s="9"/>
      <x:c r="F733" s="9"/>
      <x:c r="G733" s="9"/>
      <x:c r="H733" s="9"/>
      <x:c r="I733" s="13"/>
      <x:c r="J733" s="15"/>
      <x:c r="K733" s="15"/>
      <x:c r="L733" s="17" t="str">
        <x:f>IF(B733="","",IF(NOT(AND(ISNUMBER(J733),ISNUMBER(K733))),"",SUM(J733:K733)))</x:f>
      </x:c>
      <x:c r="M733" s="15"/>
      <x:c r="N733" s="17" t="str">
        <x:f>IF(OR(B733="",D733&lt;&gt;"pagada",NOT(ISNUMBER(J733)),NOT(ISNUMBER(M733))),"",J733-M733)</x:f>
      </x:c>
      <x:c r="O733" s="9"/>
      <x:c r="P733" s="9"/>
      <x:c r="Q733" s="1" t="str">
        <x:f>IF(B733="","",IF(COUNTIFS($B$7:$B$1006,B733,$C$7:$C$1006,C733)&gt;1,"ID duplicado",IF(OR(A733="",C733="",D733="",E733="",F733="",I733="",J733="",K733="",O733=""),"Completar datos",IF(NOT(ISNUMBER(M733)),"Falta costo histórico","Revisar soporte"))))</x:f>
      </x:c>
      <x:c r="R733" s="9" t="n">
        <x:f>IF(B733="",0,IF(AND(D733="pagada",NOT(ISNUMBER(M733))),1,0))</x:f>
        <x:v>0</x:v>
      </x:c>
    </x:row>
    <x:row r="734" ht="22" customHeight="1">
      <x:c r="A734" s="11"/>
      <x:c r="B734" s="9"/>
      <x:c r="C734" s="9"/>
      <x:c r="D734" s="9"/>
      <x:c r="E734" s="9"/>
      <x:c r="F734" s="9"/>
      <x:c r="G734" s="9"/>
      <x:c r="H734" s="9"/>
      <x:c r="I734" s="13"/>
      <x:c r="J734" s="15"/>
      <x:c r="K734" s="15"/>
      <x:c r="L734" s="17" t="str">
        <x:f>IF(B734="","",IF(NOT(AND(ISNUMBER(J734),ISNUMBER(K734))),"",SUM(J734:K734)))</x:f>
      </x:c>
      <x:c r="M734" s="15"/>
      <x:c r="N734" s="17" t="str">
        <x:f>IF(OR(B734="",D734&lt;&gt;"pagada",NOT(ISNUMBER(J734)),NOT(ISNUMBER(M734))),"",J734-M734)</x:f>
      </x:c>
      <x:c r="O734" s="9"/>
      <x:c r="P734" s="9"/>
      <x:c r="Q734" s="1" t="str">
        <x:f>IF(B734="","",IF(COUNTIFS($B$7:$B$1006,B734,$C$7:$C$1006,C734)&gt;1,"ID duplicado",IF(OR(A734="",C734="",D734="",E734="",F734="",I734="",J734="",K734="",O734=""),"Completar datos",IF(NOT(ISNUMBER(M734)),"Falta costo histórico","Revisar soporte"))))</x:f>
      </x:c>
      <x:c r="R734" s="9" t="n">
        <x:f>IF(B734="",0,IF(AND(D734="pagada",NOT(ISNUMBER(M734))),1,0))</x:f>
        <x:v>0</x:v>
      </x:c>
    </x:row>
    <x:row r="735" ht="22" customHeight="1">
      <x:c r="A735" s="11"/>
      <x:c r="B735" s="9"/>
      <x:c r="C735" s="9"/>
      <x:c r="D735" s="9"/>
      <x:c r="E735" s="9"/>
      <x:c r="F735" s="9"/>
      <x:c r="G735" s="9"/>
      <x:c r="H735" s="9"/>
      <x:c r="I735" s="13"/>
      <x:c r="J735" s="15"/>
      <x:c r="K735" s="15"/>
      <x:c r="L735" s="17" t="str">
        <x:f>IF(B735="","",IF(NOT(AND(ISNUMBER(J735),ISNUMBER(K735))),"",SUM(J735:K735)))</x:f>
      </x:c>
      <x:c r="M735" s="15"/>
      <x:c r="N735" s="17" t="str">
        <x:f>IF(OR(B735="",D735&lt;&gt;"pagada",NOT(ISNUMBER(J735)),NOT(ISNUMBER(M735))),"",J735-M735)</x:f>
      </x:c>
      <x:c r="O735" s="9"/>
      <x:c r="P735" s="9"/>
      <x:c r="Q735" s="1" t="str">
        <x:f>IF(B735="","",IF(COUNTIFS($B$7:$B$1006,B735,$C$7:$C$1006,C735)&gt;1,"ID duplicado",IF(OR(A735="",C735="",D735="",E735="",F735="",I735="",J735="",K735="",O735=""),"Completar datos",IF(NOT(ISNUMBER(M735)),"Falta costo histórico","Revisar soporte"))))</x:f>
      </x:c>
      <x:c r="R735" s="9" t="n">
        <x:f>IF(B735="",0,IF(AND(D735="pagada",NOT(ISNUMBER(M735))),1,0))</x:f>
        <x:v>0</x:v>
      </x:c>
    </x:row>
    <x:row r="736" ht="22" customHeight="1">
      <x:c r="A736" s="11"/>
      <x:c r="B736" s="9"/>
      <x:c r="C736" s="9"/>
      <x:c r="D736" s="9"/>
      <x:c r="E736" s="9"/>
      <x:c r="F736" s="9"/>
      <x:c r="G736" s="9"/>
      <x:c r="H736" s="9"/>
      <x:c r="I736" s="13"/>
      <x:c r="J736" s="15"/>
      <x:c r="K736" s="15"/>
      <x:c r="L736" s="17" t="str">
        <x:f>IF(B736="","",IF(NOT(AND(ISNUMBER(J736),ISNUMBER(K736))),"",SUM(J736:K736)))</x:f>
      </x:c>
      <x:c r="M736" s="15"/>
      <x:c r="N736" s="17" t="str">
        <x:f>IF(OR(B736="",D736&lt;&gt;"pagada",NOT(ISNUMBER(J736)),NOT(ISNUMBER(M736))),"",J736-M736)</x:f>
      </x:c>
      <x:c r="O736" s="9"/>
      <x:c r="P736" s="9"/>
      <x:c r="Q736" s="1" t="str">
        <x:f>IF(B736="","",IF(COUNTIFS($B$7:$B$1006,B736,$C$7:$C$1006,C736)&gt;1,"ID duplicado",IF(OR(A736="",C736="",D736="",E736="",F736="",I736="",J736="",K736="",O736=""),"Completar datos",IF(NOT(ISNUMBER(M736)),"Falta costo histórico","Revisar soporte"))))</x:f>
      </x:c>
      <x:c r="R736" s="9" t="n">
        <x:f>IF(B736="",0,IF(AND(D736="pagada",NOT(ISNUMBER(M736))),1,0))</x:f>
        <x:v>0</x:v>
      </x:c>
    </x:row>
    <x:row r="737" ht="22" customHeight="1">
      <x:c r="A737" s="11"/>
      <x:c r="B737" s="9"/>
      <x:c r="C737" s="9"/>
      <x:c r="D737" s="9"/>
      <x:c r="E737" s="9"/>
      <x:c r="F737" s="9"/>
      <x:c r="G737" s="9"/>
      <x:c r="H737" s="9"/>
      <x:c r="I737" s="13"/>
      <x:c r="J737" s="15"/>
      <x:c r="K737" s="15"/>
      <x:c r="L737" s="17" t="str">
        <x:f>IF(B737="","",IF(NOT(AND(ISNUMBER(J737),ISNUMBER(K737))),"",SUM(J737:K737)))</x:f>
      </x:c>
      <x:c r="M737" s="15"/>
      <x:c r="N737" s="17" t="str">
        <x:f>IF(OR(B737="",D737&lt;&gt;"pagada",NOT(ISNUMBER(J737)),NOT(ISNUMBER(M737))),"",J737-M737)</x:f>
      </x:c>
      <x:c r="O737" s="9"/>
      <x:c r="P737" s="9"/>
      <x:c r="Q737" s="1" t="str">
        <x:f>IF(B737="","",IF(COUNTIFS($B$7:$B$1006,B737,$C$7:$C$1006,C737)&gt;1,"ID duplicado",IF(OR(A737="",C737="",D737="",E737="",F737="",I737="",J737="",K737="",O737=""),"Completar datos",IF(NOT(ISNUMBER(M737)),"Falta costo histórico","Revisar soporte"))))</x:f>
      </x:c>
      <x:c r="R737" s="9" t="n">
        <x:f>IF(B737="",0,IF(AND(D737="pagada",NOT(ISNUMBER(M737))),1,0))</x:f>
        <x:v>0</x:v>
      </x:c>
    </x:row>
    <x:row r="738" ht="22" customHeight="1">
      <x:c r="A738" s="11"/>
      <x:c r="B738" s="9"/>
      <x:c r="C738" s="9"/>
      <x:c r="D738" s="9"/>
      <x:c r="E738" s="9"/>
      <x:c r="F738" s="9"/>
      <x:c r="G738" s="9"/>
      <x:c r="H738" s="9"/>
      <x:c r="I738" s="13"/>
      <x:c r="J738" s="15"/>
      <x:c r="K738" s="15"/>
      <x:c r="L738" s="17" t="str">
        <x:f>IF(B738="","",IF(NOT(AND(ISNUMBER(J738),ISNUMBER(K738))),"",SUM(J738:K738)))</x:f>
      </x:c>
      <x:c r="M738" s="15"/>
      <x:c r="N738" s="17" t="str">
        <x:f>IF(OR(B738="",D738&lt;&gt;"pagada",NOT(ISNUMBER(J738)),NOT(ISNUMBER(M738))),"",J738-M738)</x:f>
      </x:c>
      <x:c r="O738" s="9"/>
      <x:c r="P738" s="9"/>
      <x:c r="Q738" s="1" t="str">
        <x:f>IF(B738="","",IF(COUNTIFS($B$7:$B$1006,B738,$C$7:$C$1006,C738)&gt;1,"ID duplicado",IF(OR(A738="",C738="",D738="",E738="",F738="",I738="",J738="",K738="",O738=""),"Completar datos",IF(NOT(ISNUMBER(M738)),"Falta costo histórico","Revisar soporte"))))</x:f>
      </x:c>
      <x:c r="R738" s="9" t="n">
        <x:f>IF(B738="",0,IF(AND(D738="pagada",NOT(ISNUMBER(M738))),1,0))</x:f>
        <x:v>0</x:v>
      </x:c>
    </x:row>
    <x:row r="739" ht="22" customHeight="1">
      <x:c r="A739" s="11"/>
      <x:c r="B739" s="9"/>
      <x:c r="C739" s="9"/>
      <x:c r="D739" s="9"/>
      <x:c r="E739" s="9"/>
      <x:c r="F739" s="9"/>
      <x:c r="G739" s="9"/>
      <x:c r="H739" s="9"/>
      <x:c r="I739" s="13"/>
      <x:c r="J739" s="15"/>
      <x:c r="K739" s="15"/>
      <x:c r="L739" s="17" t="str">
        <x:f>IF(B739="","",IF(NOT(AND(ISNUMBER(J739),ISNUMBER(K739))),"",SUM(J739:K739)))</x:f>
      </x:c>
      <x:c r="M739" s="15"/>
      <x:c r="N739" s="17" t="str">
        <x:f>IF(OR(B739="",D739&lt;&gt;"pagada",NOT(ISNUMBER(J739)),NOT(ISNUMBER(M739))),"",J739-M739)</x:f>
      </x:c>
      <x:c r="O739" s="9"/>
      <x:c r="P739" s="9"/>
      <x:c r="Q739" s="1" t="str">
        <x:f>IF(B739="","",IF(COUNTIFS($B$7:$B$1006,B739,$C$7:$C$1006,C739)&gt;1,"ID duplicado",IF(OR(A739="",C739="",D739="",E739="",F739="",I739="",J739="",K739="",O739=""),"Completar datos",IF(NOT(ISNUMBER(M739)),"Falta costo histórico","Revisar soporte"))))</x:f>
      </x:c>
      <x:c r="R739" s="9" t="n">
        <x:f>IF(B739="",0,IF(AND(D739="pagada",NOT(ISNUMBER(M739))),1,0))</x:f>
        <x:v>0</x:v>
      </x:c>
    </x:row>
    <x:row r="740" ht="22" customHeight="1">
      <x:c r="A740" s="11"/>
      <x:c r="B740" s="9"/>
      <x:c r="C740" s="9"/>
      <x:c r="D740" s="9"/>
      <x:c r="E740" s="9"/>
      <x:c r="F740" s="9"/>
      <x:c r="G740" s="9"/>
      <x:c r="H740" s="9"/>
      <x:c r="I740" s="13"/>
      <x:c r="J740" s="15"/>
      <x:c r="K740" s="15"/>
      <x:c r="L740" s="17" t="str">
        <x:f>IF(B740="","",IF(NOT(AND(ISNUMBER(J740),ISNUMBER(K740))),"",SUM(J740:K740)))</x:f>
      </x:c>
      <x:c r="M740" s="15"/>
      <x:c r="N740" s="17" t="str">
        <x:f>IF(OR(B740="",D740&lt;&gt;"pagada",NOT(ISNUMBER(J740)),NOT(ISNUMBER(M740))),"",J740-M740)</x:f>
      </x:c>
      <x:c r="O740" s="9"/>
      <x:c r="P740" s="9"/>
      <x:c r="Q740" s="1" t="str">
        <x:f>IF(B740="","",IF(COUNTIFS($B$7:$B$1006,B740,$C$7:$C$1006,C740)&gt;1,"ID duplicado",IF(OR(A740="",C740="",D740="",E740="",F740="",I740="",J740="",K740="",O740=""),"Completar datos",IF(NOT(ISNUMBER(M740)),"Falta costo histórico","Revisar soporte"))))</x:f>
      </x:c>
      <x:c r="R740" s="9" t="n">
        <x:f>IF(B740="",0,IF(AND(D740="pagada",NOT(ISNUMBER(M740))),1,0))</x:f>
        <x:v>0</x:v>
      </x:c>
    </x:row>
    <x:row r="741" ht="22" customHeight="1">
      <x:c r="A741" s="11"/>
      <x:c r="B741" s="9"/>
      <x:c r="C741" s="9"/>
      <x:c r="D741" s="9"/>
      <x:c r="E741" s="9"/>
      <x:c r="F741" s="9"/>
      <x:c r="G741" s="9"/>
      <x:c r="H741" s="9"/>
      <x:c r="I741" s="13"/>
      <x:c r="J741" s="15"/>
      <x:c r="K741" s="15"/>
      <x:c r="L741" s="17" t="str">
        <x:f>IF(B741="","",IF(NOT(AND(ISNUMBER(J741),ISNUMBER(K741))),"",SUM(J741:K741)))</x:f>
      </x:c>
      <x:c r="M741" s="15"/>
      <x:c r="N741" s="17" t="str">
        <x:f>IF(OR(B741="",D741&lt;&gt;"pagada",NOT(ISNUMBER(J741)),NOT(ISNUMBER(M741))),"",J741-M741)</x:f>
      </x:c>
      <x:c r="O741" s="9"/>
      <x:c r="P741" s="9"/>
      <x:c r="Q741" s="1" t="str">
        <x:f>IF(B741="","",IF(COUNTIFS($B$7:$B$1006,B741,$C$7:$C$1006,C741)&gt;1,"ID duplicado",IF(OR(A741="",C741="",D741="",E741="",F741="",I741="",J741="",K741="",O741=""),"Completar datos",IF(NOT(ISNUMBER(M741)),"Falta costo histórico","Revisar soporte"))))</x:f>
      </x:c>
      <x:c r="R741" s="9" t="n">
        <x:f>IF(B741="",0,IF(AND(D741="pagada",NOT(ISNUMBER(M741))),1,0))</x:f>
        <x:v>0</x:v>
      </x:c>
    </x:row>
    <x:row r="742" ht="22" customHeight="1">
      <x:c r="A742" s="11"/>
      <x:c r="B742" s="9"/>
      <x:c r="C742" s="9"/>
      <x:c r="D742" s="9"/>
      <x:c r="E742" s="9"/>
      <x:c r="F742" s="9"/>
      <x:c r="G742" s="9"/>
      <x:c r="H742" s="9"/>
      <x:c r="I742" s="13"/>
      <x:c r="J742" s="15"/>
      <x:c r="K742" s="15"/>
      <x:c r="L742" s="17" t="str">
        <x:f>IF(B742="","",IF(NOT(AND(ISNUMBER(J742),ISNUMBER(K742))),"",SUM(J742:K742)))</x:f>
      </x:c>
      <x:c r="M742" s="15"/>
      <x:c r="N742" s="17" t="str">
        <x:f>IF(OR(B742="",D742&lt;&gt;"pagada",NOT(ISNUMBER(J742)),NOT(ISNUMBER(M742))),"",J742-M742)</x:f>
      </x:c>
      <x:c r="O742" s="9"/>
      <x:c r="P742" s="9"/>
      <x:c r="Q742" s="1" t="str">
        <x:f>IF(B742="","",IF(COUNTIFS($B$7:$B$1006,B742,$C$7:$C$1006,C742)&gt;1,"ID duplicado",IF(OR(A742="",C742="",D742="",E742="",F742="",I742="",J742="",K742="",O742=""),"Completar datos",IF(NOT(ISNUMBER(M742)),"Falta costo histórico","Revisar soporte"))))</x:f>
      </x:c>
      <x:c r="R742" s="9" t="n">
        <x:f>IF(B742="",0,IF(AND(D742="pagada",NOT(ISNUMBER(M742))),1,0))</x:f>
        <x:v>0</x:v>
      </x:c>
    </x:row>
    <x:row r="743" ht="22" customHeight="1">
      <x:c r="A743" s="11"/>
      <x:c r="B743" s="9"/>
      <x:c r="C743" s="9"/>
      <x:c r="D743" s="9"/>
      <x:c r="E743" s="9"/>
      <x:c r="F743" s="9"/>
      <x:c r="G743" s="9"/>
      <x:c r="H743" s="9"/>
      <x:c r="I743" s="13"/>
      <x:c r="J743" s="15"/>
      <x:c r="K743" s="15"/>
      <x:c r="L743" s="17" t="str">
        <x:f>IF(B743="","",IF(NOT(AND(ISNUMBER(J743),ISNUMBER(K743))),"",SUM(J743:K743)))</x:f>
      </x:c>
      <x:c r="M743" s="15"/>
      <x:c r="N743" s="17" t="str">
        <x:f>IF(OR(B743="",D743&lt;&gt;"pagada",NOT(ISNUMBER(J743)),NOT(ISNUMBER(M743))),"",J743-M743)</x:f>
      </x:c>
      <x:c r="O743" s="9"/>
      <x:c r="P743" s="9"/>
      <x:c r="Q743" s="1" t="str">
        <x:f>IF(B743="","",IF(COUNTIFS($B$7:$B$1006,B743,$C$7:$C$1006,C743)&gt;1,"ID duplicado",IF(OR(A743="",C743="",D743="",E743="",F743="",I743="",J743="",K743="",O743=""),"Completar datos",IF(NOT(ISNUMBER(M743)),"Falta costo histórico","Revisar soporte"))))</x:f>
      </x:c>
      <x:c r="R743" s="9" t="n">
        <x:f>IF(B743="",0,IF(AND(D743="pagada",NOT(ISNUMBER(M743))),1,0))</x:f>
        <x:v>0</x:v>
      </x:c>
    </x:row>
    <x:row r="744" ht="22" customHeight="1">
      <x:c r="A744" s="11"/>
      <x:c r="B744" s="9"/>
      <x:c r="C744" s="9"/>
      <x:c r="D744" s="9"/>
      <x:c r="E744" s="9"/>
      <x:c r="F744" s="9"/>
      <x:c r="G744" s="9"/>
      <x:c r="H744" s="9"/>
      <x:c r="I744" s="13"/>
      <x:c r="J744" s="15"/>
      <x:c r="K744" s="15"/>
      <x:c r="L744" s="17" t="str">
        <x:f>IF(B744="","",IF(NOT(AND(ISNUMBER(J744),ISNUMBER(K744))),"",SUM(J744:K744)))</x:f>
      </x:c>
      <x:c r="M744" s="15"/>
      <x:c r="N744" s="17" t="str">
        <x:f>IF(OR(B744="",D744&lt;&gt;"pagada",NOT(ISNUMBER(J744)),NOT(ISNUMBER(M744))),"",J744-M744)</x:f>
      </x:c>
      <x:c r="O744" s="9"/>
      <x:c r="P744" s="9"/>
      <x:c r="Q744" s="1" t="str">
        <x:f>IF(B744="","",IF(COUNTIFS($B$7:$B$1006,B744,$C$7:$C$1006,C744)&gt;1,"ID duplicado",IF(OR(A744="",C744="",D744="",E744="",F744="",I744="",J744="",K744="",O744=""),"Completar datos",IF(NOT(ISNUMBER(M744)),"Falta costo histórico","Revisar soporte"))))</x:f>
      </x:c>
      <x:c r="R744" s="9" t="n">
        <x:f>IF(B744="",0,IF(AND(D744="pagada",NOT(ISNUMBER(M744))),1,0))</x:f>
        <x:v>0</x:v>
      </x:c>
    </x:row>
    <x:row r="745" ht="22" customHeight="1">
      <x:c r="A745" s="11"/>
      <x:c r="B745" s="9"/>
      <x:c r="C745" s="9"/>
      <x:c r="D745" s="9"/>
      <x:c r="E745" s="9"/>
      <x:c r="F745" s="9"/>
      <x:c r="G745" s="9"/>
      <x:c r="H745" s="9"/>
      <x:c r="I745" s="13"/>
      <x:c r="J745" s="15"/>
      <x:c r="K745" s="15"/>
      <x:c r="L745" s="17" t="str">
        <x:f>IF(B745="","",IF(NOT(AND(ISNUMBER(J745),ISNUMBER(K745))),"",SUM(J745:K745)))</x:f>
      </x:c>
      <x:c r="M745" s="15"/>
      <x:c r="N745" s="17" t="str">
        <x:f>IF(OR(B745="",D745&lt;&gt;"pagada",NOT(ISNUMBER(J745)),NOT(ISNUMBER(M745))),"",J745-M745)</x:f>
      </x:c>
      <x:c r="O745" s="9"/>
      <x:c r="P745" s="9"/>
      <x:c r="Q745" s="1" t="str">
        <x:f>IF(B745="","",IF(COUNTIFS($B$7:$B$1006,B745,$C$7:$C$1006,C745)&gt;1,"ID duplicado",IF(OR(A745="",C745="",D745="",E745="",F745="",I745="",J745="",K745="",O745=""),"Completar datos",IF(NOT(ISNUMBER(M745)),"Falta costo histórico","Revisar soporte"))))</x:f>
      </x:c>
      <x:c r="R745" s="9" t="n">
        <x:f>IF(B745="",0,IF(AND(D745="pagada",NOT(ISNUMBER(M745))),1,0))</x:f>
        <x:v>0</x:v>
      </x:c>
    </x:row>
    <x:row r="746" ht="22" customHeight="1">
      <x:c r="A746" s="11"/>
      <x:c r="B746" s="9"/>
      <x:c r="C746" s="9"/>
      <x:c r="D746" s="9"/>
      <x:c r="E746" s="9"/>
      <x:c r="F746" s="9"/>
      <x:c r="G746" s="9"/>
      <x:c r="H746" s="9"/>
      <x:c r="I746" s="13"/>
      <x:c r="J746" s="15"/>
      <x:c r="K746" s="15"/>
      <x:c r="L746" s="17" t="str">
        <x:f>IF(B746="","",IF(NOT(AND(ISNUMBER(J746),ISNUMBER(K746))),"",SUM(J746:K746)))</x:f>
      </x:c>
      <x:c r="M746" s="15"/>
      <x:c r="N746" s="17" t="str">
        <x:f>IF(OR(B746="",D746&lt;&gt;"pagada",NOT(ISNUMBER(J746)),NOT(ISNUMBER(M746))),"",J746-M746)</x:f>
      </x:c>
      <x:c r="O746" s="9"/>
      <x:c r="P746" s="9"/>
      <x:c r="Q746" s="1" t="str">
        <x:f>IF(B746="","",IF(COUNTIFS($B$7:$B$1006,B746,$C$7:$C$1006,C746)&gt;1,"ID duplicado",IF(OR(A746="",C746="",D746="",E746="",F746="",I746="",J746="",K746="",O746=""),"Completar datos",IF(NOT(ISNUMBER(M746)),"Falta costo histórico","Revisar soporte"))))</x:f>
      </x:c>
      <x:c r="R746" s="9" t="n">
        <x:f>IF(B746="",0,IF(AND(D746="pagada",NOT(ISNUMBER(M746))),1,0))</x:f>
        <x:v>0</x:v>
      </x:c>
    </x:row>
    <x:row r="747" ht="22" customHeight="1">
      <x:c r="A747" s="11"/>
      <x:c r="B747" s="9"/>
      <x:c r="C747" s="9"/>
      <x:c r="D747" s="9"/>
      <x:c r="E747" s="9"/>
      <x:c r="F747" s="9"/>
      <x:c r="G747" s="9"/>
      <x:c r="H747" s="9"/>
      <x:c r="I747" s="13"/>
      <x:c r="J747" s="15"/>
      <x:c r="K747" s="15"/>
      <x:c r="L747" s="17" t="str">
        <x:f>IF(B747="","",IF(NOT(AND(ISNUMBER(J747),ISNUMBER(K747))),"",SUM(J747:K747)))</x:f>
      </x:c>
      <x:c r="M747" s="15"/>
      <x:c r="N747" s="17" t="str">
        <x:f>IF(OR(B747="",D747&lt;&gt;"pagada",NOT(ISNUMBER(J747)),NOT(ISNUMBER(M747))),"",J747-M747)</x:f>
      </x:c>
      <x:c r="O747" s="9"/>
      <x:c r="P747" s="9"/>
      <x:c r="Q747" s="1" t="str">
        <x:f>IF(B747="","",IF(COUNTIFS($B$7:$B$1006,B747,$C$7:$C$1006,C747)&gt;1,"ID duplicado",IF(OR(A747="",C747="",D747="",E747="",F747="",I747="",J747="",K747="",O747=""),"Completar datos",IF(NOT(ISNUMBER(M747)),"Falta costo histórico","Revisar soporte"))))</x:f>
      </x:c>
      <x:c r="R747" s="9" t="n">
        <x:f>IF(B747="",0,IF(AND(D747="pagada",NOT(ISNUMBER(M747))),1,0))</x:f>
        <x:v>0</x:v>
      </x:c>
    </x:row>
    <x:row r="748" ht="22" customHeight="1">
      <x:c r="A748" s="11"/>
      <x:c r="B748" s="9"/>
      <x:c r="C748" s="9"/>
      <x:c r="D748" s="9"/>
      <x:c r="E748" s="9"/>
      <x:c r="F748" s="9"/>
      <x:c r="G748" s="9"/>
      <x:c r="H748" s="9"/>
      <x:c r="I748" s="13"/>
      <x:c r="J748" s="15"/>
      <x:c r="K748" s="15"/>
      <x:c r="L748" s="17" t="str">
        <x:f>IF(B748="","",IF(NOT(AND(ISNUMBER(J748),ISNUMBER(K748))),"",SUM(J748:K748)))</x:f>
      </x:c>
      <x:c r="M748" s="15"/>
      <x:c r="N748" s="17" t="str">
        <x:f>IF(OR(B748="",D748&lt;&gt;"pagada",NOT(ISNUMBER(J748)),NOT(ISNUMBER(M748))),"",J748-M748)</x:f>
      </x:c>
      <x:c r="O748" s="9"/>
      <x:c r="P748" s="9"/>
      <x:c r="Q748" s="1" t="str">
        <x:f>IF(B748="","",IF(COUNTIFS($B$7:$B$1006,B748,$C$7:$C$1006,C748)&gt;1,"ID duplicado",IF(OR(A748="",C748="",D748="",E748="",F748="",I748="",J748="",K748="",O748=""),"Completar datos",IF(NOT(ISNUMBER(M748)),"Falta costo histórico","Revisar soporte"))))</x:f>
      </x:c>
      <x:c r="R748" s="9" t="n">
        <x:f>IF(B748="",0,IF(AND(D748="pagada",NOT(ISNUMBER(M748))),1,0))</x:f>
        <x:v>0</x:v>
      </x:c>
    </x:row>
    <x:row r="749" ht="22" customHeight="1">
      <x:c r="A749" s="11"/>
      <x:c r="B749" s="9"/>
      <x:c r="C749" s="9"/>
      <x:c r="D749" s="9"/>
      <x:c r="E749" s="9"/>
      <x:c r="F749" s="9"/>
      <x:c r="G749" s="9"/>
      <x:c r="H749" s="9"/>
      <x:c r="I749" s="13"/>
      <x:c r="J749" s="15"/>
      <x:c r="K749" s="15"/>
      <x:c r="L749" s="17" t="str">
        <x:f>IF(B749="","",IF(NOT(AND(ISNUMBER(J749),ISNUMBER(K749))),"",SUM(J749:K749)))</x:f>
      </x:c>
      <x:c r="M749" s="15"/>
      <x:c r="N749" s="17" t="str">
        <x:f>IF(OR(B749="",D749&lt;&gt;"pagada",NOT(ISNUMBER(J749)),NOT(ISNUMBER(M749))),"",J749-M749)</x:f>
      </x:c>
      <x:c r="O749" s="9"/>
      <x:c r="P749" s="9"/>
      <x:c r="Q749" s="1" t="str">
        <x:f>IF(B749="","",IF(COUNTIFS($B$7:$B$1006,B749,$C$7:$C$1006,C749)&gt;1,"ID duplicado",IF(OR(A749="",C749="",D749="",E749="",F749="",I749="",J749="",K749="",O749=""),"Completar datos",IF(NOT(ISNUMBER(M749)),"Falta costo histórico","Revisar soporte"))))</x:f>
      </x:c>
      <x:c r="R749" s="9" t="n">
        <x:f>IF(B749="",0,IF(AND(D749="pagada",NOT(ISNUMBER(M749))),1,0))</x:f>
        <x:v>0</x:v>
      </x:c>
    </x:row>
    <x:row r="750" ht="22" customHeight="1">
      <x:c r="A750" s="11"/>
      <x:c r="B750" s="9"/>
      <x:c r="C750" s="9"/>
      <x:c r="D750" s="9"/>
      <x:c r="E750" s="9"/>
      <x:c r="F750" s="9"/>
      <x:c r="G750" s="9"/>
      <x:c r="H750" s="9"/>
      <x:c r="I750" s="13"/>
      <x:c r="J750" s="15"/>
      <x:c r="K750" s="15"/>
      <x:c r="L750" s="17" t="str">
        <x:f>IF(B750="","",IF(NOT(AND(ISNUMBER(J750),ISNUMBER(K750))),"",SUM(J750:K750)))</x:f>
      </x:c>
      <x:c r="M750" s="15"/>
      <x:c r="N750" s="17" t="str">
        <x:f>IF(OR(B750="",D750&lt;&gt;"pagada",NOT(ISNUMBER(J750)),NOT(ISNUMBER(M750))),"",J750-M750)</x:f>
      </x:c>
      <x:c r="O750" s="9"/>
      <x:c r="P750" s="9"/>
      <x:c r="Q750" s="1" t="str">
        <x:f>IF(B750="","",IF(COUNTIFS($B$7:$B$1006,B750,$C$7:$C$1006,C750)&gt;1,"ID duplicado",IF(OR(A750="",C750="",D750="",E750="",F750="",I750="",J750="",K750="",O750=""),"Completar datos",IF(NOT(ISNUMBER(M750)),"Falta costo histórico","Revisar soporte"))))</x:f>
      </x:c>
      <x:c r="R750" s="9" t="n">
        <x:f>IF(B750="",0,IF(AND(D750="pagada",NOT(ISNUMBER(M750))),1,0))</x:f>
        <x:v>0</x:v>
      </x:c>
    </x:row>
    <x:row r="751" ht="22" customHeight="1">
      <x:c r="A751" s="11"/>
      <x:c r="B751" s="9"/>
      <x:c r="C751" s="9"/>
      <x:c r="D751" s="9"/>
      <x:c r="E751" s="9"/>
      <x:c r="F751" s="9"/>
      <x:c r="G751" s="9"/>
      <x:c r="H751" s="9"/>
      <x:c r="I751" s="13"/>
      <x:c r="J751" s="15"/>
      <x:c r="K751" s="15"/>
      <x:c r="L751" s="17" t="str">
        <x:f>IF(B751="","",IF(NOT(AND(ISNUMBER(J751),ISNUMBER(K751))),"",SUM(J751:K751)))</x:f>
      </x:c>
      <x:c r="M751" s="15"/>
      <x:c r="N751" s="17" t="str">
        <x:f>IF(OR(B751="",D751&lt;&gt;"pagada",NOT(ISNUMBER(J751)),NOT(ISNUMBER(M751))),"",J751-M751)</x:f>
      </x:c>
      <x:c r="O751" s="9"/>
      <x:c r="P751" s="9"/>
      <x:c r="Q751" s="1" t="str">
        <x:f>IF(B751="","",IF(COUNTIFS($B$7:$B$1006,B751,$C$7:$C$1006,C751)&gt;1,"ID duplicado",IF(OR(A751="",C751="",D751="",E751="",F751="",I751="",J751="",K751="",O751=""),"Completar datos",IF(NOT(ISNUMBER(M751)),"Falta costo histórico","Revisar soporte"))))</x:f>
      </x:c>
      <x:c r="R751" s="9" t="n">
        <x:f>IF(B751="",0,IF(AND(D751="pagada",NOT(ISNUMBER(M751))),1,0))</x:f>
        <x:v>0</x:v>
      </x:c>
    </x:row>
    <x:row r="752" ht="22" customHeight="1">
      <x:c r="A752" s="11"/>
      <x:c r="B752" s="9"/>
      <x:c r="C752" s="9"/>
      <x:c r="D752" s="9"/>
      <x:c r="E752" s="9"/>
      <x:c r="F752" s="9"/>
      <x:c r="G752" s="9"/>
      <x:c r="H752" s="9"/>
      <x:c r="I752" s="13"/>
      <x:c r="J752" s="15"/>
      <x:c r="K752" s="15"/>
      <x:c r="L752" s="17" t="str">
        <x:f>IF(B752="","",IF(NOT(AND(ISNUMBER(J752),ISNUMBER(K752))),"",SUM(J752:K752)))</x:f>
      </x:c>
      <x:c r="M752" s="15"/>
      <x:c r="N752" s="17" t="str">
        <x:f>IF(OR(B752="",D752&lt;&gt;"pagada",NOT(ISNUMBER(J752)),NOT(ISNUMBER(M752))),"",J752-M752)</x:f>
      </x:c>
      <x:c r="O752" s="9"/>
      <x:c r="P752" s="9"/>
      <x:c r="Q752" s="1" t="str">
        <x:f>IF(B752="","",IF(COUNTIFS($B$7:$B$1006,B752,$C$7:$C$1006,C752)&gt;1,"ID duplicado",IF(OR(A752="",C752="",D752="",E752="",F752="",I752="",J752="",K752="",O752=""),"Completar datos",IF(NOT(ISNUMBER(M752)),"Falta costo histórico","Revisar soporte"))))</x:f>
      </x:c>
      <x:c r="R752" s="9" t="n">
        <x:f>IF(B752="",0,IF(AND(D752="pagada",NOT(ISNUMBER(M752))),1,0))</x:f>
        <x:v>0</x:v>
      </x:c>
    </x:row>
    <x:row r="753" ht="22" customHeight="1">
      <x:c r="A753" s="11"/>
      <x:c r="B753" s="9"/>
      <x:c r="C753" s="9"/>
      <x:c r="D753" s="9"/>
      <x:c r="E753" s="9"/>
      <x:c r="F753" s="9"/>
      <x:c r="G753" s="9"/>
      <x:c r="H753" s="9"/>
      <x:c r="I753" s="13"/>
      <x:c r="J753" s="15"/>
      <x:c r="K753" s="15"/>
      <x:c r="L753" s="17" t="str">
        <x:f>IF(B753="","",IF(NOT(AND(ISNUMBER(J753),ISNUMBER(K753))),"",SUM(J753:K753)))</x:f>
      </x:c>
      <x:c r="M753" s="15"/>
      <x:c r="N753" s="17" t="str">
        <x:f>IF(OR(B753="",D753&lt;&gt;"pagada",NOT(ISNUMBER(J753)),NOT(ISNUMBER(M753))),"",J753-M753)</x:f>
      </x:c>
      <x:c r="O753" s="9"/>
      <x:c r="P753" s="9"/>
      <x:c r="Q753" s="1" t="str">
        <x:f>IF(B753="","",IF(COUNTIFS($B$7:$B$1006,B753,$C$7:$C$1006,C753)&gt;1,"ID duplicado",IF(OR(A753="",C753="",D753="",E753="",F753="",I753="",J753="",K753="",O753=""),"Completar datos",IF(NOT(ISNUMBER(M753)),"Falta costo histórico","Revisar soporte"))))</x:f>
      </x:c>
      <x:c r="R753" s="9" t="n">
        <x:f>IF(B753="",0,IF(AND(D753="pagada",NOT(ISNUMBER(M753))),1,0))</x:f>
        <x:v>0</x:v>
      </x:c>
    </x:row>
    <x:row r="754" ht="22" customHeight="1">
      <x:c r="A754" s="11"/>
      <x:c r="B754" s="9"/>
      <x:c r="C754" s="9"/>
      <x:c r="D754" s="9"/>
      <x:c r="E754" s="9"/>
      <x:c r="F754" s="9"/>
      <x:c r="G754" s="9"/>
      <x:c r="H754" s="9"/>
      <x:c r="I754" s="13"/>
      <x:c r="J754" s="15"/>
      <x:c r="K754" s="15"/>
      <x:c r="L754" s="17" t="str">
        <x:f>IF(B754="","",IF(NOT(AND(ISNUMBER(J754),ISNUMBER(K754))),"",SUM(J754:K754)))</x:f>
      </x:c>
      <x:c r="M754" s="15"/>
      <x:c r="N754" s="17" t="str">
        <x:f>IF(OR(B754="",D754&lt;&gt;"pagada",NOT(ISNUMBER(J754)),NOT(ISNUMBER(M754))),"",J754-M754)</x:f>
      </x:c>
      <x:c r="O754" s="9"/>
      <x:c r="P754" s="9"/>
      <x:c r="Q754" s="1" t="str">
        <x:f>IF(B754="","",IF(COUNTIFS($B$7:$B$1006,B754,$C$7:$C$1006,C754)&gt;1,"ID duplicado",IF(OR(A754="",C754="",D754="",E754="",F754="",I754="",J754="",K754="",O754=""),"Completar datos",IF(NOT(ISNUMBER(M754)),"Falta costo histórico","Revisar soporte"))))</x:f>
      </x:c>
      <x:c r="R754" s="9" t="n">
        <x:f>IF(B754="",0,IF(AND(D754="pagada",NOT(ISNUMBER(M754))),1,0))</x:f>
        <x:v>0</x:v>
      </x:c>
    </x:row>
    <x:row r="755" ht="22" customHeight="1">
      <x:c r="A755" s="11"/>
      <x:c r="B755" s="9"/>
      <x:c r="C755" s="9"/>
      <x:c r="D755" s="9"/>
      <x:c r="E755" s="9"/>
      <x:c r="F755" s="9"/>
      <x:c r="G755" s="9"/>
      <x:c r="H755" s="9"/>
      <x:c r="I755" s="13"/>
      <x:c r="J755" s="15"/>
      <x:c r="K755" s="15"/>
      <x:c r="L755" s="17" t="str">
        <x:f>IF(B755="","",IF(NOT(AND(ISNUMBER(J755),ISNUMBER(K755))),"",SUM(J755:K755)))</x:f>
      </x:c>
      <x:c r="M755" s="15"/>
      <x:c r="N755" s="17" t="str">
        <x:f>IF(OR(B755="",D755&lt;&gt;"pagada",NOT(ISNUMBER(J755)),NOT(ISNUMBER(M755))),"",J755-M755)</x:f>
      </x:c>
      <x:c r="O755" s="9"/>
      <x:c r="P755" s="9"/>
      <x:c r="Q755" s="1" t="str">
        <x:f>IF(B755="","",IF(COUNTIFS($B$7:$B$1006,B755,$C$7:$C$1006,C755)&gt;1,"ID duplicado",IF(OR(A755="",C755="",D755="",E755="",F755="",I755="",J755="",K755="",O755=""),"Completar datos",IF(NOT(ISNUMBER(M755)),"Falta costo histórico","Revisar soporte"))))</x:f>
      </x:c>
      <x:c r="R755" s="9" t="n">
        <x:f>IF(B755="",0,IF(AND(D755="pagada",NOT(ISNUMBER(M755))),1,0))</x:f>
        <x:v>0</x:v>
      </x:c>
    </x:row>
    <x:row r="756" ht="22" customHeight="1">
      <x:c r="A756" s="11"/>
      <x:c r="B756" s="9"/>
      <x:c r="C756" s="9"/>
      <x:c r="D756" s="9"/>
      <x:c r="E756" s="9"/>
      <x:c r="F756" s="9"/>
      <x:c r="G756" s="9"/>
      <x:c r="H756" s="9"/>
      <x:c r="I756" s="13"/>
      <x:c r="J756" s="15"/>
      <x:c r="K756" s="15"/>
      <x:c r="L756" s="17" t="str">
        <x:f>IF(B756="","",IF(NOT(AND(ISNUMBER(J756),ISNUMBER(K756))),"",SUM(J756:K756)))</x:f>
      </x:c>
      <x:c r="M756" s="15"/>
      <x:c r="N756" s="17" t="str">
        <x:f>IF(OR(B756="",D756&lt;&gt;"pagada",NOT(ISNUMBER(J756)),NOT(ISNUMBER(M756))),"",J756-M756)</x:f>
      </x:c>
      <x:c r="O756" s="9"/>
      <x:c r="P756" s="9"/>
      <x:c r="Q756" s="1" t="str">
        <x:f>IF(B756="","",IF(COUNTIFS($B$7:$B$1006,B756,$C$7:$C$1006,C756)&gt;1,"ID duplicado",IF(OR(A756="",C756="",D756="",E756="",F756="",I756="",J756="",K756="",O756=""),"Completar datos",IF(NOT(ISNUMBER(M756)),"Falta costo histórico","Revisar soporte"))))</x:f>
      </x:c>
      <x:c r="R756" s="9" t="n">
        <x:f>IF(B756="",0,IF(AND(D756="pagada",NOT(ISNUMBER(M756))),1,0))</x:f>
        <x:v>0</x:v>
      </x:c>
    </x:row>
    <x:row r="757" ht="22" customHeight="1">
      <x:c r="A757" s="11"/>
      <x:c r="B757" s="9"/>
      <x:c r="C757" s="9"/>
      <x:c r="D757" s="9"/>
      <x:c r="E757" s="9"/>
      <x:c r="F757" s="9"/>
      <x:c r="G757" s="9"/>
      <x:c r="H757" s="9"/>
      <x:c r="I757" s="13"/>
      <x:c r="J757" s="15"/>
      <x:c r="K757" s="15"/>
      <x:c r="L757" s="17" t="str">
        <x:f>IF(B757="","",IF(NOT(AND(ISNUMBER(J757),ISNUMBER(K757))),"",SUM(J757:K757)))</x:f>
      </x:c>
      <x:c r="M757" s="15"/>
      <x:c r="N757" s="17" t="str">
        <x:f>IF(OR(B757="",D757&lt;&gt;"pagada",NOT(ISNUMBER(J757)),NOT(ISNUMBER(M757))),"",J757-M757)</x:f>
      </x:c>
      <x:c r="O757" s="9"/>
      <x:c r="P757" s="9"/>
      <x:c r="Q757" s="1" t="str">
        <x:f>IF(B757="","",IF(COUNTIFS($B$7:$B$1006,B757,$C$7:$C$1006,C757)&gt;1,"ID duplicado",IF(OR(A757="",C757="",D757="",E757="",F757="",I757="",J757="",K757="",O757=""),"Completar datos",IF(NOT(ISNUMBER(M757)),"Falta costo histórico","Revisar soporte"))))</x:f>
      </x:c>
      <x:c r="R757" s="9" t="n">
        <x:f>IF(B757="",0,IF(AND(D757="pagada",NOT(ISNUMBER(M757))),1,0))</x:f>
        <x:v>0</x:v>
      </x:c>
    </x:row>
    <x:row r="758" ht="22" customHeight="1">
      <x:c r="A758" s="11"/>
      <x:c r="B758" s="9"/>
      <x:c r="C758" s="9"/>
      <x:c r="D758" s="9"/>
      <x:c r="E758" s="9"/>
      <x:c r="F758" s="9"/>
      <x:c r="G758" s="9"/>
      <x:c r="H758" s="9"/>
      <x:c r="I758" s="13"/>
      <x:c r="J758" s="15"/>
      <x:c r="K758" s="15"/>
      <x:c r="L758" s="17" t="str">
        <x:f>IF(B758="","",IF(NOT(AND(ISNUMBER(J758),ISNUMBER(K758))),"",SUM(J758:K758)))</x:f>
      </x:c>
      <x:c r="M758" s="15"/>
      <x:c r="N758" s="17" t="str">
        <x:f>IF(OR(B758="",D758&lt;&gt;"pagada",NOT(ISNUMBER(J758)),NOT(ISNUMBER(M758))),"",J758-M758)</x:f>
      </x:c>
      <x:c r="O758" s="9"/>
      <x:c r="P758" s="9"/>
      <x:c r="Q758" s="1" t="str">
        <x:f>IF(B758="","",IF(COUNTIFS($B$7:$B$1006,B758,$C$7:$C$1006,C758)&gt;1,"ID duplicado",IF(OR(A758="",C758="",D758="",E758="",F758="",I758="",J758="",K758="",O758=""),"Completar datos",IF(NOT(ISNUMBER(M758)),"Falta costo histórico","Revisar soporte"))))</x:f>
      </x:c>
      <x:c r="R758" s="9" t="n">
        <x:f>IF(B758="",0,IF(AND(D758="pagada",NOT(ISNUMBER(M758))),1,0))</x:f>
        <x:v>0</x:v>
      </x:c>
    </x:row>
    <x:row r="759" ht="22" customHeight="1">
      <x:c r="A759" s="11"/>
      <x:c r="B759" s="9"/>
      <x:c r="C759" s="9"/>
      <x:c r="D759" s="9"/>
      <x:c r="E759" s="9"/>
      <x:c r="F759" s="9"/>
      <x:c r="G759" s="9"/>
      <x:c r="H759" s="9"/>
      <x:c r="I759" s="13"/>
      <x:c r="J759" s="15"/>
      <x:c r="K759" s="15"/>
      <x:c r="L759" s="17" t="str">
        <x:f>IF(B759="","",IF(NOT(AND(ISNUMBER(J759),ISNUMBER(K759))),"",SUM(J759:K759)))</x:f>
      </x:c>
      <x:c r="M759" s="15"/>
      <x:c r="N759" s="17" t="str">
        <x:f>IF(OR(B759="",D759&lt;&gt;"pagada",NOT(ISNUMBER(J759)),NOT(ISNUMBER(M759))),"",J759-M759)</x:f>
      </x:c>
      <x:c r="O759" s="9"/>
      <x:c r="P759" s="9"/>
      <x:c r="Q759" s="1" t="str">
        <x:f>IF(B759="","",IF(COUNTIFS($B$7:$B$1006,B759,$C$7:$C$1006,C759)&gt;1,"ID duplicado",IF(OR(A759="",C759="",D759="",E759="",F759="",I759="",J759="",K759="",O759=""),"Completar datos",IF(NOT(ISNUMBER(M759)),"Falta costo histórico","Revisar soporte"))))</x:f>
      </x:c>
      <x:c r="R759" s="9" t="n">
        <x:f>IF(B759="",0,IF(AND(D759="pagada",NOT(ISNUMBER(M759))),1,0))</x:f>
        <x:v>0</x:v>
      </x:c>
    </x:row>
    <x:row r="760" ht="22" customHeight="1">
      <x:c r="A760" s="11"/>
      <x:c r="B760" s="9"/>
      <x:c r="C760" s="9"/>
      <x:c r="D760" s="9"/>
      <x:c r="E760" s="9"/>
      <x:c r="F760" s="9"/>
      <x:c r="G760" s="9"/>
      <x:c r="H760" s="9"/>
      <x:c r="I760" s="13"/>
      <x:c r="J760" s="15"/>
      <x:c r="K760" s="15"/>
      <x:c r="L760" s="17" t="str">
        <x:f>IF(B760="","",IF(NOT(AND(ISNUMBER(J760),ISNUMBER(K760))),"",SUM(J760:K760)))</x:f>
      </x:c>
      <x:c r="M760" s="15"/>
      <x:c r="N760" s="17" t="str">
        <x:f>IF(OR(B760="",D760&lt;&gt;"pagada",NOT(ISNUMBER(J760)),NOT(ISNUMBER(M760))),"",J760-M760)</x:f>
      </x:c>
      <x:c r="O760" s="9"/>
      <x:c r="P760" s="9"/>
      <x:c r="Q760" s="1" t="str">
        <x:f>IF(B760="","",IF(COUNTIFS($B$7:$B$1006,B760,$C$7:$C$1006,C760)&gt;1,"ID duplicado",IF(OR(A760="",C760="",D760="",E760="",F760="",I760="",J760="",K760="",O760=""),"Completar datos",IF(NOT(ISNUMBER(M760)),"Falta costo histórico","Revisar soporte"))))</x:f>
      </x:c>
      <x:c r="R760" s="9" t="n">
        <x:f>IF(B760="",0,IF(AND(D760="pagada",NOT(ISNUMBER(M760))),1,0))</x:f>
        <x:v>0</x:v>
      </x:c>
    </x:row>
    <x:row r="761" ht="22" customHeight="1">
      <x:c r="A761" s="11"/>
      <x:c r="B761" s="9"/>
      <x:c r="C761" s="9"/>
      <x:c r="D761" s="9"/>
      <x:c r="E761" s="9"/>
      <x:c r="F761" s="9"/>
      <x:c r="G761" s="9"/>
      <x:c r="H761" s="9"/>
      <x:c r="I761" s="13"/>
      <x:c r="J761" s="15"/>
      <x:c r="K761" s="15"/>
      <x:c r="L761" s="17" t="str">
        <x:f>IF(B761="","",IF(NOT(AND(ISNUMBER(J761),ISNUMBER(K761))),"",SUM(J761:K761)))</x:f>
      </x:c>
      <x:c r="M761" s="15"/>
      <x:c r="N761" s="17" t="str">
        <x:f>IF(OR(B761="",D761&lt;&gt;"pagada",NOT(ISNUMBER(J761)),NOT(ISNUMBER(M761))),"",J761-M761)</x:f>
      </x:c>
      <x:c r="O761" s="9"/>
      <x:c r="P761" s="9"/>
      <x:c r="Q761" s="1" t="str">
        <x:f>IF(B761="","",IF(COUNTIFS($B$7:$B$1006,B761,$C$7:$C$1006,C761)&gt;1,"ID duplicado",IF(OR(A761="",C761="",D761="",E761="",F761="",I761="",J761="",K761="",O761=""),"Completar datos",IF(NOT(ISNUMBER(M761)),"Falta costo histórico","Revisar soporte"))))</x:f>
      </x:c>
      <x:c r="R761" s="9" t="n">
        <x:f>IF(B761="",0,IF(AND(D761="pagada",NOT(ISNUMBER(M761))),1,0))</x:f>
        <x:v>0</x:v>
      </x:c>
    </x:row>
    <x:row r="762" ht="22" customHeight="1">
      <x:c r="A762" s="11"/>
      <x:c r="B762" s="9"/>
      <x:c r="C762" s="9"/>
      <x:c r="D762" s="9"/>
      <x:c r="E762" s="9"/>
      <x:c r="F762" s="9"/>
      <x:c r="G762" s="9"/>
      <x:c r="H762" s="9"/>
      <x:c r="I762" s="13"/>
      <x:c r="J762" s="15"/>
      <x:c r="K762" s="15"/>
      <x:c r="L762" s="17" t="str">
        <x:f>IF(B762="","",IF(NOT(AND(ISNUMBER(J762),ISNUMBER(K762))),"",SUM(J762:K762)))</x:f>
      </x:c>
      <x:c r="M762" s="15"/>
      <x:c r="N762" s="17" t="str">
        <x:f>IF(OR(B762="",D762&lt;&gt;"pagada",NOT(ISNUMBER(J762)),NOT(ISNUMBER(M762))),"",J762-M762)</x:f>
      </x:c>
      <x:c r="O762" s="9"/>
      <x:c r="P762" s="9"/>
      <x:c r="Q762" s="1" t="str">
        <x:f>IF(B762="","",IF(COUNTIFS($B$7:$B$1006,B762,$C$7:$C$1006,C762)&gt;1,"ID duplicado",IF(OR(A762="",C762="",D762="",E762="",F762="",I762="",J762="",K762="",O762=""),"Completar datos",IF(NOT(ISNUMBER(M762)),"Falta costo histórico","Revisar soporte"))))</x:f>
      </x:c>
      <x:c r="R762" s="9" t="n">
        <x:f>IF(B762="",0,IF(AND(D762="pagada",NOT(ISNUMBER(M762))),1,0))</x:f>
        <x:v>0</x:v>
      </x:c>
    </x:row>
    <x:row r="763" ht="22" customHeight="1">
      <x:c r="A763" s="11"/>
      <x:c r="B763" s="9"/>
      <x:c r="C763" s="9"/>
      <x:c r="D763" s="9"/>
      <x:c r="E763" s="9"/>
      <x:c r="F763" s="9"/>
      <x:c r="G763" s="9"/>
      <x:c r="H763" s="9"/>
      <x:c r="I763" s="13"/>
      <x:c r="J763" s="15"/>
      <x:c r="K763" s="15"/>
      <x:c r="L763" s="17" t="str">
        <x:f>IF(B763="","",IF(NOT(AND(ISNUMBER(J763),ISNUMBER(K763))),"",SUM(J763:K763)))</x:f>
      </x:c>
      <x:c r="M763" s="15"/>
      <x:c r="N763" s="17" t="str">
        <x:f>IF(OR(B763="",D763&lt;&gt;"pagada",NOT(ISNUMBER(J763)),NOT(ISNUMBER(M763))),"",J763-M763)</x:f>
      </x:c>
      <x:c r="O763" s="9"/>
      <x:c r="P763" s="9"/>
      <x:c r="Q763" s="1" t="str">
        <x:f>IF(B763="","",IF(COUNTIFS($B$7:$B$1006,B763,$C$7:$C$1006,C763)&gt;1,"ID duplicado",IF(OR(A763="",C763="",D763="",E763="",F763="",I763="",J763="",K763="",O763=""),"Completar datos",IF(NOT(ISNUMBER(M763)),"Falta costo histórico","Revisar soporte"))))</x:f>
      </x:c>
      <x:c r="R763" s="9" t="n">
        <x:f>IF(B763="",0,IF(AND(D763="pagada",NOT(ISNUMBER(M763))),1,0))</x:f>
        <x:v>0</x:v>
      </x:c>
    </x:row>
    <x:row r="764" ht="22" customHeight="1">
      <x:c r="A764" s="11"/>
      <x:c r="B764" s="9"/>
      <x:c r="C764" s="9"/>
      <x:c r="D764" s="9"/>
      <x:c r="E764" s="9"/>
      <x:c r="F764" s="9"/>
      <x:c r="G764" s="9"/>
      <x:c r="H764" s="9"/>
      <x:c r="I764" s="13"/>
      <x:c r="J764" s="15"/>
      <x:c r="K764" s="15"/>
      <x:c r="L764" s="17" t="str">
        <x:f>IF(B764="","",IF(NOT(AND(ISNUMBER(J764),ISNUMBER(K764))),"",SUM(J764:K764)))</x:f>
      </x:c>
      <x:c r="M764" s="15"/>
      <x:c r="N764" s="17" t="str">
        <x:f>IF(OR(B764="",D764&lt;&gt;"pagada",NOT(ISNUMBER(J764)),NOT(ISNUMBER(M764))),"",J764-M764)</x:f>
      </x:c>
      <x:c r="O764" s="9"/>
      <x:c r="P764" s="9"/>
      <x:c r="Q764" s="1" t="str">
        <x:f>IF(B764="","",IF(COUNTIFS($B$7:$B$1006,B764,$C$7:$C$1006,C764)&gt;1,"ID duplicado",IF(OR(A764="",C764="",D764="",E764="",F764="",I764="",J764="",K764="",O764=""),"Completar datos",IF(NOT(ISNUMBER(M764)),"Falta costo histórico","Revisar soporte"))))</x:f>
      </x:c>
      <x:c r="R764" s="9" t="n">
        <x:f>IF(B764="",0,IF(AND(D764="pagada",NOT(ISNUMBER(M764))),1,0))</x:f>
        <x:v>0</x:v>
      </x:c>
    </x:row>
    <x:row r="765" ht="22" customHeight="1">
      <x:c r="A765" s="11"/>
      <x:c r="B765" s="9"/>
      <x:c r="C765" s="9"/>
      <x:c r="D765" s="9"/>
      <x:c r="E765" s="9"/>
      <x:c r="F765" s="9"/>
      <x:c r="G765" s="9"/>
      <x:c r="H765" s="9"/>
      <x:c r="I765" s="13"/>
      <x:c r="J765" s="15"/>
      <x:c r="K765" s="15"/>
      <x:c r="L765" s="17" t="str">
        <x:f>IF(B765="","",IF(NOT(AND(ISNUMBER(J765),ISNUMBER(K765))),"",SUM(J765:K765)))</x:f>
      </x:c>
      <x:c r="M765" s="15"/>
      <x:c r="N765" s="17" t="str">
        <x:f>IF(OR(B765="",D765&lt;&gt;"pagada",NOT(ISNUMBER(J765)),NOT(ISNUMBER(M765))),"",J765-M765)</x:f>
      </x:c>
      <x:c r="O765" s="9"/>
      <x:c r="P765" s="9"/>
      <x:c r="Q765" s="1" t="str">
        <x:f>IF(B765="","",IF(COUNTIFS($B$7:$B$1006,B765,$C$7:$C$1006,C765)&gt;1,"ID duplicado",IF(OR(A765="",C765="",D765="",E765="",F765="",I765="",J765="",K765="",O765=""),"Completar datos",IF(NOT(ISNUMBER(M765)),"Falta costo histórico","Revisar soporte"))))</x:f>
      </x:c>
      <x:c r="R765" s="9" t="n">
        <x:f>IF(B765="",0,IF(AND(D765="pagada",NOT(ISNUMBER(M765))),1,0))</x:f>
        <x:v>0</x:v>
      </x:c>
    </x:row>
    <x:row r="766" ht="22" customHeight="1">
      <x:c r="A766" s="11"/>
      <x:c r="B766" s="9"/>
      <x:c r="C766" s="9"/>
      <x:c r="D766" s="9"/>
      <x:c r="E766" s="9"/>
      <x:c r="F766" s="9"/>
      <x:c r="G766" s="9"/>
      <x:c r="H766" s="9"/>
      <x:c r="I766" s="13"/>
      <x:c r="J766" s="15"/>
      <x:c r="K766" s="15"/>
      <x:c r="L766" s="17" t="str">
        <x:f>IF(B766="","",IF(NOT(AND(ISNUMBER(J766),ISNUMBER(K766))),"",SUM(J766:K766)))</x:f>
      </x:c>
      <x:c r="M766" s="15"/>
      <x:c r="N766" s="17" t="str">
        <x:f>IF(OR(B766="",D766&lt;&gt;"pagada",NOT(ISNUMBER(J766)),NOT(ISNUMBER(M766))),"",J766-M766)</x:f>
      </x:c>
      <x:c r="O766" s="9"/>
      <x:c r="P766" s="9"/>
      <x:c r="Q766" s="1" t="str">
        <x:f>IF(B766="","",IF(COUNTIFS($B$7:$B$1006,B766,$C$7:$C$1006,C766)&gt;1,"ID duplicado",IF(OR(A766="",C766="",D766="",E766="",F766="",I766="",J766="",K766="",O766=""),"Completar datos",IF(NOT(ISNUMBER(M766)),"Falta costo histórico","Revisar soporte"))))</x:f>
      </x:c>
      <x:c r="R766" s="9" t="n">
        <x:f>IF(B766="",0,IF(AND(D766="pagada",NOT(ISNUMBER(M766))),1,0))</x:f>
        <x:v>0</x:v>
      </x:c>
    </x:row>
    <x:row r="767" ht="22" customHeight="1">
      <x:c r="A767" s="11"/>
      <x:c r="B767" s="9"/>
      <x:c r="C767" s="9"/>
      <x:c r="D767" s="9"/>
      <x:c r="E767" s="9"/>
      <x:c r="F767" s="9"/>
      <x:c r="G767" s="9"/>
      <x:c r="H767" s="9"/>
      <x:c r="I767" s="13"/>
      <x:c r="J767" s="15"/>
      <x:c r="K767" s="15"/>
      <x:c r="L767" s="17" t="str">
        <x:f>IF(B767="","",IF(NOT(AND(ISNUMBER(J767),ISNUMBER(K767))),"",SUM(J767:K767)))</x:f>
      </x:c>
      <x:c r="M767" s="15"/>
      <x:c r="N767" s="17" t="str">
        <x:f>IF(OR(B767="",D767&lt;&gt;"pagada",NOT(ISNUMBER(J767)),NOT(ISNUMBER(M767))),"",J767-M767)</x:f>
      </x:c>
      <x:c r="O767" s="9"/>
      <x:c r="P767" s="9"/>
      <x:c r="Q767" s="1" t="str">
        <x:f>IF(B767="","",IF(COUNTIFS($B$7:$B$1006,B767,$C$7:$C$1006,C767)&gt;1,"ID duplicado",IF(OR(A767="",C767="",D767="",E767="",F767="",I767="",J767="",K767="",O767=""),"Completar datos",IF(NOT(ISNUMBER(M767)),"Falta costo histórico","Revisar soporte"))))</x:f>
      </x:c>
      <x:c r="R767" s="9" t="n">
        <x:f>IF(B767="",0,IF(AND(D767="pagada",NOT(ISNUMBER(M767))),1,0))</x:f>
        <x:v>0</x:v>
      </x:c>
    </x:row>
    <x:row r="768" ht="22" customHeight="1">
      <x:c r="A768" s="11"/>
      <x:c r="B768" s="9"/>
      <x:c r="C768" s="9"/>
      <x:c r="D768" s="9"/>
      <x:c r="E768" s="9"/>
      <x:c r="F768" s="9"/>
      <x:c r="G768" s="9"/>
      <x:c r="H768" s="9"/>
      <x:c r="I768" s="13"/>
      <x:c r="J768" s="15"/>
      <x:c r="K768" s="15"/>
      <x:c r="L768" s="17" t="str">
        <x:f>IF(B768="","",IF(NOT(AND(ISNUMBER(J768),ISNUMBER(K768))),"",SUM(J768:K768)))</x:f>
      </x:c>
      <x:c r="M768" s="15"/>
      <x:c r="N768" s="17" t="str">
        <x:f>IF(OR(B768="",D768&lt;&gt;"pagada",NOT(ISNUMBER(J768)),NOT(ISNUMBER(M768))),"",J768-M768)</x:f>
      </x:c>
      <x:c r="O768" s="9"/>
      <x:c r="P768" s="9"/>
      <x:c r="Q768" s="1" t="str">
        <x:f>IF(B768="","",IF(COUNTIFS($B$7:$B$1006,B768,$C$7:$C$1006,C768)&gt;1,"ID duplicado",IF(OR(A768="",C768="",D768="",E768="",F768="",I768="",J768="",K768="",O768=""),"Completar datos",IF(NOT(ISNUMBER(M768)),"Falta costo histórico","Revisar soporte"))))</x:f>
      </x:c>
      <x:c r="R768" s="9" t="n">
        <x:f>IF(B768="",0,IF(AND(D768="pagada",NOT(ISNUMBER(M768))),1,0))</x:f>
        <x:v>0</x:v>
      </x:c>
    </x:row>
    <x:row r="769" ht="22" customHeight="1">
      <x:c r="A769" s="11"/>
      <x:c r="B769" s="9"/>
      <x:c r="C769" s="9"/>
      <x:c r="D769" s="9"/>
      <x:c r="E769" s="9"/>
      <x:c r="F769" s="9"/>
      <x:c r="G769" s="9"/>
      <x:c r="H769" s="9"/>
      <x:c r="I769" s="13"/>
      <x:c r="J769" s="15"/>
      <x:c r="K769" s="15"/>
      <x:c r="L769" s="17" t="str">
        <x:f>IF(B769="","",IF(NOT(AND(ISNUMBER(J769),ISNUMBER(K769))),"",SUM(J769:K769)))</x:f>
      </x:c>
      <x:c r="M769" s="15"/>
      <x:c r="N769" s="17" t="str">
        <x:f>IF(OR(B769="",D769&lt;&gt;"pagada",NOT(ISNUMBER(J769)),NOT(ISNUMBER(M769))),"",J769-M769)</x:f>
      </x:c>
      <x:c r="O769" s="9"/>
      <x:c r="P769" s="9"/>
      <x:c r="Q769" s="1" t="str">
        <x:f>IF(B769="","",IF(COUNTIFS($B$7:$B$1006,B769,$C$7:$C$1006,C769)&gt;1,"ID duplicado",IF(OR(A769="",C769="",D769="",E769="",F769="",I769="",J769="",K769="",O769=""),"Completar datos",IF(NOT(ISNUMBER(M769)),"Falta costo histórico","Revisar soporte"))))</x:f>
      </x:c>
      <x:c r="R769" s="9" t="n">
        <x:f>IF(B769="",0,IF(AND(D769="pagada",NOT(ISNUMBER(M769))),1,0))</x:f>
        <x:v>0</x:v>
      </x:c>
    </x:row>
    <x:row r="770" ht="22" customHeight="1">
      <x:c r="A770" s="11"/>
      <x:c r="B770" s="9"/>
      <x:c r="C770" s="9"/>
      <x:c r="D770" s="9"/>
      <x:c r="E770" s="9"/>
      <x:c r="F770" s="9"/>
      <x:c r="G770" s="9"/>
      <x:c r="H770" s="9"/>
      <x:c r="I770" s="13"/>
      <x:c r="J770" s="15"/>
      <x:c r="K770" s="15"/>
      <x:c r="L770" s="17" t="str">
        <x:f>IF(B770="","",IF(NOT(AND(ISNUMBER(J770),ISNUMBER(K770))),"",SUM(J770:K770)))</x:f>
      </x:c>
      <x:c r="M770" s="15"/>
      <x:c r="N770" s="17" t="str">
        <x:f>IF(OR(B770="",D770&lt;&gt;"pagada",NOT(ISNUMBER(J770)),NOT(ISNUMBER(M770))),"",J770-M770)</x:f>
      </x:c>
      <x:c r="O770" s="9"/>
      <x:c r="P770" s="9"/>
      <x:c r="Q770" s="1" t="str">
        <x:f>IF(B770="","",IF(COUNTIFS($B$7:$B$1006,B770,$C$7:$C$1006,C770)&gt;1,"ID duplicado",IF(OR(A770="",C770="",D770="",E770="",F770="",I770="",J770="",K770="",O770=""),"Completar datos",IF(NOT(ISNUMBER(M770)),"Falta costo histórico","Revisar soporte"))))</x:f>
      </x:c>
      <x:c r="R770" s="9" t="n">
        <x:f>IF(B770="",0,IF(AND(D770="pagada",NOT(ISNUMBER(M770))),1,0))</x:f>
        <x:v>0</x:v>
      </x:c>
    </x:row>
    <x:row r="771" ht="22" customHeight="1">
      <x:c r="A771" s="11"/>
      <x:c r="B771" s="9"/>
      <x:c r="C771" s="9"/>
      <x:c r="D771" s="9"/>
      <x:c r="E771" s="9"/>
      <x:c r="F771" s="9"/>
      <x:c r="G771" s="9"/>
      <x:c r="H771" s="9"/>
      <x:c r="I771" s="13"/>
      <x:c r="J771" s="15"/>
      <x:c r="K771" s="15"/>
      <x:c r="L771" s="17" t="str">
        <x:f>IF(B771="","",IF(NOT(AND(ISNUMBER(J771),ISNUMBER(K771))),"",SUM(J771:K771)))</x:f>
      </x:c>
      <x:c r="M771" s="15"/>
      <x:c r="N771" s="17" t="str">
        <x:f>IF(OR(B771="",D771&lt;&gt;"pagada",NOT(ISNUMBER(J771)),NOT(ISNUMBER(M771))),"",J771-M771)</x:f>
      </x:c>
      <x:c r="O771" s="9"/>
      <x:c r="P771" s="9"/>
      <x:c r="Q771" s="1" t="str">
        <x:f>IF(B771="","",IF(COUNTIFS($B$7:$B$1006,B771,$C$7:$C$1006,C771)&gt;1,"ID duplicado",IF(OR(A771="",C771="",D771="",E771="",F771="",I771="",J771="",K771="",O771=""),"Completar datos",IF(NOT(ISNUMBER(M771)),"Falta costo histórico","Revisar soporte"))))</x:f>
      </x:c>
      <x:c r="R771" s="9" t="n">
        <x:f>IF(B771="",0,IF(AND(D771="pagada",NOT(ISNUMBER(M771))),1,0))</x:f>
        <x:v>0</x:v>
      </x:c>
    </x:row>
    <x:row r="772" ht="22" customHeight="1">
      <x:c r="A772" s="11"/>
      <x:c r="B772" s="9"/>
      <x:c r="C772" s="9"/>
      <x:c r="D772" s="9"/>
      <x:c r="E772" s="9"/>
      <x:c r="F772" s="9"/>
      <x:c r="G772" s="9"/>
      <x:c r="H772" s="9"/>
      <x:c r="I772" s="13"/>
      <x:c r="J772" s="15"/>
      <x:c r="K772" s="15"/>
      <x:c r="L772" s="17" t="str">
        <x:f>IF(B772="","",IF(NOT(AND(ISNUMBER(J772),ISNUMBER(K772))),"",SUM(J772:K772)))</x:f>
      </x:c>
      <x:c r="M772" s="15"/>
      <x:c r="N772" s="17" t="str">
        <x:f>IF(OR(B772="",D772&lt;&gt;"pagada",NOT(ISNUMBER(J772)),NOT(ISNUMBER(M772))),"",J772-M772)</x:f>
      </x:c>
      <x:c r="O772" s="9"/>
      <x:c r="P772" s="9"/>
      <x:c r="Q772" s="1" t="str">
        <x:f>IF(B772="","",IF(COUNTIFS($B$7:$B$1006,B772,$C$7:$C$1006,C772)&gt;1,"ID duplicado",IF(OR(A772="",C772="",D772="",E772="",F772="",I772="",J772="",K772="",O772=""),"Completar datos",IF(NOT(ISNUMBER(M772)),"Falta costo histórico","Revisar soporte"))))</x:f>
      </x:c>
      <x:c r="R772" s="9" t="n">
        <x:f>IF(B772="",0,IF(AND(D772="pagada",NOT(ISNUMBER(M772))),1,0))</x:f>
        <x:v>0</x:v>
      </x:c>
    </x:row>
    <x:row r="773" ht="22" customHeight="1">
      <x:c r="A773" s="11"/>
      <x:c r="B773" s="9"/>
      <x:c r="C773" s="9"/>
      <x:c r="D773" s="9"/>
      <x:c r="E773" s="9"/>
      <x:c r="F773" s="9"/>
      <x:c r="G773" s="9"/>
      <x:c r="H773" s="9"/>
      <x:c r="I773" s="13"/>
      <x:c r="J773" s="15"/>
      <x:c r="K773" s="15"/>
      <x:c r="L773" s="17" t="str">
        <x:f>IF(B773="","",IF(NOT(AND(ISNUMBER(J773),ISNUMBER(K773))),"",SUM(J773:K773)))</x:f>
      </x:c>
      <x:c r="M773" s="15"/>
      <x:c r="N773" s="17" t="str">
        <x:f>IF(OR(B773="",D773&lt;&gt;"pagada",NOT(ISNUMBER(J773)),NOT(ISNUMBER(M773))),"",J773-M773)</x:f>
      </x:c>
      <x:c r="O773" s="9"/>
      <x:c r="P773" s="9"/>
      <x:c r="Q773" s="1" t="str">
        <x:f>IF(B773="","",IF(COUNTIFS($B$7:$B$1006,B773,$C$7:$C$1006,C773)&gt;1,"ID duplicado",IF(OR(A773="",C773="",D773="",E773="",F773="",I773="",J773="",K773="",O773=""),"Completar datos",IF(NOT(ISNUMBER(M773)),"Falta costo histórico","Revisar soporte"))))</x:f>
      </x:c>
      <x:c r="R773" s="9" t="n">
        <x:f>IF(B773="",0,IF(AND(D773="pagada",NOT(ISNUMBER(M773))),1,0))</x:f>
        <x:v>0</x:v>
      </x:c>
    </x:row>
    <x:row r="774" ht="22" customHeight="1">
      <x:c r="A774" s="11"/>
      <x:c r="B774" s="9"/>
      <x:c r="C774" s="9"/>
      <x:c r="D774" s="9"/>
      <x:c r="E774" s="9"/>
      <x:c r="F774" s="9"/>
      <x:c r="G774" s="9"/>
      <x:c r="H774" s="9"/>
      <x:c r="I774" s="13"/>
      <x:c r="J774" s="15"/>
      <x:c r="K774" s="15"/>
      <x:c r="L774" s="17" t="str">
        <x:f>IF(B774="","",IF(NOT(AND(ISNUMBER(J774),ISNUMBER(K774))),"",SUM(J774:K774)))</x:f>
      </x:c>
      <x:c r="M774" s="15"/>
      <x:c r="N774" s="17" t="str">
        <x:f>IF(OR(B774="",D774&lt;&gt;"pagada",NOT(ISNUMBER(J774)),NOT(ISNUMBER(M774))),"",J774-M774)</x:f>
      </x:c>
      <x:c r="O774" s="9"/>
      <x:c r="P774" s="9"/>
      <x:c r="Q774" s="1" t="str">
        <x:f>IF(B774="","",IF(COUNTIFS($B$7:$B$1006,B774,$C$7:$C$1006,C774)&gt;1,"ID duplicado",IF(OR(A774="",C774="",D774="",E774="",F774="",I774="",J774="",K774="",O774=""),"Completar datos",IF(NOT(ISNUMBER(M774)),"Falta costo histórico","Revisar soporte"))))</x:f>
      </x:c>
      <x:c r="R774" s="9" t="n">
        <x:f>IF(B774="",0,IF(AND(D774="pagada",NOT(ISNUMBER(M774))),1,0))</x:f>
        <x:v>0</x:v>
      </x:c>
    </x:row>
    <x:row r="775" ht="22" customHeight="1">
      <x:c r="A775" s="11"/>
      <x:c r="B775" s="9"/>
      <x:c r="C775" s="9"/>
      <x:c r="D775" s="9"/>
      <x:c r="E775" s="9"/>
      <x:c r="F775" s="9"/>
      <x:c r="G775" s="9"/>
      <x:c r="H775" s="9"/>
      <x:c r="I775" s="13"/>
      <x:c r="J775" s="15"/>
      <x:c r="K775" s="15"/>
      <x:c r="L775" s="17" t="str">
        <x:f>IF(B775="","",IF(NOT(AND(ISNUMBER(J775),ISNUMBER(K775))),"",SUM(J775:K775)))</x:f>
      </x:c>
      <x:c r="M775" s="15"/>
      <x:c r="N775" s="17" t="str">
        <x:f>IF(OR(B775="",D775&lt;&gt;"pagada",NOT(ISNUMBER(J775)),NOT(ISNUMBER(M775))),"",J775-M775)</x:f>
      </x:c>
      <x:c r="O775" s="9"/>
      <x:c r="P775" s="9"/>
      <x:c r="Q775" s="1" t="str">
        <x:f>IF(B775="","",IF(COUNTIFS($B$7:$B$1006,B775,$C$7:$C$1006,C775)&gt;1,"ID duplicado",IF(OR(A775="",C775="",D775="",E775="",F775="",I775="",J775="",K775="",O775=""),"Completar datos",IF(NOT(ISNUMBER(M775)),"Falta costo histórico","Revisar soporte"))))</x:f>
      </x:c>
      <x:c r="R775" s="9" t="n">
        <x:f>IF(B775="",0,IF(AND(D775="pagada",NOT(ISNUMBER(M775))),1,0))</x:f>
        <x:v>0</x:v>
      </x:c>
    </x:row>
    <x:row r="776" ht="22" customHeight="1">
      <x:c r="A776" s="11"/>
      <x:c r="B776" s="9"/>
      <x:c r="C776" s="9"/>
      <x:c r="D776" s="9"/>
      <x:c r="E776" s="9"/>
      <x:c r="F776" s="9"/>
      <x:c r="G776" s="9"/>
      <x:c r="H776" s="9"/>
      <x:c r="I776" s="13"/>
      <x:c r="J776" s="15"/>
      <x:c r="K776" s="15"/>
      <x:c r="L776" s="17" t="str">
        <x:f>IF(B776="","",IF(NOT(AND(ISNUMBER(J776),ISNUMBER(K776))),"",SUM(J776:K776)))</x:f>
      </x:c>
      <x:c r="M776" s="15"/>
      <x:c r="N776" s="17" t="str">
        <x:f>IF(OR(B776="",D776&lt;&gt;"pagada",NOT(ISNUMBER(J776)),NOT(ISNUMBER(M776))),"",J776-M776)</x:f>
      </x:c>
      <x:c r="O776" s="9"/>
      <x:c r="P776" s="9"/>
      <x:c r="Q776" s="1" t="str">
        <x:f>IF(B776="","",IF(COUNTIFS($B$7:$B$1006,B776,$C$7:$C$1006,C776)&gt;1,"ID duplicado",IF(OR(A776="",C776="",D776="",E776="",F776="",I776="",J776="",K776="",O776=""),"Completar datos",IF(NOT(ISNUMBER(M776)),"Falta costo histórico","Revisar soporte"))))</x:f>
      </x:c>
      <x:c r="R776" s="9" t="n">
        <x:f>IF(B776="",0,IF(AND(D776="pagada",NOT(ISNUMBER(M776))),1,0))</x:f>
        <x:v>0</x:v>
      </x:c>
    </x:row>
    <x:row r="777" ht="22" customHeight="1">
      <x:c r="A777" s="11"/>
      <x:c r="B777" s="9"/>
      <x:c r="C777" s="9"/>
      <x:c r="D777" s="9"/>
      <x:c r="E777" s="9"/>
      <x:c r="F777" s="9"/>
      <x:c r="G777" s="9"/>
      <x:c r="H777" s="9"/>
      <x:c r="I777" s="13"/>
      <x:c r="J777" s="15"/>
      <x:c r="K777" s="15"/>
      <x:c r="L777" s="17" t="str">
        <x:f>IF(B777="","",IF(NOT(AND(ISNUMBER(J777),ISNUMBER(K777))),"",SUM(J777:K777)))</x:f>
      </x:c>
      <x:c r="M777" s="15"/>
      <x:c r="N777" s="17" t="str">
        <x:f>IF(OR(B777="",D777&lt;&gt;"pagada",NOT(ISNUMBER(J777)),NOT(ISNUMBER(M777))),"",J777-M777)</x:f>
      </x:c>
      <x:c r="O777" s="9"/>
      <x:c r="P777" s="9"/>
      <x:c r="Q777" s="1" t="str">
        <x:f>IF(B777="","",IF(COUNTIFS($B$7:$B$1006,B777,$C$7:$C$1006,C777)&gt;1,"ID duplicado",IF(OR(A777="",C777="",D777="",E777="",F777="",I777="",J777="",K777="",O777=""),"Completar datos",IF(NOT(ISNUMBER(M777)),"Falta costo histórico","Revisar soporte"))))</x:f>
      </x:c>
      <x:c r="R777" s="9" t="n">
        <x:f>IF(B777="",0,IF(AND(D777="pagada",NOT(ISNUMBER(M777))),1,0))</x:f>
        <x:v>0</x:v>
      </x:c>
    </x:row>
    <x:row r="778" ht="22" customHeight="1">
      <x:c r="A778" s="11"/>
      <x:c r="B778" s="9"/>
      <x:c r="C778" s="9"/>
      <x:c r="D778" s="9"/>
      <x:c r="E778" s="9"/>
      <x:c r="F778" s="9"/>
      <x:c r="G778" s="9"/>
      <x:c r="H778" s="9"/>
      <x:c r="I778" s="13"/>
      <x:c r="J778" s="15"/>
      <x:c r="K778" s="15"/>
      <x:c r="L778" s="17" t="str">
        <x:f>IF(B778="","",IF(NOT(AND(ISNUMBER(J778),ISNUMBER(K778))),"",SUM(J778:K778)))</x:f>
      </x:c>
      <x:c r="M778" s="15"/>
      <x:c r="N778" s="17" t="str">
        <x:f>IF(OR(B778="",D778&lt;&gt;"pagada",NOT(ISNUMBER(J778)),NOT(ISNUMBER(M778))),"",J778-M778)</x:f>
      </x:c>
      <x:c r="O778" s="9"/>
      <x:c r="P778" s="9"/>
      <x:c r="Q778" s="1" t="str">
        <x:f>IF(B778="","",IF(COUNTIFS($B$7:$B$1006,B778,$C$7:$C$1006,C778)&gt;1,"ID duplicado",IF(OR(A778="",C778="",D778="",E778="",F778="",I778="",J778="",K778="",O778=""),"Completar datos",IF(NOT(ISNUMBER(M778)),"Falta costo histórico","Revisar soporte"))))</x:f>
      </x:c>
      <x:c r="R778" s="9" t="n">
        <x:f>IF(B778="",0,IF(AND(D778="pagada",NOT(ISNUMBER(M778))),1,0))</x:f>
        <x:v>0</x:v>
      </x:c>
    </x:row>
    <x:row r="779" ht="22" customHeight="1">
      <x:c r="A779" s="11"/>
      <x:c r="B779" s="9"/>
      <x:c r="C779" s="9"/>
      <x:c r="D779" s="9"/>
      <x:c r="E779" s="9"/>
      <x:c r="F779" s="9"/>
      <x:c r="G779" s="9"/>
      <x:c r="H779" s="9"/>
      <x:c r="I779" s="13"/>
      <x:c r="J779" s="15"/>
      <x:c r="K779" s="15"/>
      <x:c r="L779" s="17" t="str">
        <x:f>IF(B779="","",IF(NOT(AND(ISNUMBER(J779),ISNUMBER(K779))),"",SUM(J779:K779)))</x:f>
      </x:c>
      <x:c r="M779" s="15"/>
      <x:c r="N779" s="17" t="str">
        <x:f>IF(OR(B779="",D779&lt;&gt;"pagada",NOT(ISNUMBER(J779)),NOT(ISNUMBER(M779))),"",J779-M779)</x:f>
      </x:c>
      <x:c r="O779" s="9"/>
      <x:c r="P779" s="9"/>
      <x:c r="Q779" s="1" t="str">
        <x:f>IF(B779="","",IF(COUNTIFS($B$7:$B$1006,B779,$C$7:$C$1006,C779)&gt;1,"ID duplicado",IF(OR(A779="",C779="",D779="",E779="",F779="",I779="",J779="",K779="",O779=""),"Completar datos",IF(NOT(ISNUMBER(M779)),"Falta costo histórico","Revisar soporte"))))</x:f>
      </x:c>
      <x:c r="R779" s="9" t="n">
        <x:f>IF(B779="",0,IF(AND(D779="pagada",NOT(ISNUMBER(M779))),1,0))</x:f>
        <x:v>0</x:v>
      </x:c>
    </x:row>
    <x:row r="780" ht="22" customHeight="1">
      <x:c r="A780" s="11"/>
      <x:c r="B780" s="9"/>
      <x:c r="C780" s="9"/>
      <x:c r="D780" s="9"/>
      <x:c r="E780" s="9"/>
      <x:c r="F780" s="9"/>
      <x:c r="G780" s="9"/>
      <x:c r="H780" s="9"/>
      <x:c r="I780" s="13"/>
      <x:c r="J780" s="15"/>
      <x:c r="K780" s="15"/>
      <x:c r="L780" s="17" t="str">
        <x:f>IF(B780="","",IF(NOT(AND(ISNUMBER(J780),ISNUMBER(K780))),"",SUM(J780:K780)))</x:f>
      </x:c>
      <x:c r="M780" s="15"/>
      <x:c r="N780" s="17" t="str">
        <x:f>IF(OR(B780="",D780&lt;&gt;"pagada",NOT(ISNUMBER(J780)),NOT(ISNUMBER(M780))),"",J780-M780)</x:f>
      </x:c>
      <x:c r="O780" s="9"/>
      <x:c r="P780" s="9"/>
      <x:c r="Q780" s="1" t="str">
        <x:f>IF(B780="","",IF(COUNTIFS($B$7:$B$1006,B780,$C$7:$C$1006,C780)&gt;1,"ID duplicado",IF(OR(A780="",C780="",D780="",E780="",F780="",I780="",J780="",K780="",O780=""),"Completar datos",IF(NOT(ISNUMBER(M780)),"Falta costo histórico","Revisar soporte"))))</x:f>
      </x:c>
      <x:c r="R780" s="9" t="n">
        <x:f>IF(B780="",0,IF(AND(D780="pagada",NOT(ISNUMBER(M780))),1,0))</x:f>
        <x:v>0</x:v>
      </x:c>
    </x:row>
    <x:row r="781" ht="22" customHeight="1">
      <x:c r="A781" s="11"/>
      <x:c r="B781" s="9"/>
      <x:c r="C781" s="9"/>
      <x:c r="D781" s="9"/>
      <x:c r="E781" s="9"/>
      <x:c r="F781" s="9"/>
      <x:c r="G781" s="9"/>
      <x:c r="H781" s="9"/>
      <x:c r="I781" s="13"/>
      <x:c r="J781" s="15"/>
      <x:c r="K781" s="15"/>
      <x:c r="L781" s="17" t="str">
        <x:f>IF(B781="","",IF(NOT(AND(ISNUMBER(J781),ISNUMBER(K781))),"",SUM(J781:K781)))</x:f>
      </x:c>
      <x:c r="M781" s="15"/>
      <x:c r="N781" s="17" t="str">
        <x:f>IF(OR(B781="",D781&lt;&gt;"pagada",NOT(ISNUMBER(J781)),NOT(ISNUMBER(M781))),"",J781-M781)</x:f>
      </x:c>
      <x:c r="O781" s="9"/>
      <x:c r="P781" s="9"/>
      <x:c r="Q781" s="1" t="str">
        <x:f>IF(B781="","",IF(COUNTIFS($B$7:$B$1006,B781,$C$7:$C$1006,C781)&gt;1,"ID duplicado",IF(OR(A781="",C781="",D781="",E781="",F781="",I781="",J781="",K781="",O781=""),"Completar datos",IF(NOT(ISNUMBER(M781)),"Falta costo histórico","Revisar soporte"))))</x:f>
      </x:c>
      <x:c r="R781" s="9" t="n">
        <x:f>IF(B781="",0,IF(AND(D781="pagada",NOT(ISNUMBER(M781))),1,0))</x:f>
        <x:v>0</x:v>
      </x:c>
    </x:row>
    <x:row r="782" ht="22" customHeight="1">
      <x:c r="A782" s="11"/>
      <x:c r="B782" s="9"/>
      <x:c r="C782" s="9"/>
      <x:c r="D782" s="9"/>
      <x:c r="E782" s="9"/>
      <x:c r="F782" s="9"/>
      <x:c r="G782" s="9"/>
      <x:c r="H782" s="9"/>
      <x:c r="I782" s="13"/>
      <x:c r="J782" s="15"/>
      <x:c r="K782" s="15"/>
      <x:c r="L782" s="17" t="str">
        <x:f>IF(B782="","",IF(NOT(AND(ISNUMBER(J782),ISNUMBER(K782))),"",SUM(J782:K782)))</x:f>
      </x:c>
      <x:c r="M782" s="15"/>
      <x:c r="N782" s="17" t="str">
        <x:f>IF(OR(B782="",D782&lt;&gt;"pagada",NOT(ISNUMBER(J782)),NOT(ISNUMBER(M782))),"",J782-M782)</x:f>
      </x:c>
      <x:c r="O782" s="9"/>
      <x:c r="P782" s="9"/>
      <x:c r="Q782" s="1" t="str">
        <x:f>IF(B782="","",IF(COUNTIFS($B$7:$B$1006,B782,$C$7:$C$1006,C782)&gt;1,"ID duplicado",IF(OR(A782="",C782="",D782="",E782="",F782="",I782="",J782="",K782="",O782=""),"Completar datos",IF(NOT(ISNUMBER(M782)),"Falta costo histórico","Revisar soporte"))))</x:f>
      </x:c>
      <x:c r="R782" s="9" t="n">
        <x:f>IF(B782="",0,IF(AND(D782="pagada",NOT(ISNUMBER(M782))),1,0))</x:f>
        <x:v>0</x:v>
      </x:c>
    </x:row>
    <x:row r="783" ht="22" customHeight="1">
      <x:c r="A783" s="11"/>
      <x:c r="B783" s="9"/>
      <x:c r="C783" s="9"/>
      <x:c r="D783" s="9"/>
      <x:c r="E783" s="9"/>
      <x:c r="F783" s="9"/>
      <x:c r="G783" s="9"/>
      <x:c r="H783" s="9"/>
      <x:c r="I783" s="13"/>
      <x:c r="J783" s="15"/>
      <x:c r="K783" s="15"/>
      <x:c r="L783" s="17" t="str">
        <x:f>IF(B783="","",IF(NOT(AND(ISNUMBER(J783),ISNUMBER(K783))),"",SUM(J783:K783)))</x:f>
      </x:c>
      <x:c r="M783" s="15"/>
      <x:c r="N783" s="17" t="str">
        <x:f>IF(OR(B783="",D783&lt;&gt;"pagada",NOT(ISNUMBER(J783)),NOT(ISNUMBER(M783))),"",J783-M783)</x:f>
      </x:c>
      <x:c r="O783" s="9"/>
      <x:c r="P783" s="9"/>
      <x:c r="Q783" s="1" t="str">
        <x:f>IF(B783="","",IF(COUNTIFS($B$7:$B$1006,B783,$C$7:$C$1006,C783)&gt;1,"ID duplicado",IF(OR(A783="",C783="",D783="",E783="",F783="",I783="",J783="",K783="",O783=""),"Completar datos",IF(NOT(ISNUMBER(M783)),"Falta costo histórico","Revisar soporte"))))</x:f>
      </x:c>
      <x:c r="R783" s="9" t="n">
        <x:f>IF(B783="",0,IF(AND(D783="pagada",NOT(ISNUMBER(M783))),1,0))</x:f>
        <x:v>0</x:v>
      </x:c>
    </x:row>
    <x:row r="784" ht="22" customHeight="1">
      <x:c r="A784" s="11"/>
      <x:c r="B784" s="9"/>
      <x:c r="C784" s="9"/>
      <x:c r="D784" s="9"/>
      <x:c r="E784" s="9"/>
      <x:c r="F784" s="9"/>
      <x:c r="G784" s="9"/>
      <x:c r="H784" s="9"/>
      <x:c r="I784" s="13"/>
      <x:c r="J784" s="15"/>
      <x:c r="K784" s="15"/>
      <x:c r="L784" s="17" t="str">
        <x:f>IF(B784="","",IF(NOT(AND(ISNUMBER(J784),ISNUMBER(K784))),"",SUM(J784:K784)))</x:f>
      </x:c>
      <x:c r="M784" s="15"/>
      <x:c r="N784" s="17" t="str">
        <x:f>IF(OR(B784="",D784&lt;&gt;"pagada",NOT(ISNUMBER(J784)),NOT(ISNUMBER(M784))),"",J784-M784)</x:f>
      </x:c>
      <x:c r="O784" s="9"/>
      <x:c r="P784" s="9"/>
      <x:c r="Q784" s="1" t="str">
        <x:f>IF(B784="","",IF(COUNTIFS($B$7:$B$1006,B784,$C$7:$C$1006,C784)&gt;1,"ID duplicado",IF(OR(A784="",C784="",D784="",E784="",F784="",I784="",J784="",K784="",O784=""),"Completar datos",IF(NOT(ISNUMBER(M784)),"Falta costo histórico","Revisar soporte"))))</x:f>
      </x:c>
      <x:c r="R784" s="9" t="n">
        <x:f>IF(B784="",0,IF(AND(D784="pagada",NOT(ISNUMBER(M784))),1,0))</x:f>
        <x:v>0</x:v>
      </x:c>
    </x:row>
    <x:row r="785" ht="22" customHeight="1">
      <x:c r="A785" s="11"/>
      <x:c r="B785" s="9"/>
      <x:c r="C785" s="9"/>
      <x:c r="D785" s="9"/>
      <x:c r="E785" s="9"/>
      <x:c r="F785" s="9"/>
      <x:c r="G785" s="9"/>
      <x:c r="H785" s="9"/>
      <x:c r="I785" s="13"/>
      <x:c r="J785" s="15"/>
      <x:c r="K785" s="15"/>
      <x:c r="L785" s="17" t="str">
        <x:f>IF(B785="","",IF(NOT(AND(ISNUMBER(J785),ISNUMBER(K785))),"",SUM(J785:K785)))</x:f>
      </x:c>
      <x:c r="M785" s="15"/>
      <x:c r="N785" s="17" t="str">
        <x:f>IF(OR(B785="",D785&lt;&gt;"pagada",NOT(ISNUMBER(J785)),NOT(ISNUMBER(M785))),"",J785-M785)</x:f>
      </x:c>
      <x:c r="O785" s="9"/>
      <x:c r="P785" s="9"/>
      <x:c r="Q785" s="1" t="str">
        <x:f>IF(B785="","",IF(COUNTIFS($B$7:$B$1006,B785,$C$7:$C$1006,C785)&gt;1,"ID duplicado",IF(OR(A785="",C785="",D785="",E785="",F785="",I785="",J785="",K785="",O785=""),"Completar datos",IF(NOT(ISNUMBER(M785)),"Falta costo histórico","Revisar soporte"))))</x:f>
      </x:c>
      <x:c r="R785" s="9" t="n">
        <x:f>IF(B785="",0,IF(AND(D785="pagada",NOT(ISNUMBER(M785))),1,0))</x:f>
        <x:v>0</x:v>
      </x:c>
    </x:row>
    <x:row r="786" ht="22" customHeight="1">
      <x:c r="A786" s="11"/>
      <x:c r="B786" s="9"/>
      <x:c r="C786" s="9"/>
      <x:c r="D786" s="9"/>
      <x:c r="E786" s="9"/>
      <x:c r="F786" s="9"/>
      <x:c r="G786" s="9"/>
      <x:c r="H786" s="9"/>
      <x:c r="I786" s="13"/>
      <x:c r="J786" s="15"/>
      <x:c r="K786" s="15"/>
      <x:c r="L786" s="17" t="str">
        <x:f>IF(B786="","",IF(NOT(AND(ISNUMBER(J786),ISNUMBER(K786))),"",SUM(J786:K786)))</x:f>
      </x:c>
      <x:c r="M786" s="15"/>
      <x:c r="N786" s="17" t="str">
        <x:f>IF(OR(B786="",D786&lt;&gt;"pagada",NOT(ISNUMBER(J786)),NOT(ISNUMBER(M786))),"",J786-M786)</x:f>
      </x:c>
      <x:c r="O786" s="9"/>
      <x:c r="P786" s="9"/>
      <x:c r="Q786" s="1" t="str">
        <x:f>IF(B786="","",IF(COUNTIFS($B$7:$B$1006,B786,$C$7:$C$1006,C786)&gt;1,"ID duplicado",IF(OR(A786="",C786="",D786="",E786="",F786="",I786="",J786="",K786="",O786=""),"Completar datos",IF(NOT(ISNUMBER(M786)),"Falta costo histórico","Revisar soporte"))))</x:f>
      </x:c>
      <x:c r="R786" s="9" t="n">
        <x:f>IF(B786="",0,IF(AND(D786="pagada",NOT(ISNUMBER(M786))),1,0))</x:f>
        <x:v>0</x:v>
      </x:c>
    </x:row>
    <x:row r="787" ht="22" customHeight="1">
      <x:c r="A787" s="11"/>
      <x:c r="B787" s="9"/>
      <x:c r="C787" s="9"/>
      <x:c r="D787" s="9"/>
      <x:c r="E787" s="9"/>
      <x:c r="F787" s="9"/>
      <x:c r="G787" s="9"/>
      <x:c r="H787" s="9"/>
      <x:c r="I787" s="13"/>
      <x:c r="J787" s="15"/>
      <x:c r="K787" s="15"/>
      <x:c r="L787" s="17" t="str">
        <x:f>IF(B787="","",IF(NOT(AND(ISNUMBER(J787),ISNUMBER(K787))),"",SUM(J787:K787)))</x:f>
      </x:c>
      <x:c r="M787" s="15"/>
      <x:c r="N787" s="17" t="str">
        <x:f>IF(OR(B787="",D787&lt;&gt;"pagada",NOT(ISNUMBER(J787)),NOT(ISNUMBER(M787))),"",J787-M787)</x:f>
      </x:c>
      <x:c r="O787" s="9"/>
      <x:c r="P787" s="9"/>
      <x:c r="Q787" s="1" t="str">
        <x:f>IF(B787="","",IF(COUNTIFS($B$7:$B$1006,B787,$C$7:$C$1006,C787)&gt;1,"ID duplicado",IF(OR(A787="",C787="",D787="",E787="",F787="",I787="",J787="",K787="",O787=""),"Completar datos",IF(NOT(ISNUMBER(M787)),"Falta costo histórico","Revisar soporte"))))</x:f>
      </x:c>
      <x:c r="R787" s="9" t="n">
        <x:f>IF(B787="",0,IF(AND(D787="pagada",NOT(ISNUMBER(M787))),1,0))</x:f>
        <x:v>0</x:v>
      </x:c>
    </x:row>
    <x:row r="788" ht="22" customHeight="1">
      <x:c r="A788" s="11"/>
      <x:c r="B788" s="9"/>
      <x:c r="C788" s="9"/>
      <x:c r="D788" s="9"/>
      <x:c r="E788" s="9"/>
      <x:c r="F788" s="9"/>
      <x:c r="G788" s="9"/>
      <x:c r="H788" s="9"/>
      <x:c r="I788" s="13"/>
      <x:c r="J788" s="15"/>
      <x:c r="K788" s="15"/>
      <x:c r="L788" s="17" t="str">
        <x:f>IF(B788="","",IF(NOT(AND(ISNUMBER(J788),ISNUMBER(K788))),"",SUM(J788:K788)))</x:f>
      </x:c>
      <x:c r="M788" s="15"/>
      <x:c r="N788" s="17" t="str">
        <x:f>IF(OR(B788="",D788&lt;&gt;"pagada",NOT(ISNUMBER(J788)),NOT(ISNUMBER(M788))),"",J788-M788)</x:f>
      </x:c>
      <x:c r="O788" s="9"/>
      <x:c r="P788" s="9"/>
      <x:c r="Q788" s="1" t="str">
        <x:f>IF(B788="","",IF(COUNTIFS($B$7:$B$1006,B788,$C$7:$C$1006,C788)&gt;1,"ID duplicado",IF(OR(A788="",C788="",D788="",E788="",F788="",I788="",J788="",K788="",O788=""),"Completar datos",IF(NOT(ISNUMBER(M788)),"Falta costo histórico","Revisar soporte"))))</x:f>
      </x:c>
      <x:c r="R788" s="9" t="n">
        <x:f>IF(B788="",0,IF(AND(D788="pagada",NOT(ISNUMBER(M788))),1,0))</x:f>
        <x:v>0</x:v>
      </x:c>
    </x:row>
    <x:row r="789" ht="22" customHeight="1">
      <x:c r="A789" s="11"/>
      <x:c r="B789" s="9"/>
      <x:c r="C789" s="9"/>
      <x:c r="D789" s="9"/>
      <x:c r="E789" s="9"/>
      <x:c r="F789" s="9"/>
      <x:c r="G789" s="9"/>
      <x:c r="H789" s="9"/>
      <x:c r="I789" s="13"/>
      <x:c r="J789" s="15"/>
      <x:c r="K789" s="15"/>
      <x:c r="L789" s="17" t="str">
        <x:f>IF(B789="","",IF(NOT(AND(ISNUMBER(J789),ISNUMBER(K789))),"",SUM(J789:K789)))</x:f>
      </x:c>
      <x:c r="M789" s="15"/>
      <x:c r="N789" s="17" t="str">
        <x:f>IF(OR(B789="",D789&lt;&gt;"pagada",NOT(ISNUMBER(J789)),NOT(ISNUMBER(M789))),"",J789-M789)</x:f>
      </x:c>
      <x:c r="O789" s="9"/>
      <x:c r="P789" s="9"/>
      <x:c r="Q789" s="1" t="str">
        <x:f>IF(B789="","",IF(COUNTIFS($B$7:$B$1006,B789,$C$7:$C$1006,C789)&gt;1,"ID duplicado",IF(OR(A789="",C789="",D789="",E789="",F789="",I789="",J789="",K789="",O789=""),"Completar datos",IF(NOT(ISNUMBER(M789)),"Falta costo histórico","Revisar soporte"))))</x:f>
      </x:c>
      <x:c r="R789" s="9" t="n">
        <x:f>IF(B789="",0,IF(AND(D789="pagada",NOT(ISNUMBER(M789))),1,0))</x:f>
        <x:v>0</x:v>
      </x:c>
    </x:row>
    <x:row r="790" ht="22" customHeight="1">
      <x:c r="A790" s="11"/>
      <x:c r="B790" s="9"/>
      <x:c r="C790" s="9"/>
      <x:c r="D790" s="9"/>
      <x:c r="E790" s="9"/>
      <x:c r="F790" s="9"/>
      <x:c r="G790" s="9"/>
      <x:c r="H790" s="9"/>
      <x:c r="I790" s="13"/>
      <x:c r="J790" s="15"/>
      <x:c r="K790" s="15"/>
      <x:c r="L790" s="17" t="str">
        <x:f>IF(B790="","",IF(NOT(AND(ISNUMBER(J790),ISNUMBER(K790))),"",SUM(J790:K790)))</x:f>
      </x:c>
      <x:c r="M790" s="15"/>
      <x:c r="N790" s="17" t="str">
        <x:f>IF(OR(B790="",D790&lt;&gt;"pagada",NOT(ISNUMBER(J790)),NOT(ISNUMBER(M790))),"",J790-M790)</x:f>
      </x:c>
      <x:c r="O790" s="9"/>
      <x:c r="P790" s="9"/>
      <x:c r="Q790" s="1" t="str">
        <x:f>IF(B790="","",IF(COUNTIFS($B$7:$B$1006,B790,$C$7:$C$1006,C790)&gt;1,"ID duplicado",IF(OR(A790="",C790="",D790="",E790="",F790="",I790="",J790="",K790="",O790=""),"Completar datos",IF(NOT(ISNUMBER(M790)),"Falta costo histórico","Revisar soporte"))))</x:f>
      </x:c>
      <x:c r="R790" s="9" t="n">
        <x:f>IF(B790="",0,IF(AND(D790="pagada",NOT(ISNUMBER(M790))),1,0))</x:f>
        <x:v>0</x:v>
      </x:c>
    </x:row>
    <x:row r="791" ht="22" customHeight="1">
      <x:c r="A791" s="11"/>
      <x:c r="B791" s="9"/>
      <x:c r="C791" s="9"/>
      <x:c r="D791" s="9"/>
      <x:c r="E791" s="9"/>
      <x:c r="F791" s="9"/>
      <x:c r="G791" s="9"/>
      <x:c r="H791" s="9"/>
      <x:c r="I791" s="13"/>
      <x:c r="J791" s="15"/>
      <x:c r="K791" s="15"/>
      <x:c r="L791" s="17" t="str">
        <x:f>IF(B791="","",IF(NOT(AND(ISNUMBER(J791),ISNUMBER(K791))),"",SUM(J791:K791)))</x:f>
      </x:c>
      <x:c r="M791" s="15"/>
      <x:c r="N791" s="17" t="str">
        <x:f>IF(OR(B791="",D791&lt;&gt;"pagada",NOT(ISNUMBER(J791)),NOT(ISNUMBER(M791))),"",J791-M791)</x:f>
      </x:c>
      <x:c r="O791" s="9"/>
      <x:c r="P791" s="9"/>
      <x:c r="Q791" s="1" t="str">
        <x:f>IF(B791="","",IF(COUNTIFS($B$7:$B$1006,B791,$C$7:$C$1006,C791)&gt;1,"ID duplicado",IF(OR(A791="",C791="",D791="",E791="",F791="",I791="",J791="",K791="",O791=""),"Completar datos",IF(NOT(ISNUMBER(M791)),"Falta costo histórico","Revisar soporte"))))</x:f>
      </x:c>
      <x:c r="R791" s="9" t="n">
        <x:f>IF(B791="",0,IF(AND(D791="pagada",NOT(ISNUMBER(M791))),1,0))</x:f>
        <x:v>0</x:v>
      </x:c>
    </x:row>
    <x:row r="792" ht="22" customHeight="1">
      <x:c r="A792" s="11"/>
      <x:c r="B792" s="9"/>
      <x:c r="C792" s="9"/>
      <x:c r="D792" s="9"/>
      <x:c r="E792" s="9"/>
      <x:c r="F792" s="9"/>
      <x:c r="G792" s="9"/>
      <x:c r="H792" s="9"/>
      <x:c r="I792" s="13"/>
      <x:c r="J792" s="15"/>
      <x:c r="K792" s="15"/>
      <x:c r="L792" s="17" t="str">
        <x:f>IF(B792="","",IF(NOT(AND(ISNUMBER(J792),ISNUMBER(K792))),"",SUM(J792:K792)))</x:f>
      </x:c>
      <x:c r="M792" s="15"/>
      <x:c r="N792" s="17" t="str">
        <x:f>IF(OR(B792="",D792&lt;&gt;"pagada",NOT(ISNUMBER(J792)),NOT(ISNUMBER(M792))),"",J792-M792)</x:f>
      </x:c>
      <x:c r="O792" s="9"/>
      <x:c r="P792" s="9"/>
      <x:c r="Q792" s="1" t="str">
        <x:f>IF(B792="","",IF(COUNTIFS($B$7:$B$1006,B792,$C$7:$C$1006,C792)&gt;1,"ID duplicado",IF(OR(A792="",C792="",D792="",E792="",F792="",I792="",J792="",K792="",O792=""),"Completar datos",IF(NOT(ISNUMBER(M792)),"Falta costo histórico","Revisar soporte"))))</x:f>
      </x:c>
      <x:c r="R792" s="9" t="n">
        <x:f>IF(B792="",0,IF(AND(D792="pagada",NOT(ISNUMBER(M792))),1,0))</x:f>
        <x:v>0</x:v>
      </x:c>
    </x:row>
    <x:row r="793" ht="22" customHeight="1">
      <x:c r="A793" s="11"/>
      <x:c r="B793" s="9"/>
      <x:c r="C793" s="9"/>
      <x:c r="D793" s="9"/>
      <x:c r="E793" s="9"/>
      <x:c r="F793" s="9"/>
      <x:c r="G793" s="9"/>
      <x:c r="H793" s="9"/>
      <x:c r="I793" s="13"/>
      <x:c r="J793" s="15"/>
      <x:c r="K793" s="15"/>
      <x:c r="L793" s="17" t="str">
        <x:f>IF(B793="","",IF(NOT(AND(ISNUMBER(J793),ISNUMBER(K793))),"",SUM(J793:K793)))</x:f>
      </x:c>
      <x:c r="M793" s="15"/>
      <x:c r="N793" s="17" t="str">
        <x:f>IF(OR(B793="",D793&lt;&gt;"pagada",NOT(ISNUMBER(J793)),NOT(ISNUMBER(M793))),"",J793-M793)</x:f>
      </x:c>
      <x:c r="O793" s="9"/>
      <x:c r="P793" s="9"/>
      <x:c r="Q793" s="1" t="str">
        <x:f>IF(B793="","",IF(COUNTIFS($B$7:$B$1006,B793,$C$7:$C$1006,C793)&gt;1,"ID duplicado",IF(OR(A793="",C793="",D793="",E793="",F793="",I793="",J793="",K793="",O793=""),"Completar datos",IF(NOT(ISNUMBER(M793)),"Falta costo histórico","Revisar soporte"))))</x:f>
      </x:c>
      <x:c r="R793" s="9" t="n">
        <x:f>IF(B793="",0,IF(AND(D793="pagada",NOT(ISNUMBER(M793))),1,0))</x:f>
        <x:v>0</x:v>
      </x:c>
    </x:row>
    <x:row r="794" ht="22" customHeight="1">
      <x:c r="A794" s="11"/>
      <x:c r="B794" s="9"/>
      <x:c r="C794" s="9"/>
      <x:c r="D794" s="9"/>
      <x:c r="E794" s="9"/>
      <x:c r="F794" s="9"/>
      <x:c r="G794" s="9"/>
      <x:c r="H794" s="9"/>
      <x:c r="I794" s="13"/>
      <x:c r="J794" s="15"/>
      <x:c r="K794" s="15"/>
      <x:c r="L794" s="17" t="str">
        <x:f>IF(B794="","",IF(NOT(AND(ISNUMBER(J794),ISNUMBER(K794))),"",SUM(J794:K794)))</x:f>
      </x:c>
      <x:c r="M794" s="15"/>
      <x:c r="N794" s="17" t="str">
        <x:f>IF(OR(B794="",D794&lt;&gt;"pagada",NOT(ISNUMBER(J794)),NOT(ISNUMBER(M794))),"",J794-M794)</x:f>
      </x:c>
      <x:c r="O794" s="9"/>
      <x:c r="P794" s="9"/>
      <x:c r="Q794" s="1" t="str">
        <x:f>IF(B794="","",IF(COUNTIFS($B$7:$B$1006,B794,$C$7:$C$1006,C794)&gt;1,"ID duplicado",IF(OR(A794="",C794="",D794="",E794="",F794="",I794="",J794="",K794="",O794=""),"Completar datos",IF(NOT(ISNUMBER(M794)),"Falta costo histórico","Revisar soporte"))))</x:f>
      </x:c>
      <x:c r="R794" s="9" t="n">
        <x:f>IF(B794="",0,IF(AND(D794="pagada",NOT(ISNUMBER(M794))),1,0))</x:f>
        <x:v>0</x:v>
      </x:c>
    </x:row>
    <x:row r="795" ht="22" customHeight="1">
      <x:c r="A795" s="11"/>
      <x:c r="B795" s="9"/>
      <x:c r="C795" s="9"/>
      <x:c r="D795" s="9"/>
      <x:c r="E795" s="9"/>
      <x:c r="F795" s="9"/>
      <x:c r="G795" s="9"/>
      <x:c r="H795" s="9"/>
      <x:c r="I795" s="13"/>
      <x:c r="J795" s="15"/>
      <x:c r="K795" s="15"/>
      <x:c r="L795" s="17" t="str">
        <x:f>IF(B795="","",IF(NOT(AND(ISNUMBER(J795),ISNUMBER(K795))),"",SUM(J795:K795)))</x:f>
      </x:c>
      <x:c r="M795" s="15"/>
      <x:c r="N795" s="17" t="str">
        <x:f>IF(OR(B795="",D795&lt;&gt;"pagada",NOT(ISNUMBER(J795)),NOT(ISNUMBER(M795))),"",J795-M795)</x:f>
      </x:c>
      <x:c r="O795" s="9"/>
      <x:c r="P795" s="9"/>
      <x:c r="Q795" s="1" t="str">
        <x:f>IF(B795="","",IF(COUNTIFS($B$7:$B$1006,B795,$C$7:$C$1006,C795)&gt;1,"ID duplicado",IF(OR(A795="",C795="",D795="",E795="",F795="",I795="",J795="",K795="",O795=""),"Completar datos",IF(NOT(ISNUMBER(M795)),"Falta costo histórico","Revisar soporte"))))</x:f>
      </x:c>
      <x:c r="R795" s="9" t="n">
        <x:f>IF(B795="",0,IF(AND(D795="pagada",NOT(ISNUMBER(M795))),1,0))</x:f>
        <x:v>0</x:v>
      </x:c>
    </x:row>
    <x:row r="796" ht="22" customHeight="1">
      <x:c r="A796" s="11"/>
      <x:c r="B796" s="9"/>
      <x:c r="C796" s="9"/>
      <x:c r="D796" s="9"/>
      <x:c r="E796" s="9"/>
      <x:c r="F796" s="9"/>
      <x:c r="G796" s="9"/>
      <x:c r="H796" s="9"/>
      <x:c r="I796" s="13"/>
      <x:c r="J796" s="15"/>
      <x:c r="K796" s="15"/>
      <x:c r="L796" s="17" t="str">
        <x:f>IF(B796="","",IF(NOT(AND(ISNUMBER(J796),ISNUMBER(K796))),"",SUM(J796:K796)))</x:f>
      </x:c>
      <x:c r="M796" s="15"/>
      <x:c r="N796" s="17" t="str">
        <x:f>IF(OR(B796="",D796&lt;&gt;"pagada",NOT(ISNUMBER(J796)),NOT(ISNUMBER(M796))),"",J796-M796)</x:f>
      </x:c>
      <x:c r="O796" s="9"/>
      <x:c r="P796" s="9"/>
      <x:c r="Q796" s="1" t="str">
        <x:f>IF(B796="","",IF(COUNTIFS($B$7:$B$1006,B796,$C$7:$C$1006,C796)&gt;1,"ID duplicado",IF(OR(A796="",C796="",D796="",E796="",F796="",I796="",J796="",K796="",O796=""),"Completar datos",IF(NOT(ISNUMBER(M796)),"Falta costo histórico","Revisar soporte"))))</x:f>
      </x:c>
      <x:c r="R796" s="9" t="n">
        <x:f>IF(B796="",0,IF(AND(D796="pagada",NOT(ISNUMBER(M796))),1,0))</x:f>
        <x:v>0</x:v>
      </x:c>
    </x:row>
    <x:row r="797" ht="22" customHeight="1">
      <x:c r="A797" s="11"/>
      <x:c r="B797" s="9"/>
      <x:c r="C797" s="9"/>
      <x:c r="D797" s="9"/>
      <x:c r="E797" s="9"/>
      <x:c r="F797" s="9"/>
      <x:c r="G797" s="9"/>
      <x:c r="H797" s="9"/>
      <x:c r="I797" s="13"/>
      <x:c r="J797" s="15"/>
      <x:c r="K797" s="15"/>
      <x:c r="L797" s="17" t="str">
        <x:f>IF(B797="","",IF(NOT(AND(ISNUMBER(J797),ISNUMBER(K797))),"",SUM(J797:K797)))</x:f>
      </x:c>
      <x:c r="M797" s="15"/>
      <x:c r="N797" s="17" t="str">
        <x:f>IF(OR(B797="",D797&lt;&gt;"pagada",NOT(ISNUMBER(J797)),NOT(ISNUMBER(M797))),"",J797-M797)</x:f>
      </x:c>
      <x:c r="O797" s="9"/>
      <x:c r="P797" s="9"/>
      <x:c r="Q797" s="1" t="str">
        <x:f>IF(B797="","",IF(COUNTIFS($B$7:$B$1006,B797,$C$7:$C$1006,C797)&gt;1,"ID duplicado",IF(OR(A797="",C797="",D797="",E797="",F797="",I797="",J797="",K797="",O797=""),"Completar datos",IF(NOT(ISNUMBER(M797)),"Falta costo histórico","Revisar soporte"))))</x:f>
      </x:c>
      <x:c r="R797" s="9" t="n">
        <x:f>IF(B797="",0,IF(AND(D797="pagada",NOT(ISNUMBER(M797))),1,0))</x:f>
        <x:v>0</x:v>
      </x:c>
    </x:row>
    <x:row r="798" ht="22" customHeight="1">
      <x:c r="A798" s="11"/>
      <x:c r="B798" s="9"/>
      <x:c r="C798" s="9"/>
      <x:c r="D798" s="9"/>
      <x:c r="E798" s="9"/>
      <x:c r="F798" s="9"/>
      <x:c r="G798" s="9"/>
      <x:c r="H798" s="9"/>
      <x:c r="I798" s="13"/>
      <x:c r="J798" s="15"/>
      <x:c r="K798" s="15"/>
      <x:c r="L798" s="17" t="str">
        <x:f>IF(B798="","",IF(NOT(AND(ISNUMBER(J798),ISNUMBER(K798))),"",SUM(J798:K798)))</x:f>
      </x:c>
      <x:c r="M798" s="15"/>
      <x:c r="N798" s="17" t="str">
        <x:f>IF(OR(B798="",D798&lt;&gt;"pagada",NOT(ISNUMBER(J798)),NOT(ISNUMBER(M798))),"",J798-M798)</x:f>
      </x:c>
      <x:c r="O798" s="9"/>
      <x:c r="P798" s="9"/>
      <x:c r="Q798" s="1" t="str">
        <x:f>IF(B798="","",IF(COUNTIFS($B$7:$B$1006,B798,$C$7:$C$1006,C798)&gt;1,"ID duplicado",IF(OR(A798="",C798="",D798="",E798="",F798="",I798="",J798="",K798="",O798=""),"Completar datos",IF(NOT(ISNUMBER(M798)),"Falta costo histórico","Revisar soporte"))))</x:f>
      </x:c>
      <x:c r="R798" s="9" t="n">
        <x:f>IF(B798="",0,IF(AND(D798="pagada",NOT(ISNUMBER(M798))),1,0))</x:f>
        <x:v>0</x:v>
      </x:c>
    </x:row>
    <x:row r="799" ht="22" customHeight="1">
      <x:c r="A799" s="11"/>
      <x:c r="B799" s="9"/>
      <x:c r="C799" s="9"/>
      <x:c r="D799" s="9"/>
      <x:c r="E799" s="9"/>
      <x:c r="F799" s="9"/>
      <x:c r="G799" s="9"/>
      <x:c r="H799" s="9"/>
      <x:c r="I799" s="13"/>
      <x:c r="J799" s="15"/>
      <x:c r="K799" s="15"/>
      <x:c r="L799" s="17" t="str">
        <x:f>IF(B799="","",IF(NOT(AND(ISNUMBER(J799),ISNUMBER(K799))),"",SUM(J799:K799)))</x:f>
      </x:c>
      <x:c r="M799" s="15"/>
      <x:c r="N799" s="17" t="str">
        <x:f>IF(OR(B799="",D799&lt;&gt;"pagada",NOT(ISNUMBER(J799)),NOT(ISNUMBER(M799))),"",J799-M799)</x:f>
      </x:c>
      <x:c r="O799" s="9"/>
      <x:c r="P799" s="9"/>
      <x:c r="Q799" s="1" t="str">
        <x:f>IF(B799="","",IF(COUNTIFS($B$7:$B$1006,B799,$C$7:$C$1006,C799)&gt;1,"ID duplicado",IF(OR(A799="",C799="",D799="",E799="",F799="",I799="",J799="",K799="",O799=""),"Completar datos",IF(NOT(ISNUMBER(M799)),"Falta costo histórico","Revisar soporte"))))</x:f>
      </x:c>
      <x:c r="R799" s="9" t="n">
        <x:f>IF(B799="",0,IF(AND(D799="pagada",NOT(ISNUMBER(M799))),1,0))</x:f>
        <x:v>0</x:v>
      </x:c>
    </x:row>
    <x:row r="800" ht="22" customHeight="1">
      <x:c r="A800" s="11"/>
      <x:c r="B800" s="9"/>
      <x:c r="C800" s="9"/>
      <x:c r="D800" s="9"/>
      <x:c r="E800" s="9"/>
      <x:c r="F800" s="9"/>
      <x:c r="G800" s="9"/>
      <x:c r="H800" s="9"/>
      <x:c r="I800" s="13"/>
      <x:c r="J800" s="15"/>
      <x:c r="K800" s="15"/>
      <x:c r="L800" s="17" t="str">
        <x:f>IF(B800="","",IF(NOT(AND(ISNUMBER(J800),ISNUMBER(K800))),"",SUM(J800:K800)))</x:f>
      </x:c>
      <x:c r="M800" s="15"/>
      <x:c r="N800" s="17" t="str">
        <x:f>IF(OR(B800="",D800&lt;&gt;"pagada",NOT(ISNUMBER(J800)),NOT(ISNUMBER(M800))),"",J800-M800)</x:f>
      </x:c>
      <x:c r="O800" s="9"/>
      <x:c r="P800" s="9"/>
      <x:c r="Q800" s="1" t="str">
        <x:f>IF(B800="","",IF(COUNTIFS($B$7:$B$1006,B800,$C$7:$C$1006,C800)&gt;1,"ID duplicado",IF(OR(A800="",C800="",D800="",E800="",F800="",I800="",J800="",K800="",O800=""),"Completar datos",IF(NOT(ISNUMBER(M800)),"Falta costo histórico","Revisar soporte"))))</x:f>
      </x:c>
      <x:c r="R800" s="9" t="n">
        <x:f>IF(B800="",0,IF(AND(D800="pagada",NOT(ISNUMBER(M800))),1,0))</x:f>
        <x:v>0</x:v>
      </x:c>
    </x:row>
    <x:row r="801" ht="22" customHeight="1">
      <x:c r="A801" s="11"/>
      <x:c r="B801" s="9"/>
      <x:c r="C801" s="9"/>
      <x:c r="D801" s="9"/>
      <x:c r="E801" s="9"/>
      <x:c r="F801" s="9"/>
      <x:c r="G801" s="9"/>
      <x:c r="H801" s="9"/>
      <x:c r="I801" s="13"/>
      <x:c r="J801" s="15"/>
      <x:c r="K801" s="15"/>
      <x:c r="L801" s="17" t="str">
        <x:f>IF(B801="","",IF(NOT(AND(ISNUMBER(J801),ISNUMBER(K801))),"",SUM(J801:K801)))</x:f>
      </x:c>
      <x:c r="M801" s="15"/>
      <x:c r="N801" s="17" t="str">
        <x:f>IF(OR(B801="",D801&lt;&gt;"pagada",NOT(ISNUMBER(J801)),NOT(ISNUMBER(M801))),"",J801-M801)</x:f>
      </x:c>
      <x:c r="O801" s="9"/>
      <x:c r="P801" s="9"/>
      <x:c r="Q801" s="1" t="str">
        <x:f>IF(B801="","",IF(COUNTIFS($B$7:$B$1006,B801,$C$7:$C$1006,C801)&gt;1,"ID duplicado",IF(OR(A801="",C801="",D801="",E801="",F801="",I801="",J801="",K801="",O801=""),"Completar datos",IF(NOT(ISNUMBER(M801)),"Falta costo histórico","Revisar soporte"))))</x:f>
      </x:c>
      <x:c r="R801" s="9" t="n">
        <x:f>IF(B801="",0,IF(AND(D801="pagada",NOT(ISNUMBER(M801))),1,0))</x:f>
        <x:v>0</x:v>
      </x:c>
    </x:row>
    <x:row r="802" ht="22" customHeight="1">
      <x:c r="A802" s="11"/>
      <x:c r="B802" s="9"/>
      <x:c r="C802" s="9"/>
      <x:c r="D802" s="9"/>
      <x:c r="E802" s="9"/>
      <x:c r="F802" s="9"/>
      <x:c r="G802" s="9"/>
      <x:c r="H802" s="9"/>
      <x:c r="I802" s="13"/>
      <x:c r="J802" s="15"/>
      <x:c r="K802" s="15"/>
      <x:c r="L802" s="17" t="str">
        <x:f>IF(B802="","",IF(NOT(AND(ISNUMBER(J802),ISNUMBER(K802))),"",SUM(J802:K802)))</x:f>
      </x:c>
      <x:c r="M802" s="15"/>
      <x:c r="N802" s="17" t="str">
        <x:f>IF(OR(B802="",D802&lt;&gt;"pagada",NOT(ISNUMBER(J802)),NOT(ISNUMBER(M802))),"",J802-M802)</x:f>
      </x:c>
      <x:c r="O802" s="9"/>
      <x:c r="P802" s="9"/>
      <x:c r="Q802" s="1" t="str">
        <x:f>IF(B802="","",IF(COUNTIFS($B$7:$B$1006,B802,$C$7:$C$1006,C802)&gt;1,"ID duplicado",IF(OR(A802="",C802="",D802="",E802="",F802="",I802="",J802="",K802="",O802=""),"Completar datos",IF(NOT(ISNUMBER(M802)),"Falta costo histórico","Revisar soporte"))))</x:f>
      </x:c>
      <x:c r="R802" s="9" t="n">
        <x:f>IF(B802="",0,IF(AND(D802="pagada",NOT(ISNUMBER(M802))),1,0))</x:f>
        <x:v>0</x:v>
      </x:c>
    </x:row>
    <x:row r="803" ht="22" customHeight="1">
      <x:c r="A803" s="11"/>
      <x:c r="B803" s="9"/>
      <x:c r="C803" s="9"/>
      <x:c r="D803" s="9"/>
      <x:c r="E803" s="9"/>
      <x:c r="F803" s="9"/>
      <x:c r="G803" s="9"/>
      <x:c r="H803" s="9"/>
      <x:c r="I803" s="13"/>
      <x:c r="J803" s="15"/>
      <x:c r="K803" s="15"/>
      <x:c r="L803" s="17" t="str">
        <x:f>IF(B803="","",IF(NOT(AND(ISNUMBER(J803),ISNUMBER(K803))),"",SUM(J803:K803)))</x:f>
      </x:c>
      <x:c r="M803" s="15"/>
      <x:c r="N803" s="17" t="str">
        <x:f>IF(OR(B803="",D803&lt;&gt;"pagada",NOT(ISNUMBER(J803)),NOT(ISNUMBER(M803))),"",J803-M803)</x:f>
      </x:c>
      <x:c r="O803" s="9"/>
      <x:c r="P803" s="9"/>
      <x:c r="Q803" s="1" t="str">
        <x:f>IF(B803="","",IF(COUNTIFS($B$7:$B$1006,B803,$C$7:$C$1006,C803)&gt;1,"ID duplicado",IF(OR(A803="",C803="",D803="",E803="",F803="",I803="",J803="",K803="",O803=""),"Completar datos",IF(NOT(ISNUMBER(M803)),"Falta costo histórico","Revisar soporte"))))</x:f>
      </x:c>
      <x:c r="R803" s="9" t="n">
        <x:f>IF(B803="",0,IF(AND(D803="pagada",NOT(ISNUMBER(M803))),1,0))</x:f>
        <x:v>0</x:v>
      </x:c>
    </x:row>
    <x:row r="804" ht="22" customHeight="1">
      <x:c r="A804" s="11"/>
      <x:c r="B804" s="9"/>
      <x:c r="C804" s="9"/>
      <x:c r="D804" s="9"/>
      <x:c r="E804" s="9"/>
      <x:c r="F804" s="9"/>
      <x:c r="G804" s="9"/>
      <x:c r="H804" s="9"/>
      <x:c r="I804" s="13"/>
      <x:c r="J804" s="15"/>
      <x:c r="K804" s="15"/>
      <x:c r="L804" s="17" t="str">
        <x:f>IF(B804="","",IF(NOT(AND(ISNUMBER(J804),ISNUMBER(K804))),"",SUM(J804:K804)))</x:f>
      </x:c>
      <x:c r="M804" s="15"/>
      <x:c r="N804" s="17" t="str">
        <x:f>IF(OR(B804="",D804&lt;&gt;"pagada",NOT(ISNUMBER(J804)),NOT(ISNUMBER(M804))),"",J804-M804)</x:f>
      </x:c>
      <x:c r="O804" s="9"/>
      <x:c r="P804" s="9"/>
      <x:c r="Q804" s="1" t="str">
        <x:f>IF(B804="","",IF(COUNTIFS($B$7:$B$1006,B804,$C$7:$C$1006,C804)&gt;1,"ID duplicado",IF(OR(A804="",C804="",D804="",E804="",F804="",I804="",J804="",K804="",O804=""),"Completar datos",IF(NOT(ISNUMBER(M804)),"Falta costo histórico","Revisar soporte"))))</x:f>
      </x:c>
      <x:c r="R804" s="9" t="n">
        <x:f>IF(B804="",0,IF(AND(D804="pagada",NOT(ISNUMBER(M804))),1,0))</x:f>
        <x:v>0</x:v>
      </x:c>
    </x:row>
    <x:row r="805" ht="22" customHeight="1">
      <x:c r="A805" s="11"/>
      <x:c r="B805" s="9"/>
      <x:c r="C805" s="9"/>
      <x:c r="D805" s="9"/>
      <x:c r="E805" s="9"/>
      <x:c r="F805" s="9"/>
      <x:c r="G805" s="9"/>
      <x:c r="H805" s="9"/>
      <x:c r="I805" s="13"/>
      <x:c r="J805" s="15"/>
      <x:c r="K805" s="15"/>
      <x:c r="L805" s="17" t="str">
        <x:f>IF(B805="","",IF(NOT(AND(ISNUMBER(J805),ISNUMBER(K805))),"",SUM(J805:K805)))</x:f>
      </x:c>
      <x:c r="M805" s="15"/>
      <x:c r="N805" s="17" t="str">
        <x:f>IF(OR(B805="",D805&lt;&gt;"pagada",NOT(ISNUMBER(J805)),NOT(ISNUMBER(M805))),"",J805-M805)</x:f>
      </x:c>
      <x:c r="O805" s="9"/>
      <x:c r="P805" s="9"/>
      <x:c r="Q805" s="1" t="str">
        <x:f>IF(B805="","",IF(COUNTIFS($B$7:$B$1006,B805,$C$7:$C$1006,C805)&gt;1,"ID duplicado",IF(OR(A805="",C805="",D805="",E805="",F805="",I805="",J805="",K805="",O805=""),"Completar datos",IF(NOT(ISNUMBER(M805)),"Falta costo histórico","Revisar soporte"))))</x:f>
      </x:c>
      <x:c r="R805" s="9" t="n">
        <x:f>IF(B805="",0,IF(AND(D805="pagada",NOT(ISNUMBER(M805))),1,0))</x:f>
        <x:v>0</x:v>
      </x:c>
    </x:row>
    <x:row r="806" ht="22" customHeight="1">
      <x:c r="A806" s="11"/>
      <x:c r="B806" s="9"/>
      <x:c r="C806" s="9"/>
      <x:c r="D806" s="9"/>
      <x:c r="E806" s="9"/>
      <x:c r="F806" s="9"/>
      <x:c r="G806" s="9"/>
      <x:c r="H806" s="9"/>
      <x:c r="I806" s="13"/>
      <x:c r="J806" s="15"/>
      <x:c r="K806" s="15"/>
      <x:c r="L806" s="17" t="str">
        <x:f>IF(B806="","",IF(NOT(AND(ISNUMBER(J806),ISNUMBER(K806))),"",SUM(J806:K806)))</x:f>
      </x:c>
      <x:c r="M806" s="15"/>
      <x:c r="N806" s="17" t="str">
        <x:f>IF(OR(B806="",D806&lt;&gt;"pagada",NOT(ISNUMBER(J806)),NOT(ISNUMBER(M806))),"",J806-M806)</x:f>
      </x:c>
      <x:c r="O806" s="9"/>
      <x:c r="P806" s="9"/>
      <x:c r="Q806" s="1" t="str">
        <x:f>IF(B806="","",IF(COUNTIFS($B$7:$B$1006,B806,$C$7:$C$1006,C806)&gt;1,"ID duplicado",IF(OR(A806="",C806="",D806="",E806="",F806="",I806="",J806="",K806="",O806=""),"Completar datos",IF(NOT(ISNUMBER(M806)),"Falta costo histórico","Revisar soporte"))))</x:f>
      </x:c>
      <x:c r="R806" s="9" t="n">
        <x:f>IF(B806="",0,IF(AND(D806="pagada",NOT(ISNUMBER(M806))),1,0))</x:f>
        <x:v>0</x:v>
      </x:c>
    </x:row>
    <x:row r="807" ht="22" customHeight="1">
      <x:c r="A807" s="11"/>
      <x:c r="B807" s="9"/>
      <x:c r="C807" s="9"/>
      <x:c r="D807" s="9"/>
      <x:c r="E807" s="9"/>
      <x:c r="F807" s="9"/>
      <x:c r="G807" s="9"/>
      <x:c r="H807" s="9"/>
      <x:c r="I807" s="13"/>
      <x:c r="J807" s="15"/>
      <x:c r="K807" s="15"/>
      <x:c r="L807" s="17" t="str">
        <x:f>IF(B807="","",IF(NOT(AND(ISNUMBER(J807),ISNUMBER(K807))),"",SUM(J807:K807)))</x:f>
      </x:c>
      <x:c r="M807" s="15"/>
      <x:c r="N807" s="17" t="str">
        <x:f>IF(OR(B807="",D807&lt;&gt;"pagada",NOT(ISNUMBER(J807)),NOT(ISNUMBER(M807))),"",J807-M807)</x:f>
      </x:c>
      <x:c r="O807" s="9"/>
      <x:c r="P807" s="9"/>
      <x:c r="Q807" s="1" t="str">
        <x:f>IF(B807="","",IF(COUNTIFS($B$7:$B$1006,B807,$C$7:$C$1006,C807)&gt;1,"ID duplicado",IF(OR(A807="",C807="",D807="",E807="",F807="",I807="",J807="",K807="",O807=""),"Completar datos",IF(NOT(ISNUMBER(M807)),"Falta costo histórico","Revisar soporte"))))</x:f>
      </x:c>
      <x:c r="R807" s="9" t="n">
        <x:f>IF(B807="",0,IF(AND(D807="pagada",NOT(ISNUMBER(M807))),1,0))</x:f>
        <x:v>0</x:v>
      </x:c>
    </x:row>
    <x:row r="808" ht="22" customHeight="1">
      <x:c r="A808" s="11"/>
      <x:c r="B808" s="9"/>
      <x:c r="C808" s="9"/>
      <x:c r="D808" s="9"/>
      <x:c r="E808" s="9"/>
      <x:c r="F808" s="9"/>
      <x:c r="G808" s="9"/>
      <x:c r="H808" s="9"/>
      <x:c r="I808" s="13"/>
      <x:c r="J808" s="15"/>
      <x:c r="K808" s="15"/>
      <x:c r="L808" s="17" t="str">
        <x:f>IF(B808="","",IF(NOT(AND(ISNUMBER(J808),ISNUMBER(K808))),"",SUM(J808:K808)))</x:f>
      </x:c>
      <x:c r="M808" s="15"/>
      <x:c r="N808" s="17" t="str">
        <x:f>IF(OR(B808="",D808&lt;&gt;"pagada",NOT(ISNUMBER(J808)),NOT(ISNUMBER(M808))),"",J808-M808)</x:f>
      </x:c>
      <x:c r="O808" s="9"/>
      <x:c r="P808" s="9"/>
      <x:c r="Q808" s="1" t="str">
        <x:f>IF(B808="","",IF(COUNTIFS($B$7:$B$1006,B808,$C$7:$C$1006,C808)&gt;1,"ID duplicado",IF(OR(A808="",C808="",D808="",E808="",F808="",I808="",J808="",K808="",O808=""),"Completar datos",IF(NOT(ISNUMBER(M808)),"Falta costo histórico","Revisar soporte"))))</x:f>
      </x:c>
      <x:c r="R808" s="9" t="n">
        <x:f>IF(B808="",0,IF(AND(D808="pagada",NOT(ISNUMBER(M808))),1,0))</x:f>
        <x:v>0</x:v>
      </x:c>
    </x:row>
    <x:row r="809" ht="22" customHeight="1">
      <x:c r="A809" s="11"/>
      <x:c r="B809" s="9"/>
      <x:c r="C809" s="9"/>
      <x:c r="D809" s="9"/>
      <x:c r="E809" s="9"/>
      <x:c r="F809" s="9"/>
      <x:c r="G809" s="9"/>
      <x:c r="H809" s="9"/>
      <x:c r="I809" s="13"/>
      <x:c r="J809" s="15"/>
      <x:c r="K809" s="15"/>
      <x:c r="L809" s="17" t="str">
        <x:f>IF(B809="","",IF(NOT(AND(ISNUMBER(J809),ISNUMBER(K809))),"",SUM(J809:K809)))</x:f>
      </x:c>
      <x:c r="M809" s="15"/>
      <x:c r="N809" s="17" t="str">
        <x:f>IF(OR(B809="",D809&lt;&gt;"pagada",NOT(ISNUMBER(J809)),NOT(ISNUMBER(M809))),"",J809-M809)</x:f>
      </x:c>
      <x:c r="O809" s="9"/>
      <x:c r="P809" s="9"/>
      <x:c r="Q809" s="1" t="str">
        <x:f>IF(B809="","",IF(COUNTIFS($B$7:$B$1006,B809,$C$7:$C$1006,C809)&gt;1,"ID duplicado",IF(OR(A809="",C809="",D809="",E809="",F809="",I809="",J809="",K809="",O809=""),"Completar datos",IF(NOT(ISNUMBER(M809)),"Falta costo histórico","Revisar soporte"))))</x:f>
      </x:c>
      <x:c r="R809" s="9" t="n">
        <x:f>IF(B809="",0,IF(AND(D809="pagada",NOT(ISNUMBER(M809))),1,0))</x:f>
        <x:v>0</x:v>
      </x:c>
    </x:row>
    <x:row r="810" ht="22" customHeight="1">
      <x:c r="A810" s="11"/>
      <x:c r="B810" s="9"/>
      <x:c r="C810" s="9"/>
      <x:c r="D810" s="9"/>
      <x:c r="E810" s="9"/>
      <x:c r="F810" s="9"/>
      <x:c r="G810" s="9"/>
      <x:c r="H810" s="9"/>
      <x:c r="I810" s="13"/>
      <x:c r="J810" s="15"/>
      <x:c r="K810" s="15"/>
      <x:c r="L810" s="17" t="str">
        <x:f>IF(B810="","",IF(NOT(AND(ISNUMBER(J810),ISNUMBER(K810))),"",SUM(J810:K810)))</x:f>
      </x:c>
      <x:c r="M810" s="15"/>
      <x:c r="N810" s="17" t="str">
        <x:f>IF(OR(B810="",D810&lt;&gt;"pagada",NOT(ISNUMBER(J810)),NOT(ISNUMBER(M810))),"",J810-M810)</x:f>
      </x:c>
      <x:c r="O810" s="9"/>
      <x:c r="P810" s="9"/>
      <x:c r="Q810" s="1" t="str">
        <x:f>IF(B810="","",IF(COUNTIFS($B$7:$B$1006,B810,$C$7:$C$1006,C810)&gt;1,"ID duplicado",IF(OR(A810="",C810="",D810="",E810="",F810="",I810="",J810="",K810="",O810=""),"Completar datos",IF(NOT(ISNUMBER(M810)),"Falta costo histórico","Revisar soporte"))))</x:f>
      </x:c>
      <x:c r="R810" s="9" t="n">
        <x:f>IF(B810="",0,IF(AND(D810="pagada",NOT(ISNUMBER(M810))),1,0))</x:f>
        <x:v>0</x:v>
      </x:c>
    </x:row>
    <x:row r="811" ht="22" customHeight="1">
      <x:c r="A811" s="11"/>
      <x:c r="B811" s="9"/>
      <x:c r="C811" s="9"/>
      <x:c r="D811" s="9"/>
      <x:c r="E811" s="9"/>
      <x:c r="F811" s="9"/>
      <x:c r="G811" s="9"/>
      <x:c r="H811" s="9"/>
      <x:c r="I811" s="13"/>
      <x:c r="J811" s="15"/>
      <x:c r="K811" s="15"/>
      <x:c r="L811" s="17" t="str">
        <x:f>IF(B811="","",IF(NOT(AND(ISNUMBER(J811),ISNUMBER(K811))),"",SUM(J811:K811)))</x:f>
      </x:c>
      <x:c r="M811" s="15"/>
      <x:c r="N811" s="17" t="str">
        <x:f>IF(OR(B811="",D811&lt;&gt;"pagada",NOT(ISNUMBER(J811)),NOT(ISNUMBER(M811))),"",J811-M811)</x:f>
      </x:c>
      <x:c r="O811" s="9"/>
      <x:c r="P811" s="9"/>
      <x:c r="Q811" s="1" t="str">
        <x:f>IF(B811="","",IF(COUNTIFS($B$7:$B$1006,B811,$C$7:$C$1006,C811)&gt;1,"ID duplicado",IF(OR(A811="",C811="",D811="",E811="",F811="",I811="",J811="",K811="",O811=""),"Completar datos",IF(NOT(ISNUMBER(M811)),"Falta costo histórico","Revisar soporte"))))</x:f>
      </x:c>
      <x:c r="R811" s="9" t="n">
        <x:f>IF(B811="",0,IF(AND(D811="pagada",NOT(ISNUMBER(M811))),1,0))</x:f>
        <x:v>0</x:v>
      </x:c>
    </x:row>
    <x:row r="812" ht="22" customHeight="1">
      <x:c r="A812" s="11"/>
      <x:c r="B812" s="9"/>
      <x:c r="C812" s="9"/>
      <x:c r="D812" s="9"/>
      <x:c r="E812" s="9"/>
      <x:c r="F812" s="9"/>
      <x:c r="G812" s="9"/>
      <x:c r="H812" s="9"/>
      <x:c r="I812" s="13"/>
      <x:c r="J812" s="15"/>
      <x:c r="K812" s="15"/>
      <x:c r="L812" s="17" t="str">
        <x:f>IF(B812="","",IF(NOT(AND(ISNUMBER(J812),ISNUMBER(K812))),"",SUM(J812:K812)))</x:f>
      </x:c>
      <x:c r="M812" s="15"/>
      <x:c r="N812" s="17" t="str">
        <x:f>IF(OR(B812="",D812&lt;&gt;"pagada",NOT(ISNUMBER(J812)),NOT(ISNUMBER(M812))),"",J812-M812)</x:f>
      </x:c>
      <x:c r="O812" s="9"/>
      <x:c r="P812" s="9"/>
      <x:c r="Q812" s="1" t="str">
        <x:f>IF(B812="","",IF(COUNTIFS($B$7:$B$1006,B812,$C$7:$C$1006,C812)&gt;1,"ID duplicado",IF(OR(A812="",C812="",D812="",E812="",F812="",I812="",J812="",K812="",O812=""),"Completar datos",IF(NOT(ISNUMBER(M812)),"Falta costo histórico","Revisar soporte"))))</x:f>
      </x:c>
      <x:c r="R812" s="9" t="n">
        <x:f>IF(B812="",0,IF(AND(D812="pagada",NOT(ISNUMBER(M812))),1,0))</x:f>
        <x:v>0</x:v>
      </x:c>
    </x:row>
    <x:row r="813" ht="22" customHeight="1">
      <x:c r="A813" s="11"/>
      <x:c r="B813" s="9"/>
      <x:c r="C813" s="9"/>
      <x:c r="D813" s="9"/>
      <x:c r="E813" s="9"/>
      <x:c r="F813" s="9"/>
      <x:c r="G813" s="9"/>
      <x:c r="H813" s="9"/>
      <x:c r="I813" s="13"/>
      <x:c r="J813" s="15"/>
      <x:c r="K813" s="15"/>
      <x:c r="L813" s="17" t="str">
        <x:f>IF(B813="","",IF(NOT(AND(ISNUMBER(J813),ISNUMBER(K813))),"",SUM(J813:K813)))</x:f>
      </x:c>
      <x:c r="M813" s="15"/>
      <x:c r="N813" s="17" t="str">
        <x:f>IF(OR(B813="",D813&lt;&gt;"pagada",NOT(ISNUMBER(J813)),NOT(ISNUMBER(M813))),"",J813-M813)</x:f>
      </x:c>
      <x:c r="O813" s="9"/>
      <x:c r="P813" s="9"/>
      <x:c r="Q813" s="1" t="str">
        <x:f>IF(B813="","",IF(COUNTIFS($B$7:$B$1006,B813,$C$7:$C$1006,C813)&gt;1,"ID duplicado",IF(OR(A813="",C813="",D813="",E813="",F813="",I813="",J813="",K813="",O813=""),"Completar datos",IF(NOT(ISNUMBER(M813)),"Falta costo histórico","Revisar soporte"))))</x:f>
      </x:c>
      <x:c r="R813" s="9" t="n">
        <x:f>IF(B813="",0,IF(AND(D813="pagada",NOT(ISNUMBER(M813))),1,0))</x:f>
        <x:v>0</x:v>
      </x:c>
    </x:row>
    <x:row r="814" ht="22" customHeight="1">
      <x:c r="A814" s="11"/>
      <x:c r="B814" s="9"/>
      <x:c r="C814" s="9"/>
      <x:c r="D814" s="9"/>
      <x:c r="E814" s="9"/>
      <x:c r="F814" s="9"/>
      <x:c r="G814" s="9"/>
      <x:c r="H814" s="9"/>
      <x:c r="I814" s="13"/>
      <x:c r="J814" s="15"/>
      <x:c r="K814" s="15"/>
      <x:c r="L814" s="17" t="str">
        <x:f>IF(B814="","",IF(NOT(AND(ISNUMBER(J814),ISNUMBER(K814))),"",SUM(J814:K814)))</x:f>
      </x:c>
      <x:c r="M814" s="15"/>
      <x:c r="N814" s="17" t="str">
        <x:f>IF(OR(B814="",D814&lt;&gt;"pagada",NOT(ISNUMBER(J814)),NOT(ISNUMBER(M814))),"",J814-M814)</x:f>
      </x:c>
      <x:c r="O814" s="9"/>
      <x:c r="P814" s="9"/>
      <x:c r="Q814" s="1" t="str">
        <x:f>IF(B814="","",IF(COUNTIFS($B$7:$B$1006,B814,$C$7:$C$1006,C814)&gt;1,"ID duplicado",IF(OR(A814="",C814="",D814="",E814="",F814="",I814="",J814="",K814="",O814=""),"Completar datos",IF(NOT(ISNUMBER(M814)),"Falta costo histórico","Revisar soporte"))))</x:f>
      </x:c>
      <x:c r="R814" s="9" t="n">
        <x:f>IF(B814="",0,IF(AND(D814="pagada",NOT(ISNUMBER(M814))),1,0))</x:f>
        <x:v>0</x:v>
      </x:c>
    </x:row>
    <x:row r="815" ht="22" customHeight="1">
      <x:c r="A815" s="11"/>
      <x:c r="B815" s="9"/>
      <x:c r="C815" s="9"/>
      <x:c r="D815" s="9"/>
      <x:c r="E815" s="9"/>
      <x:c r="F815" s="9"/>
      <x:c r="G815" s="9"/>
      <x:c r="H815" s="9"/>
      <x:c r="I815" s="13"/>
      <x:c r="J815" s="15"/>
      <x:c r="K815" s="15"/>
      <x:c r="L815" s="17" t="str">
        <x:f>IF(B815="","",IF(NOT(AND(ISNUMBER(J815),ISNUMBER(K815))),"",SUM(J815:K815)))</x:f>
      </x:c>
      <x:c r="M815" s="15"/>
      <x:c r="N815" s="17" t="str">
        <x:f>IF(OR(B815="",D815&lt;&gt;"pagada",NOT(ISNUMBER(J815)),NOT(ISNUMBER(M815))),"",J815-M815)</x:f>
      </x:c>
      <x:c r="O815" s="9"/>
      <x:c r="P815" s="9"/>
      <x:c r="Q815" s="1" t="str">
        <x:f>IF(B815="","",IF(COUNTIFS($B$7:$B$1006,B815,$C$7:$C$1006,C815)&gt;1,"ID duplicado",IF(OR(A815="",C815="",D815="",E815="",F815="",I815="",J815="",K815="",O815=""),"Completar datos",IF(NOT(ISNUMBER(M815)),"Falta costo histórico","Revisar soporte"))))</x:f>
      </x:c>
      <x:c r="R815" s="9" t="n">
        <x:f>IF(B815="",0,IF(AND(D815="pagada",NOT(ISNUMBER(M815))),1,0))</x:f>
        <x:v>0</x:v>
      </x:c>
    </x:row>
    <x:row r="816" ht="22" customHeight="1">
      <x:c r="A816" s="11"/>
      <x:c r="B816" s="9"/>
      <x:c r="C816" s="9"/>
      <x:c r="D816" s="9"/>
      <x:c r="E816" s="9"/>
      <x:c r="F816" s="9"/>
      <x:c r="G816" s="9"/>
      <x:c r="H816" s="9"/>
      <x:c r="I816" s="13"/>
      <x:c r="J816" s="15"/>
      <x:c r="K816" s="15"/>
      <x:c r="L816" s="17" t="str">
        <x:f>IF(B816="","",IF(NOT(AND(ISNUMBER(J816),ISNUMBER(K816))),"",SUM(J816:K816)))</x:f>
      </x:c>
      <x:c r="M816" s="15"/>
      <x:c r="N816" s="17" t="str">
        <x:f>IF(OR(B816="",D816&lt;&gt;"pagada",NOT(ISNUMBER(J816)),NOT(ISNUMBER(M816))),"",J816-M816)</x:f>
      </x:c>
      <x:c r="O816" s="9"/>
      <x:c r="P816" s="9"/>
      <x:c r="Q816" s="1" t="str">
        <x:f>IF(B816="","",IF(COUNTIFS($B$7:$B$1006,B816,$C$7:$C$1006,C816)&gt;1,"ID duplicado",IF(OR(A816="",C816="",D816="",E816="",F816="",I816="",J816="",K816="",O816=""),"Completar datos",IF(NOT(ISNUMBER(M816)),"Falta costo histórico","Revisar soporte"))))</x:f>
      </x:c>
      <x:c r="R816" s="9" t="n">
        <x:f>IF(B816="",0,IF(AND(D816="pagada",NOT(ISNUMBER(M816))),1,0))</x:f>
        <x:v>0</x:v>
      </x:c>
    </x:row>
    <x:row r="817" ht="22" customHeight="1">
      <x:c r="A817" s="11"/>
      <x:c r="B817" s="9"/>
      <x:c r="C817" s="9"/>
      <x:c r="D817" s="9"/>
      <x:c r="E817" s="9"/>
      <x:c r="F817" s="9"/>
      <x:c r="G817" s="9"/>
      <x:c r="H817" s="9"/>
      <x:c r="I817" s="13"/>
      <x:c r="J817" s="15"/>
      <x:c r="K817" s="15"/>
      <x:c r="L817" s="17" t="str">
        <x:f>IF(B817="","",IF(NOT(AND(ISNUMBER(J817),ISNUMBER(K817))),"",SUM(J817:K817)))</x:f>
      </x:c>
      <x:c r="M817" s="15"/>
      <x:c r="N817" s="17" t="str">
        <x:f>IF(OR(B817="",D817&lt;&gt;"pagada",NOT(ISNUMBER(J817)),NOT(ISNUMBER(M817))),"",J817-M817)</x:f>
      </x:c>
      <x:c r="O817" s="9"/>
      <x:c r="P817" s="9"/>
      <x:c r="Q817" s="1" t="str">
        <x:f>IF(B817="","",IF(COUNTIFS($B$7:$B$1006,B817,$C$7:$C$1006,C817)&gt;1,"ID duplicado",IF(OR(A817="",C817="",D817="",E817="",F817="",I817="",J817="",K817="",O817=""),"Completar datos",IF(NOT(ISNUMBER(M817)),"Falta costo histórico","Revisar soporte"))))</x:f>
      </x:c>
      <x:c r="R817" s="9" t="n">
        <x:f>IF(B817="",0,IF(AND(D817="pagada",NOT(ISNUMBER(M817))),1,0))</x:f>
        <x:v>0</x:v>
      </x:c>
    </x:row>
    <x:row r="818" ht="22" customHeight="1">
      <x:c r="A818" s="11"/>
      <x:c r="B818" s="9"/>
      <x:c r="C818" s="9"/>
      <x:c r="D818" s="9"/>
      <x:c r="E818" s="9"/>
      <x:c r="F818" s="9"/>
      <x:c r="G818" s="9"/>
      <x:c r="H818" s="9"/>
      <x:c r="I818" s="13"/>
      <x:c r="J818" s="15"/>
      <x:c r="K818" s="15"/>
      <x:c r="L818" s="17" t="str">
        <x:f>IF(B818="","",IF(NOT(AND(ISNUMBER(J818),ISNUMBER(K818))),"",SUM(J818:K818)))</x:f>
      </x:c>
      <x:c r="M818" s="15"/>
      <x:c r="N818" s="17" t="str">
        <x:f>IF(OR(B818="",D818&lt;&gt;"pagada",NOT(ISNUMBER(J818)),NOT(ISNUMBER(M818))),"",J818-M818)</x:f>
      </x:c>
      <x:c r="O818" s="9"/>
      <x:c r="P818" s="9"/>
      <x:c r="Q818" s="1" t="str">
        <x:f>IF(B818="","",IF(COUNTIFS($B$7:$B$1006,B818,$C$7:$C$1006,C818)&gt;1,"ID duplicado",IF(OR(A818="",C818="",D818="",E818="",F818="",I818="",J818="",K818="",O818=""),"Completar datos",IF(NOT(ISNUMBER(M818)),"Falta costo histórico","Revisar soporte"))))</x:f>
      </x:c>
      <x:c r="R818" s="9" t="n">
        <x:f>IF(B818="",0,IF(AND(D818="pagada",NOT(ISNUMBER(M818))),1,0))</x:f>
        <x:v>0</x:v>
      </x:c>
    </x:row>
    <x:row r="819" ht="22" customHeight="1">
      <x:c r="A819" s="11"/>
      <x:c r="B819" s="9"/>
      <x:c r="C819" s="9"/>
      <x:c r="D819" s="9"/>
      <x:c r="E819" s="9"/>
      <x:c r="F819" s="9"/>
      <x:c r="G819" s="9"/>
      <x:c r="H819" s="9"/>
      <x:c r="I819" s="13"/>
      <x:c r="J819" s="15"/>
      <x:c r="K819" s="15"/>
      <x:c r="L819" s="17" t="str">
        <x:f>IF(B819="","",IF(NOT(AND(ISNUMBER(J819),ISNUMBER(K819))),"",SUM(J819:K819)))</x:f>
      </x:c>
      <x:c r="M819" s="15"/>
      <x:c r="N819" s="17" t="str">
        <x:f>IF(OR(B819="",D819&lt;&gt;"pagada",NOT(ISNUMBER(J819)),NOT(ISNUMBER(M819))),"",J819-M819)</x:f>
      </x:c>
      <x:c r="O819" s="9"/>
      <x:c r="P819" s="9"/>
      <x:c r="Q819" s="1" t="str">
        <x:f>IF(B819="","",IF(COUNTIFS($B$7:$B$1006,B819,$C$7:$C$1006,C819)&gt;1,"ID duplicado",IF(OR(A819="",C819="",D819="",E819="",F819="",I819="",J819="",K819="",O819=""),"Completar datos",IF(NOT(ISNUMBER(M819)),"Falta costo histórico","Revisar soporte"))))</x:f>
      </x:c>
      <x:c r="R819" s="9" t="n">
        <x:f>IF(B819="",0,IF(AND(D819="pagada",NOT(ISNUMBER(M819))),1,0))</x:f>
        <x:v>0</x:v>
      </x:c>
    </x:row>
    <x:row r="820" ht="22" customHeight="1">
      <x:c r="A820" s="11"/>
      <x:c r="B820" s="9"/>
      <x:c r="C820" s="9"/>
      <x:c r="D820" s="9"/>
      <x:c r="E820" s="9"/>
      <x:c r="F820" s="9"/>
      <x:c r="G820" s="9"/>
      <x:c r="H820" s="9"/>
      <x:c r="I820" s="13"/>
      <x:c r="J820" s="15"/>
      <x:c r="K820" s="15"/>
      <x:c r="L820" s="17" t="str">
        <x:f>IF(B820="","",IF(NOT(AND(ISNUMBER(J820),ISNUMBER(K820))),"",SUM(J820:K820)))</x:f>
      </x:c>
      <x:c r="M820" s="15"/>
      <x:c r="N820" s="17" t="str">
        <x:f>IF(OR(B820="",D820&lt;&gt;"pagada",NOT(ISNUMBER(J820)),NOT(ISNUMBER(M820))),"",J820-M820)</x:f>
      </x:c>
      <x:c r="O820" s="9"/>
      <x:c r="P820" s="9"/>
      <x:c r="Q820" s="1" t="str">
        <x:f>IF(B820="","",IF(COUNTIFS($B$7:$B$1006,B820,$C$7:$C$1006,C820)&gt;1,"ID duplicado",IF(OR(A820="",C820="",D820="",E820="",F820="",I820="",J820="",K820="",O820=""),"Completar datos",IF(NOT(ISNUMBER(M820)),"Falta costo histórico","Revisar soporte"))))</x:f>
      </x:c>
      <x:c r="R820" s="9" t="n">
        <x:f>IF(B820="",0,IF(AND(D820="pagada",NOT(ISNUMBER(M820))),1,0))</x:f>
        <x:v>0</x:v>
      </x:c>
    </x:row>
    <x:row r="821" ht="22" customHeight="1">
      <x:c r="A821" s="11"/>
      <x:c r="B821" s="9"/>
      <x:c r="C821" s="9"/>
      <x:c r="D821" s="9"/>
      <x:c r="E821" s="9"/>
      <x:c r="F821" s="9"/>
      <x:c r="G821" s="9"/>
      <x:c r="H821" s="9"/>
      <x:c r="I821" s="13"/>
      <x:c r="J821" s="15"/>
      <x:c r="K821" s="15"/>
      <x:c r="L821" s="17" t="str">
        <x:f>IF(B821="","",IF(NOT(AND(ISNUMBER(J821),ISNUMBER(K821))),"",SUM(J821:K821)))</x:f>
      </x:c>
      <x:c r="M821" s="15"/>
      <x:c r="N821" s="17" t="str">
        <x:f>IF(OR(B821="",D821&lt;&gt;"pagada",NOT(ISNUMBER(J821)),NOT(ISNUMBER(M821))),"",J821-M821)</x:f>
      </x:c>
      <x:c r="O821" s="9"/>
      <x:c r="P821" s="9"/>
      <x:c r="Q821" s="1" t="str">
        <x:f>IF(B821="","",IF(COUNTIFS($B$7:$B$1006,B821,$C$7:$C$1006,C821)&gt;1,"ID duplicado",IF(OR(A821="",C821="",D821="",E821="",F821="",I821="",J821="",K821="",O821=""),"Completar datos",IF(NOT(ISNUMBER(M821)),"Falta costo histórico","Revisar soporte"))))</x:f>
      </x:c>
      <x:c r="R821" s="9" t="n">
        <x:f>IF(B821="",0,IF(AND(D821="pagada",NOT(ISNUMBER(M821))),1,0))</x:f>
        <x:v>0</x:v>
      </x:c>
    </x:row>
    <x:row r="822" ht="22" customHeight="1">
      <x:c r="A822" s="11"/>
      <x:c r="B822" s="9"/>
      <x:c r="C822" s="9"/>
      <x:c r="D822" s="9"/>
      <x:c r="E822" s="9"/>
      <x:c r="F822" s="9"/>
      <x:c r="G822" s="9"/>
      <x:c r="H822" s="9"/>
      <x:c r="I822" s="13"/>
      <x:c r="J822" s="15"/>
      <x:c r="K822" s="15"/>
      <x:c r="L822" s="17" t="str">
        <x:f>IF(B822="","",IF(NOT(AND(ISNUMBER(J822),ISNUMBER(K822))),"",SUM(J822:K822)))</x:f>
      </x:c>
      <x:c r="M822" s="15"/>
      <x:c r="N822" s="17" t="str">
        <x:f>IF(OR(B822="",D822&lt;&gt;"pagada",NOT(ISNUMBER(J822)),NOT(ISNUMBER(M822))),"",J822-M822)</x:f>
      </x:c>
      <x:c r="O822" s="9"/>
      <x:c r="P822" s="9"/>
      <x:c r="Q822" s="1" t="str">
        <x:f>IF(B822="","",IF(COUNTIFS($B$7:$B$1006,B822,$C$7:$C$1006,C822)&gt;1,"ID duplicado",IF(OR(A822="",C822="",D822="",E822="",F822="",I822="",J822="",K822="",O822=""),"Completar datos",IF(NOT(ISNUMBER(M822)),"Falta costo histórico","Revisar soporte"))))</x:f>
      </x:c>
      <x:c r="R822" s="9" t="n">
        <x:f>IF(B822="",0,IF(AND(D822="pagada",NOT(ISNUMBER(M822))),1,0))</x:f>
        <x:v>0</x:v>
      </x:c>
    </x:row>
    <x:row r="823" ht="22" customHeight="1">
      <x:c r="A823" s="11"/>
      <x:c r="B823" s="9"/>
      <x:c r="C823" s="9"/>
      <x:c r="D823" s="9"/>
      <x:c r="E823" s="9"/>
      <x:c r="F823" s="9"/>
      <x:c r="G823" s="9"/>
      <x:c r="H823" s="9"/>
      <x:c r="I823" s="13"/>
      <x:c r="J823" s="15"/>
      <x:c r="K823" s="15"/>
      <x:c r="L823" s="17" t="str">
        <x:f>IF(B823="","",IF(NOT(AND(ISNUMBER(J823),ISNUMBER(K823))),"",SUM(J823:K823)))</x:f>
      </x:c>
      <x:c r="M823" s="15"/>
      <x:c r="N823" s="17" t="str">
        <x:f>IF(OR(B823="",D823&lt;&gt;"pagada",NOT(ISNUMBER(J823)),NOT(ISNUMBER(M823))),"",J823-M823)</x:f>
      </x:c>
      <x:c r="O823" s="9"/>
      <x:c r="P823" s="9"/>
      <x:c r="Q823" s="1" t="str">
        <x:f>IF(B823="","",IF(COUNTIFS($B$7:$B$1006,B823,$C$7:$C$1006,C823)&gt;1,"ID duplicado",IF(OR(A823="",C823="",D823="",E823="",F823="",I823="",J823="",K823="",O823=""),"Completar datos",IF(NOT(ISNUMBER(M823)),"Falta costo histórico","Revisar soporte"))))</x:f>
      </x:c>
      <x:c r="R823" s="9" t="n">
        <x:f>IF(B823="",0,IF(AND(D823="pagada",NOT(ISNUMBER(M823))),1,0))</x:f>
        <x:v>0</x:v>
      </x:c>
    </x:row>
    <x:row r="824" ht="22" customHeight="1">
      <x:c r="A824" s="11"/>
      <x:c r="B824" s="9"/>
      <x:c r="C824" s="9"/>
      <x:c r="D824" s="9"/>
      <x:c r="E824" s="9"/>
      <x:c r="F824" s="9"/>
      <x:c r="G824" s="9"/>
      <x:c r="H824" s="9"/>
      <x:c r="I824" s="13"/>
      <x:c r="J824" s="15"/>
      <x:c r="K824" s="15"/>
      <x:c r="L824" s="17" t="str">
        <x:f>IF(B824="","",IF(NOT(AND(ISNUMBER(J824),ISNUMBER(K824))),"",SUM(J824:K824)))</x:f>
      </x:c>
      <x:c r="M824" s="15"/>
      <x:c r="N824" s="17" t="str">
        <x:f>IF(OR(B824="",D824&lt;&gt;"pagada",NOT(ISNUMBER(J824)),NOT(ISNUMBER(M824))),"",J824-M824)</x:f>
      </x:c>
      <x:c r="O824" s="9"/>
      <x:c r="P824" s="9"/>
      <x:c r="Q824" s="1" t="str">
        <x:f>IF(B824="","",IF(COUNTIFS($B$7:$B$1006,B824,$C$7:$C$1006,C824)&gt;1,"ID duplicado",IF(OR(A824="",C824="",D824="",E824="",F824="",I824="",J824="",K824="",O824=""),"Completar datos",IF(NOT(ISNUMBER(M824)),"Falta costo histórico","Revisar soporte"))))</x:f>
      </x:c>
      <x:c r="R824" s="9" t="n">
        <x:f>IF(B824="",0,IF(AND(D824="pagada",NOT(ISNUMBER(M824))),1,0))</x:f>
        <x:v>0</x:v>
      </x:c>
    </x:row>
    <x:row r="825" ht="22" customHeight="1">
      <x:c r="A825" s="11"/>
      <x:c r="B825" s="9"/>
      <x:c r="C825" s="9"/>
      <x:c r="D825" s="9"/>
      <x:c r="E825" s="9"/>
      <x:c r="F825" s="9"/>
      <x:c r="G825" s="9"/>
      <x:c r="H825" s="9"/>
      <x:c r="I825" s="13"/>
      <x:c r="J825" s="15"/>
      <x:c r="K825" s="15"/>
      <x:c r="L825" s="17" t="str">
        <x:f>IF(B825="","",IF(NOT(AND(ISNUMBER(J825),ISNUMBER(K825))),"",SUM(J825:K825)))</x:f>
      </x:c>
      <x:c r="M825" s="15"/>
      <x:c r="N825" s="17" t="str">
        <x:f>IF(OR(B825="",D825&lt;&gt;"pagada",NOT(ISNUMBER(J825)),NOT(ISNUMBER(M825))),"",J825-M825)</x:f>
      </x:c>
      <x:c r="O825" s="9"/>
      <x:c r="P825" s="9"/>
      <x:c r="Q825" s="1" t="str">
        <x:f>IF(B825="","",IF(COUNTIFS($B$7:$B$1006,B825,$C$7:$C$1006,C825)&gt;1,"ID duplicado",IF(OR(A825="",C825="",D825="",E825="",F825="",I825="",J825="",K825="",O825=""),"Completar datos",IF(NOT(ISNUMBER(M825)),"Falta costo histórico","Revisar soporte"))))</x:f>
      </x:c>
      <x:c r="R825" s="9" t="n">
        <x:f>IF(B825="",0,IF(AND(D825="pagada",NOT(ISNUMBER(M825))),1,0))</x:f>
        <x:v>0</x:v>
      </x:c>
    </x:row>
    <x:row r="826" ht="22" customHeight="1">
      <x:c r="A826" s="11"/>
      <x:c r="B826" s="9"/>
      <x:c r="C826" s="9"/>
      <x:c r="D826" s="9"/>
      <x:c r="E826" s="9"/>
      <x:c r="F826" s="9"/>
      <x:c r="G826" s="9"/>
      <x:c r="H826" s="9"/>
      <x:c r="I826" s="13"/>
      <x:c r="J826" s="15"/>
      <x:c r="K826" s="15"/>
      <x:c r="L826" s="17" t="str">
        <x:f>IF(B826="","",IF(NOT(AND(ISNUMBER(J826),ISNUMBER(K826))),"",SUM(J826:K826)))</x:f>
      </x:c>
      <x:c r="M826" s="15"/>
      <x:c r="N826" s="17" t="str">
        <x:f>IF(OR(B826="",D826&lt;&gt;"pagada",NOT(ISNUMBER(J826)),NOT(ISNUMBER(M826))),"",J826-M826)</x:f>
      </x:c>
      <x:c r="O826" s="9"/>
      <x:c r="P826" s="9"/>
      <x:c r="Q826" s="1" t="str">
        <x:f>IF(B826="","",IF(COUNTIFS($B$7:$B$1006,B826,$C$7:$C$1006,C826)&gt;1,"ID duplicado",IF(OR(A826="",C826="",D826="",E826="",F826="",I826="",J826="",K826="",O826=""),"Completar datos",IF(NOT(ISNUMBER(M826)),"Falta costo histórico","Revisar soporte"))))</x:f>
      </x:c>
      <x:c r="R826" s="9" t="n">
        <x:f>IF(B826="",0,IF(AND(D826="pagada",NOT(ISNUMBER(M826))),1,0))</x:f>
        <x:v>0</x:v>
      </x:c>
    </x:row>
    <x:row r="827" ht="22" customHeight="1">
      <x:c r="A827" s="11"/>
      <x:c r="B827" s="9"/>
      <x:c r="C827" s="9"/>
      <x:c r="D827" s="9"/>
      <x:c r="E827" s="9"/>
      <x:c r="F827" s="9"/>
      <x:c r="G827" s="9"/>
      <x:c r="H827" s="9"/>
      <x:c r="I827" s="13"/>
      <x:c r="J827" s="15"/>
      <x:c r="K827" s="15"/>
      <x:c r="L827" s="17" t="str">
        <x:f>IF(B827="","",IF(NOT(AND(ISNUMBER(J827),ISNUMBER(K827))),"",SUM(J827:K827)))</x:f>
      </x:c>
      <x:c r="M827" s="15"/>
      <x:c r="N827" s="17" t="str">
        <x:f>IF(OR(B827="",D827&lt;&gt;"pagada",NOT(ISNUMBER(J827)),NOT(ISNUMBER(M827))),"",J827-M827)</x:f>
      </x:c>
      <x:c r="O827" s="9"/>
      <x:c r="P827" s="9"/>
      <x:c r="Q827" s="1" t="str">
        <x:f>IF(B827="","",IF(COUNTIFS($B$7:$B$1006,B827,$C$7:$C$1006,C827)&gt;1,"ID duplicado",IF(OR(A827="",C827="",D827="",E827="",F827="",I827="",J827="",K827="",O827=""),"Completar datos",IF(NOT(ISNUMBER(M827)),"Falta costo histórico","Revisar soporte"))))</x:f>
      </x:c>
      <x:c r="R827" s="9" t="n">
        <x:f>IF(B827="",0,IF(AND(D827="pagada",NOT(ISNUMBER(M827))),1,0))</x:f>
        <x:v>0</x:v>
      </x:c>
    </x:row>
    <x:row r="828" ht="22" customHeight="1">
      <x:c r="A828" s="11"/>
      <x:c r="B828" s="9"/>
      <x:c r="C828" s="9"/>
      <x:c r="D828" s="9"/>
      <x:c r="E828" s="9"/>
      <x:c r="F828" s="9"/>
      <x:c r="G828" s="9"/>
      <x:c r="H828" s="9"/>
      <x:c r="I828" s="13"/>
      <x:c r="J828" s="15"/>
      <x:c r="K828" s="15"/>
      <x:c r="L828" s="17" t="str">
        <x:f>IF(B828="","",IF(NOT(AND(ISNUMBER(J828),ISNUMBER(K828))),"",SUM(J828:K828)))</x:f>
      </x:c>
      <x:c r="M828" s="15"/>
      <x:c r="N828" s="17" t="str">
        <x:f>IF(OR(B828="",D828&lt;&gt;"pagada",NOT(ISNUMBER(J828)),NOT(ISNUMBER(M828))),"",J828-M828)</x:f>
      </x:c>
      <x:c r="O828" s="9"/>
      <x:c r="P828" s="9"/>
      <x:c r="Q828" s="1" t="str">
        <x:f>IF(B828="","",IF(COUNTIFS($B$7:$B$1006,B828,$C$7:$C$1006,C828)&gt;1,"ID duplicado",IF(OR(A828="",C828="",D828="",E828="",F828="",I828="",J828="",K828="",O828=""),"Completar datos",IF(NOT(ISNUMBER(M828)),"Falta costo histórico","Revisar soporte"))))</x:f>
      </x:c>
      <x:c r="R828" s="9" t="n">
        <x:f>IF(B828="",0,IF(AND(D828="pagada",NOT(ISNUMBER(M828))),1,0))</x:f>
        <x:v>0</x:v>
      </x:c>
    </x:row>
    <x:row r="829" ht="22" customHeight="1">
      <x:c r="A829" s="11"/>
      <x:c r="B829" s="9"/>
      <x:c r="C829" s="9"/>
      <x:c r="D829" s="9"/>
      <x:c r="E829" s="9"/>
      <x:c r="F829" s="9"/>
      <x:c r="G829" s="9"/>
      <x:c r="H829" s="9"/>
      <x:c r="I829" s="13"/>
      <x:c r="J829" s="15"/>
      <x:c r="K829" s="15"/>
      <x:c r="L829" s="17" t="str">
        <x:f>IF(B829="","",IF(NOT(AND(ISNUMBER(J829),ISNUMBER(K829))),"",SUM(J829:K829)))</x:f>
      </x:c>
      <x:c r="M829" s="15"/>
      <x:c r="N829" s="17" t="str">
        <x:f>IF(OR(B829="",D829&lt;&gt;"pagada",NOT(ISNUMBER(J829)),NOT(ISNUMBER(M829))),"",J829-M829)</x:f>
      </x:c>
      <x:c r="O829" s="9"/>
      <x:c r="P829" s="9"/>
      <x:c r="Q829" s="1" t="str">
        <x:f>IF(B829="","",IF(COUNTIFS($B$7:$B$1006,B829,$C$7:$C$1006,C829)&gt;1,"ID duplicado",IF(OR(A829="",C829="",D829="",E829="",F829="",I829="",J829="",K829="",O829=""),"Completar datos",IF(NOT(ISNUMBER(M829)),"Falta costo histórico","Revisar soporte"))))</x:f>
      </x:c>
      <x:c r="R829" s="9" t="n">
        <x:f>IF(B829="",0,IF(AND(D829="pagada",NOT(ISNUMBER(M829))),1,0))</x:f>
        <x:v>0</x:v>
      </x:c>
    </x:row>
    <x:row r="830" ht="22" customHeight="1">
      <x:c r="A830" s="11"/>
      <x:c r="B830" s="9"/>
      <x:c r="C830" s="9"/>
      <x:c r="D830" s="9"/>
      <x:c r="E830" s="9"/>
      <x:c r="F830" s="9"/>
      <x:c r="G830" s="9"/>
      <x:c r="H830" s="9"/>
      <x:c r="I830" s="13"/>
      <x:c r="J830" s="15"/>
      <x:c r="K830" s="15"/>
      <x:c r="L830" s="17" t="str">
        <x:f>IF(B830="","",IF(NOT(AND(ISNUMBER(J830),ISNUMBER(K830))),"",SUM(J830:K830)))</x:f>
      </x:c>
      <x:c r="M830" s="15"/>
      <x:c r="N830" s="17" t="str">
        <x:f>IF(OR(B830="",D830&lt;&gt;"pagada",NOT(ISNUMBER(J830)),NOT(ISNUMBER(M830))),"",J830-M830)</x:f>
      </x:c>
      <x:c r="O830" s="9"/>
      <x:c r="P830" s="9"/>
      <x:c r="Q830" s="1" t="str">
        <x:f>IF(B830="","",IF(COUNTIFS($B$7:$B$1006,B830,$C$7:$C$1006,C830)&gt;1,"ID duplicado",IF(OR(A830="",C830="",D830="",E830="",F830="",I830="",J830="",K830="",O830=""),"Completar datos",IF(NOT(ISNUMBER(M830)),"Falta costo histórico","Revisar soporte"))))</x:f>
      </x:c>
      <x:c r="R830" s="9" t="n">
        <x:f>IF(B830="",0,IF(AND(D830="pagada",NOT(ISNUMBER(M830))),1,0))</x:f>
        <x:v>0</x:v>
      </x:c>
    </x:row>
    <x:row r="831" ht="22" customHeight="1">
      <x:c r="A831" s="11"/>
      <x:c r="B831" s="9"/>
      <x:c r="C831" s="9"/>
      <x:c r="D831" s="9"/>
      <x:c r="E831" s="9"/>
      <x:c r="F831" s="9"/>
      <x:c r="G831" s="9"/>
      <x:c r="H831" s="9"/>
      <x:c r="I831" s="13"/>
      <x:c r="J831" s="15"/>
      <x:c r="K831" s="15"/>
      <x:c r="L831" s="17" t="str">
        <x:f>IF(B831="","",IF(NOT(AND(ISNUMBER(J831),ISNUMBER(K831))),"",SUM(J831:K831)))</x:f>
      </x:c>
      <x:c r="M831" s="15"/>
      <x:c r="N831" s="17" t="str">
        <x:f>IF(OR(B831="",D831&lt;&gt;"pagada",NOT(ISNUMBER(J831)),NOT(ISNUMBER(M831))),"",J831-M831)</x:f>
      </x:c>
      <x:c r="O831" s="9"/>
      <x:c r="P831" s="9"/>
      <x:c r="Q831" s="1" t="str">
        <x:f>IF(B831="","",IF(COUNTIFS($B$7:$B$1006,B831,$C$7:$C$1006,C831)&gt;1,"ID duplicado",IF(OR(A831="",C831="",D831="",E831="",F831="",I831="",J831="",K831="",O831=""),"Completar datos",IF(NOT(ISNUMBER(M831)),"Falta costo histórico","Revisar soporte"))))</x:f>
      </x:c>
      <x:c r="R831" s="9" t="n">
        <x:f>IF(B831="",0,IF(AND(D831="pagada",NOT(ISNUMBER(M831))),1,0))</x:f>
        <x:v>0</x:v>
      </x:c>
    </x:row>
    <x:row r="832" ht="22" customHeight="1">
      <x:c r="A832" s="11"/>
      <x:c r="B832" s="9"/>
      <x:c r="C832" s="9"/>
      <x:c r="D832" s="9"/>
      <x:c r="E832" s="9"/>
      <x:c r="F832" s="9"/>
      <x:c r="G832" s="9"/>
      <x:c r="H832" s="9"/>
      <x:c r="I832" s="13"/>
      <x:c r="J832" s="15"/>
      <x:c r="K832" s="15"/>
      <x:c r="L832" s="17" t="str">
        <x:f>IF(B832="","",IF(NOT(AND(ISNUMBER(J832),ISNUMBER(K832))),"",SUM(J832:K832)))</x:f>
      </x:c>
      <x:c r="M832" s="15"/>
      <x:c r="N832" s="17" t="str">
        <x:f>IF(OR(B832="",D832&lt;&gt;"pagada",NOT(ISNUMBER(J832)),NOT(ISNUMBER(M832))),"",J832-M832)</x:f>
      </x:c>
      <x:c r="O832" s="9"/>
      <x:c r="P832" s="9"/>
      <x:c r="Q832" s="1" t="str">
        <x:f>IF(B832="","",IF(COUNTIFS($B$7:$B$1006,B832,$C$7:$C$1006,C832)&gt;1,"ID duplicado",IF(OR(A832="",C832="",D832="",E832="",F832="",I832="",J832="",K832="",O832=""),"Completar datos",IF(NOT(ISNUMBER(M832)),"Falta costo histórico","Revisar soporte"))))</x:f>
      </x:c>
      <x:c r="R832" s="9" t="n">
        <x:f>IF(B832="",0,IF(AND(D832="pagada",NOT(ISNUMBER(M832))),1,0))</x:f>
        <x:v>0</x:v>
      </x:c>
    </x:row>
    <x:row r="833" ht="22" customHeight="1">
      <x:c r="A833" s="11"/>
      <x:c r="B833" s="9"/>
      <x:c r="C833" s="9"/>
      <x:c r="D833" s="9"/>
      <x:c r="E833" s="9"/>
      <x:c r="F833" s="9"/>
      <x:c r="G833" s="9"/>
      <x:c r="H833" s="9"/>
      <x:c r="I833" s="13"/>
      <x:c r="J833" s="15"/>
      <x:c r="K833" s="15"/>
      <x:c r="L833" s="17" t="str">
        <x:f>IF(B833="","",IF(NOT(AND(ISNUMBER(J833),ISNUMBER(K833))),"",SUM(J833:K833)))</x:f>
      </x:c>
      <x:c r="M833" s="15"/>
      <x:c r="N833" s="17" t="str">
        <x:f>IF(OR(B833="",D833&lt;&gt;"pagada",NOT(ISNUMBER(J833)),NOT(ISNUMBER(M833))),"",J833-M833)</x:f>
      </x:c>
      <x:c r="O833" s="9"/>
      <x:c r="P833" s="9"/>
      <x:c r="Q833" s="1" t="str">
        <x:f>IF(B833="","",IF(COUNTIFS($B$7:$B$1006,B833,$C$7:$C$1006,C833)&gt;1,"ID duplicado",IF(OR(A833="",C833="",D833="",E833="",F833="",I833="",J833="",K833="",O833=""),"Completar datos",IF(NOT(ISNUMBER(M833)),"Falta costo histórico","Revisar soporte"))))</x:f>
      </x:c>
      <x:c r="R833" s="9" t="n">
        <x:f>IF(B833="",0,IF(AND(D833="pagada",NOT(ISNUMBER(M833))),1,0))</x:f>
        <x:v>0</x:v>
      </x:c>
    </x:row>
    <x:row r="834" ht="22" customHeight="1">
      <x:c r="A834" s="11"/>
      <x:c r="B834" s="9"/>
      <x:c r="C834" s="9"/>
      <x:c r="D834" s="9"/>
      <x:c r="E834" s="9"/>
      <x:c r="F834" s="9"/>
      <x:c r="G834" s="9"/>
      <x:c r="H834" s="9"/>
      <x:c r="I834" s="13"/>
      <x:c r="J834" s="15"/>
      <x:c r="K834" s="15"/>
      <x:c r="L834" s="17" t="str">
        <x:f>IF(B834="","",IF(NOT(AND(ISNUMBER(J834),ISNUMBER(K834))),"",SUM(J834:K834)))</x:f>
      </x:c>
      <x:c r="M834" s="15"/>
      <x:c r="N834" s="17" t="str">
        <x:f>IF(OR(B834="",D834&lt;&gt;"pagada",NOT(ISNUMBER(J834)),NOT(ISNUMBER(M834))),"",J834-M834)</x:f>
      </x:c>
      <x:c r="O834" s="9"/>
      <x:c r="P834" s="9"/>
      <x:c r="Q834" s="1" t="str">
        <x:f>IF(B834="","",IF(COUNTIFS($B$7:$B$1006,B834,$C$7:$C$1006,C834)&gt;1,"ID duplicado",IF(OR(A834="",C834="",D834="",E834="",F834="",I834="",J834="",K834="",O834=""),"Completar datos",IF(NOT(ISNUMBER(M834)),"Falta costo histórico","Revisar soporte"))))</x:f>
      </x:c>
      <x:c r="R834" s="9" t="n">
        <x:f>IF(B834="",0,IF(AND(D834="pagada",NOT(ISNUMBER(M834))),1,0))</x:f>
        <x:v>0</x:v>
      </x:c>
    </x:row>
    <x:row r="835" ht="22" customHeight="1">
      <x:c r="A835" s="11"/>
      <x:c r="B835" s="9"/>
      <x:c r="C835" s="9"/>
      <x:c r="D835" s="9"/>
      <x:c r="E835" s="9"/>
      <x:c r="F835" s="9"/>
      <x:c r="G835" s="9"/>
      <x:c r="H835" s="9"/>
      <x:c r="I835" s="13"/>
      <x:c r="J835" s="15"/>
      <x:c r="K835" s="15"/>
      <x:c r="L835" s="17" t="str">
        <x:f>IF(B835="","",IF(NOT(AND(ISNUMBER(J835),ISNUMBER(K835))),"",SUM(J835:K835)))</x:f>
      </x:c>
      <x:c r="M835" s="15"/>
      <x:c r="N835" s="17" t="str">
        <x:f>IF(OR(B835="",D835&lt;&gt;"pagada",NOT(ISNUMBER(J835)),NOT(ISNUMBER(M835))),"",J835-M835)</x:f>
      </x:c>
      <x:c r="O835" s="9"/>
      <x:c r="P835" s="9"/>
      <x:c r="Q835" s="1" t="str">
        <x:f>IF(B835="","",IF(COUNTIFS($B$7:$B$1006,B835,$C$7:$C$1006,C835)&gt;1,"ID duplicado",IF(OR(A835="",C835="",D835="",E835="",F835="",I835="",J835="",K835="",O835=""),"Completar datos",IF(NOT(ISNUMBER(M835)),"Falta costo histórico","Revisar soporte"))))</x:f>
      </x:c>
      <x:c r="R835" s="9" t="n">
        <x:f>IF(B835="",0,IF(AND(D835="pagada",NOT(ISNUMBER(M835))),1,0))</x:f>
        <x:v>0</x:v>
      </x:c>
    </x:row>
    <x:row r="836" ht="22" customHeight="1">
      <x:c r="A836" s="11"/>
      <x:c r="B836" s="9"/>
      <x:c r="C836" s="9"/>
      <x:c r="D836" s="9"/>
      <x:c r="E836" s="9"/>
      <x:c r="F836" s="9"/>
      <x:c r="G836" s="9"/>
      <x:c r="H836" s="9"/>
      <x:c r="I836" s="13"/>
      <x:c r="J836" s="15"/>
      <x:c r="K836" s="15"/>
      <x:c r="L836" s="17" t="str">
        <x:f>IF(B836="","",IF(NOT(AND(ISNUMBER(J836),ISNUMBER(K836))),"",SUM(J836:K836)))</x:f>
      </x:c>
      <x:c r="M836" s="15"/>
      <x:c r="N836" s="17" t="str">
        <x:f>IF(OR(B836="",D836&lt;&gt;"pagada",NOT(ISNUMBER(J836)),NOT(ISNUMBER(M836))),"",J836-M836)</x:f>
      </x:c>
      <x:c r="O836" s="9"/>
      <x:c r="P836" s="9"/>
      <x:c r="Q836" s="1" t="str">
        <x:f>IF(B836="","",IF(COUNTIFS($B$7:$B$1006,B836,$C$7:$C$1006,C836)&gt;1,"ID duplicado",IF(OR(A836="",C836="",D836="",E836="",F836="",I836="",J836="",K836="",O836=""),"Completar datos",IF(NOT(ISNUMBER(M836)),"Falta costo histórico","Revisar soporte"))))</x:f>
      </x:c>
      <x:c r="R836" s="9" t="n">
        <x:f>IF(B836="",0,IF(AND(D836="pagada",NOT(ISNUMBER(M836))),1,0))</x:f>
        <x:v>0</x:v>
      </x:c>
    </x:row>
    <x:row r="837" ht="22" customHeight="1">
      <x:c r="A837" s="11"/>
      <x:c r="B837" s="9"/>
      <x:c r="C837" s="9"/>
      <x:c r="D837" s="9"/>
      <x:c r="E837" s="9"/>
      <x:c r="F837" s="9"/>
      <x:c r="G837" s="9"/>
      <x:c r="H837" s="9"/>
      <x:c r="I837" s="13"/>
      <x:c r="J837" s="15"/>
      <x:c r="K837" s="15"/>
      <x:c r="L837" s="17" t="str">
        <x:f>IF(B837="","",IF(NOT(AND(ISNUMBER(J837),ISNUMBER(K837))),"",SUM(J837:K837)))</x:f>
      </x:c>
      <x:c r="M837" s="15"/>
      <x:c r="N837" s="17" t="str">
        <x:f>IF(OR(B837="",D837&lt;&gt;"pagada",NOT(ISNUMBER(J837)),NOT(ISNUMBER(M837))),"",J837-M837)</x:f>
      </x:c>
      <x:c r="O837" s="9"/>
      <x:c r="P837" s="9"/>
      <x:c r="Q837" s="1" t="str">
        <x:f>IF(B837="","",IF(COUNTIFS($B$7:$B$1006,B837,$C$7:$C$1006,C837)&gt;1,"ID duplicado",IF(OR(A837="",C837="",D837="",E837="",F837="",I837="",J837="",K837="",O837=""),"Completar datos",IF(NOT(ISNUMBER(M837)),"Falta costo histórico","Revisar soporte"))))</x:f>
      </x:c>
      <x:c r="R837" s="9" t="n">
        <x:f>IF(B837="",0,IF(AND(D837="pagada",NOT(ISNUMBER(M837))),1,0))</x:f>
        <x:v>0</x:v>
      </x:c>
    </x:row>
    <x:row r="838" ht="22" customHeight="1">
      <x:c r="A838" s="11"/>
      <x:c r="B838" s="9"/>
      <x:c r="C838" s="9"/>
      <x:c r="D838" s="9"/>
      <x:c r="E838" s="9"/>
      <x:c r="F838" s="9"/>
      <x:c r="G838" s="9"/>
      <x:c r="H838" s="9"/>
      <x:c r="I838" s="13"/>
      <x:c r="J838" s="15"/>
      <x:c r="K838" s="15"/>
      <x:c r="L838" s="17" t="str">
        <x:f>IF(B838="","",IF(NOT(AND(ISNUMBER(J838),ISNUMBER(K838))),"",SUM(J838:K838)))</x:f>
      </x:c>
      <x:c r="M838" s="15"/>
      <x:c r="N838" s="17" t="str">
        <x:f>IF(OR(B838="",D838&lt;&gt;"pagada",NOT(ISNUMBER(J838)),NOT(ISNUMBER(M838))),"",J838-M838)</x:f>
      </x:c>
      <x:c r="O838" s="9"/>
      <x:c r="P838" s="9"/>
      <x:c r="Q838" s="1" t="str">
        <x:f>IF(B838="","",IF(COUNTIFS($B$7:$B$1006,B838,$C$7:$C$1006,C838)&gt;1,"ID duplicado",IF(OR(A838="",C838="",D838="",E838="",F838="",I838="",J838="",K838="",O838=""),"Completar datos",IF(NOT(ISNUMBER(M838)),"Falta costo histórico","Revisar soporte"))))</x:f>
      </x:c>
      <x:c r="R838" s="9" t="n">
        <x:f>IF(B838="",0,IF(AND(D838="pagada",NOT(ISNUMBER(M838))),1,0))</x:f>
        <x:v>0</x:v>
      </x:c>
    </x:row>
    <x:row r="839" ht="22" customHeight="1">
      <x:c r="A839" s="11"/>
      <x:c r="B839" s="9"/>
      <x:c r="C839" s="9"/>
      <x:c r="D839" s="9"/>
      <x:c r="E839" s="9"/>
      <x:c r="F839" s="9"/>
      <x:c r="G839" s="9"/>
      <x:c r="H839" s="9"/>
      <x:c r="I839" s="13"/>
      <x:c r="J839" s="15"/>
      <x:c r="K839" s="15"/>
      <x:c r="L839" s="17" t="str">
        <x:f>IF(B839="","",IF(NOT(AND(ISNUMBER(J839),ISNUMBER(K839))),"",SUM(J839:K839)))</x:f>
      </x:c>
      <x:c r="M839" s="15"/>
      <x:c r="N839" s="17" t="str">
        <x:f>IF(OR(B839="",D839&lt;&gt;"pagada",NOT(ISNUMBER(J839)),NOT(ISNUMBER(M839))),"",J839-M839)</x:f>
      </x:c>
      <x:c r="O839" s="9"/>
      <x:c r="P839" s="9"/>
      <x:c r="Q839" s="1" t="str">
        <x:f>IF(B839="","",IF(COUNTIFS($B$7:$B$1006,B839,$C$7:$C$1006,C839)&gt;1,"ID duplicado",IF(OR(A839="",C839="",D839="",E839="",F839="",I839="",J839="",K839="",O839=""),"Completar datos",IF(NOT(ISNUMBER(M839)),"Falta costo histórico","Revisar soporte"))))</x:f>
      </x:c>
      <x:c r="R839" s="9" t="n">
        <x:f>IF(B839="",0,IF(AND(D839="pagada",NOT(ISNUMBER(M839))),1,0))</x:f>
        <x:v>0</x:v>
      </x:c>
    </x:row>
    <x:row r="840" ht="22" customHeight="1">
      <x:c r="A840" s="11"/>
      <x:c r="B840" s="9"/>
      <x:c r="C840" s="9"/>
      <x:c r="D840" s="9"/>
      <x:c r="E840" s="9"/>
      <x:c r="F840" s="9"/>
      <x:c r="G840" s="9"/>
      <x:c r="H840" s="9"/>
      <x:c r="I840" s="13"/>
      <x:c r="J840" s="15"/>
      <x:c r="K840" s="15"/>
      <x:c r="L840" s="17" t="str">
        <x:f>IF(B840="","",IF(NOT(AND(ISNUMBER(J840),ISNUMBER(K840))),"",SUM(J840:K840)))</x:f>
      </x:c>
      <x:c r="M840" s="15"/>
      <x:c r="N840" s="17" t="str">
        <x:f>IF(OR(B840="",D840&lt;&gt;"pagada",NOT(ISNUMBER(J840)),NOT(ISNUMBER(M840))),"",J840-M840)</x:f>
      </x:c>
      <x:c r="O840" s="9"/>
      <x:c r="P840" s="9"/>
      <x:c r="Q840" s="1" t="str">
        <x:f>IF(B840="","",IF(COUNTIFS($B$7:$B$1006,B840,$C$7:$C$1006,C840)&gt;1,"ID duplicado",IF(OR(A840="",C840="",D840="",E840="",F840="",I840="",J840="",K840="",O840=""),"Completar datos",IF(NOT(ISNUMBER(M840)),"Falta costo histórico","Revisar soporte"))))</x:f>
      </x:c>
      <x:c r="R840" s="9" t="n">
        <x:f>IF(B840="",0,IF(AND(D840="pagada",NOT(ISNUMBER(M840))),1,0))</x:f>
        <x:v>0</x:v>
      </x:c>
    </x:row>
    <x:row r="841" ht="22" customHeight="1">
      <x:c r="A841" s="11"/>
      <x:c r="B841" s="9"/>
      <x:c r="C841" s="9"/>
      <x:c r="D841" s="9"/>
      <x:c r="E841" s="9"/>
      <x:c r="F841" s="9"/>
      <x:c r="G841" s="9"/>
      <x:c r="H841" s="9"/>
      <x:c r="I841" s="13"/>
      <x:c r="J841" s="15"/>
      <x:c r="K841" s="15"/>
      <x:c r="L841" s="17" t="str">
        <x:f>IF(B841="","",IF(NOT(AND(ISNUMBER(J841),ISNUMBER(K841))),"",SUM(J841:K841)))</x:f>
      </x:c>
      <x:c r="M841" s="15"/>
      <x:c r="N841" s="17" t="str">
        <x:f>IF(OR(B841="",D841&lt;&gt;"pagada",NOT(ISNUMBER(J841)),NOT(ISNUMBER(M841))),"",J841-M841)</x:f>
      </x:c>
      <x:c r="O841" s="9"/>
      <x:c r="P841" s="9"/>
      <x:c r="Q841" s="1" t="str">
        <x:f>IF(B841="","",IF(COUNTIFS($B$7:$B$1006,B841,$C$7:$C$1006,C841)&gt;1,"ID duplicado",IF(OR(A841="",C841="",D841="",E841="",F841="",I841="",J841="",K841="",O841=""),"Completar datos",IF(NOT(ISNUMBER(M841)),"Falta costo histórico","Revisar soporte"))))</x:f>
      </x:c>
      <x:c r="R841" s="9" t="n">
        <x:f>IF(B841="",0,IF(AND(D841="pagada",NOT(ISNUMBER(M841))),1,0))</x:f>
        <x:v>0</x:v>
      </x:c>
    </x:row>
    <x:row r="842" ht="22" customHeight="1">
      <x:c r="A842" s="11"/>
      <x:c r="B842" s="9"/>
      <x:c r="C842" s="9"/>
      <x:c r="D842" s="9"/>
      <x:c r="E842" s="9"/>
      <x:c r="F842" s="9"/>
      <x:c r="G842" s="9"/>
      <x:c r="H842" s="9"/>
      <x:c r="I842" s="13"/>
      <x:c r="J842" s="15"/>
      <x:c r="K842" s="15"/>
      <x:c r="L842" s="17" t="str">
        <x:f>IF(B842="","",IF(NOT(AND(ISNUMBER(J842),ISNUMBER(K842))),"",SUM(J842:K842)))</x:f>
      </x:c>
      <x:c r="M842" s="15"/>
      <x:c r="N842" s="17" t="str">
        <x:f>IF(OR(B842="",D842&lt;&gt;"pagada",NOT(ISNUMBER(J842)),NOT(ISNUMBER(M842))),"",J842-M842)</x:f>
      </x:c>
      <x:c r="O842" s="9"/>
      <x:c r="P842" s="9"/>
      <x:c r="Q842" s="1" t="str">
        <x:f>IF(B842="","",IF(COUNTIFS($B$7:$B$1006,B842,$C$7:$C$1006,C842)&gt;1,"ID duplicado",IF(OR(A842="",C842="",D842="",E842="",F842="",I842="",J842="",K842="",O842=""),"Completar datos",IF(NOT(ISNUMBER(M842)),"Falta costo histórico","Revisar soporte"))))</x:f>
      </x:c>
      <x:c r="R842" s="9" t="n">
        <x:f>IF(B842="",0,IF(AND(D842="pagada",NOT(ISNUMBER(M842))),1,0))</x:f>
        <x:v>0</x:v>
      </x:c>
    </x:row>
    <x:row r="843" ht="22" customHeight="1">
      <x:c r="A843" s="11"/>
      <x:c r="B843" s="9"/>
      <x:c r="C843" s="9"/>
      <x:c r="D843" s="9"/>
      <x:c r="E843" s="9"/>
      <x:c r="F843" s="9"/>
      <x:c r="G843" s="9"/>
      <x:c r="H843" s="9"/>
      <x:c r="I843" s="13"/>
      <x:c r="J843" s="15"/>
      <x:c r="K843" s="15"/>
      <x:c r="L843" s="17" t="str">
        <x:f>IF(B843="","",IF(NOT(AND(ISNUMBER(J843),ISNUMBER(K843))),"",SUM(J843:K843)))</x:f>
      </x:c>
      <x:c r="M843" s="15"/>
      <x:c r="N843" s="17" t="str">
        <x:f>IF(OR(B843="",D843&lt;&gt;"pagada",NOT(ISNUMBER(J843)),NOT(ISNUMBER(M843))),"",J843-M843)</x:f>
      </x:c>
      <x:c r="O843" s="9"/>
      <x:c r="P843" s="9"/>
      <x:c r="Q843" s="1" t="str">
        <x:f>IF(B843="","",IF(COUNTIFS($B$7:$B$1006,B843,$C$7:$C$1006,C843)&gt;1,"ID duplicado",IF(OR(A843="",C843="",D843="",E843="",F843="",I843="",J843="",K843="",O843=""),"Completar datos",IF(NOT(ISNUMBER(M843)),"Falta costo histórico","Revisar soporte"))))</x:f>
      </x:c>
      <x:c r="R843" s="9" t="n">
        <x:f>IF(B843="",0,IF(AND(D843="pagada",NOT(ISNUMBER(M843))),1,0))</x:f>
        <x:v>0</x:v>
      </x:c>
    </x:row>
    <x:row r="844" ht="22" customHeight="1">
      <x:c r="A844" s="11"/>
      <x:c r="B844" s="9"/>
      <x:c r="C844" s="9"/>
      <x:c r="D844" s="9"/>
      <x:c r="E844" s="9"/>
      <x:c r="F844" s="9"/>
      <x:c r="G844" s="9"/>
      <x:c r="H844" s="9"/>
      <x:c r="I844" s="13"/>
      <x:c r="J844" s="15"/>
      <x:c r="K844" s="15"/>
      <x:c r="L844" s="17" t="str">
        <x:f>IF(B844="","",IF(NOT(AND(ISNUMBER(J844),ISNUMBER(K844))),"",SUM(J844:K844)))</x:f>
      </x:c>
      <x:c r="M844" s="15"/>
      <x:c r="N844" s="17" t="str">
        <x:f>IF(OR(B844="",D844&lt;&gt;"pagada",NOT(ISNUMBER(J844)),NOT(ISNUMBER(M844))),"",J844-M844)</x:f>
      </x:c>
      <x:c r="O844" s="9"/>
      <x:c r="P844" s="9"/>
      <x:c r="Q844" s="1" t="str">
        <x:f>IF(B844="","",IF(COUNTIFS($B$7:$B$1006,B844,$C$7:$C$1006,C844)&gt;1,"ID duplicado",IF(OR(A844="",C844="",D844="",E844="",F844="",I844="",J844="",K844="",O844=""),"Completar datos",IF(NOT(ISNUMBER(M844)),"Falta costo histórico","Revisar soporte"))))</x:f>
      </x:c>
      <x:c r="R844" s="9" t="n">
        <x:f>IF(B844="",0,IF(AND(D844="pagada",NOT(ISNUMBER(M844))),1,0))</x:f>
        <x:v>0</x:v>
      </x:c>
    </x:row>
    <x:row r="845" ht="22" customHeight="1">
      <x:c r="A845" s="11"/>
      <x:c r="B845" s="9"/>
      <x:c r="C845" s="9"/>
      <x:c r="D845" s="9"/>
      <x:c r="E845" s="9"/>
      <x:c r="F845" s="9"/>
      <x:c r="G845" s="9"/>
      <x:c r="H845" s="9"/>
      <x:c r="I845" s="13"/>
      <x:c r="J845" s="15"/>
      <x:c r="K845" s="15"/>
      <x:c r="L845" s="17" t="str">
        <x:f>IF(B845="","",IF(NOT(AND(ISNUMBER(J845),ISNUMBER(K845))),"",SUM(J845:K845)))</x:f>
      </x:c>
      <x:c r="M845" s="15"/>
      <x:c r="N845" s="17" t="str">
        <x:f>IF(OR(B845="",D845&lt;&gt;"pagada",NOT(ISNUMBER(J845)),NOT(ISNUMBER(M845))),"",J845-M845)</x:f>
      </x:c>
      <x:c r="O845" s="9"/>
      <x:c r="P845" s="9"/>
      <x:c r="Q845" s="1" t="str">
        <x:f>IF(B845="","",IF(COUNTIFS($B$7:$B$1006,B845,$C$7:$C$1006,C845)&gt;1,"ID duplicado",IF(OR(A845="",C845="",D845="",E845="",F845="",I845="",J845="",K845="",O845=""),"Completar datos",IF(NOT(ISNUMBER(M845)),"Falta costo histórico","Revisar soporte"))))</x:f>
      </x:c>
      <x:c r="R845" s="9" t="n">
        <x:f>IF(B845="",0,IF(AND(D845="pagada",NOT(ISNUMBER(M845))),1,0))</x:f>
        <x:v>0</x:v>
      </x:c>
    </x:row>
    <x:row r="846" ht="22" customHeight="1">
      <x:c r="A846" s="11"/>
      <x:c r="B846" s="9"/>
      <x:c r="C846" s="9"/>
      <x:c r="D846" s="9"/>
      <x:c r="E846" s="9"/>
      <x:c r="F846" s="9"/>
      <x:c r="G846" s="9"/>
      <x:c r="H846" s="9"/>
      <x:c r="I846" s="13"/>
      <x:c r="J846" s="15"/>
      <x:c r="K846" s="15"/>
      <x:c r="L846" s="17" t="str">
        <x:f>IF(B846="","",IF(NOT(AND(ISNUMBER(J846),ISNUMBER(K846))),"",SUM(J846:K846)))</x:f>
      </x:c>
      <x:c r="M846" s="15"/>
      <x:c r="N846" s="17" t="str">
        <x:f>IF(OR(B846="",D846&lt;&gt;"pagada",NOT(ISNUMBER(J846)),NOT(ISNUMBER(M846))),"",J846-M846)</x:f>
      </x:c>
      <x:c r="O846" s="9"/>
      <x:c r="P846" s="9"/>
      <x:c r="Q846" s="1" t="str">
        <x:f>IF(B846="","",IF(COUNTIFS($B$7:$B$1006,B846,$C$7:$C$1006,C846)&gt;1,"ID duplicado",IF(OR(A846="",C846="",D846="",E846="",F846="",I846="",J846="",K846="",O846=""),"Completar datos",IF(NOT(ISNUMBER(M846)),"Falta costo histórico","Revisar soporte"))))</x:f>
      </x:c>
      <x:c r="R846" s="9" t="n">
        <x:f>IF(B846="",0,IF(AND(D846="pagada",NOT(ISNUMBER(M846))),1,0))</x:f>
        <x:v>0</x:v>
      </x:c>
    </x:row>
    <x:row r="847" ht="22" customHeight="1">
      <x:c r="A847" s="11"/>
      <x:c r="B847" s="9"/>
      <x:c r="C847" s="9"/>
      <x:c r="D847" s="9"/>
      <x:c r="E847" s="9"/>
      <x:c r="F847" s="9"/>
      <x:c r="G847" s="9"/>
      <x:c r="H847" s="9"/>
      <x:c r="I847" s="13"/>
      <x:c r="J847" s="15"/>
      <x:c r="K847" s="15"/>
      <x:c r="L847" s="17" t="str">
        <x:f>IF(B847="","",IF(NOT(AND(ISNUMBER(J847),ISNUMBER(K847))),"",SUM(J847:K847)))</x:f>
      </x:c>
      <x:c r="M847" s="15"/>
      <x:c r="N847" s="17" t="str">
        <x:f>IF(OR(B847="",D847&lt;&gt;"pagada",NOT(ISNUMBER(J847)),NOT(ISNUMBER(M847))),"",J847-M847)</x:f>
      </x:c>
      <x:c r="O847" s="9"/>
      <x:c r="P847" s="9"/>
      <x:c r="Q847" s="1" t="str">
        <x:f>IF(B847="","",IF(COUNTIFS($B$7:$B$1006,B847,$C$7:$C$1006,C847)&gt;1,"ID duplicado",IF(OR(A847="",C847="",D847="",E847="",F847="",I847="",J847="",K847="",O847=""),"Completar datos",IF(NOT(ISNUMBER(M847)),"Falta costo histórico","Revisar soporte"))))</x:f>
      </x:c>
      <x:c r="R847" s="9" t="n">
        <x:f>IF(B847="",0,IF(AND(D847="pagada",NOT(ISNUMBER(M847))),1,0))</x:f>
        <x:v>0</x:v>
      </x:c>
    </x:row>
    <x:row r="848" ht="22" customHeight="1">
      <x:c r="A848" s="11"/>
      <x:c r="B848" s="9"/>
      <x:c r="C848" s="9"/>
      <x:c r="D848" s="9"/>
      <x:c r="E848" s="9"/>
      <x:c r="F848" s="9"/>
      <x:c r="G848" s="9"/>
      <x:c r="H848" s="9"/>
      <x:c r="I848" s="13"/>
      <x:c r="J848" s="15"/>
      <x:c r="K848" s="15"/>
      <x:c r="L848" s="17" t="str">
        <x:f>IF(B848="","",IF(NOT(AND(ISNUMBER(J848),ISNUMBER(K848))),"",SUM(J848:K848)))</x:f>
      </x:c>
      <x:c r="M848" s="15"/>
      <x:c r="N848" s="17" t="str">
        <x:f>IF(OR(B848="",D848&lt;&gt;"pagada",NOT(ISNUMBER(J848)),NOT(ISNUMBER(M848))),"",J848-M848)</x:f>
      </x:c>
      <x:c r="O848" s="9"/>
      <x:c r="P848" s="9"/>
      <x:c r="Q848" s="1" t="str">
        <x:f>IF(B848="","",IF(COUNTIFS($B$7:$B$1006,B848,$C$7:$C$1006,C848)&gt;1,"ID duplicado",IF(OR(A848="",C848="",D848="",E848="",F848="",I848="",J848="",K848="",O848=""),"Completar datos",IF(NOT(ISNUMBER(M848)),"Falta costo histórico","Revisar soporte"))))</x:f>
      </x:c>
      <x:c r="R848" s="9" t="n">
        <x:f>IF(B848="",0,IF(AND(D848="pagada",NOT(ISNUMBER(M848))),1,0))</x:f>
        <x:v>0</x:v>
      </x:c>
    </x:row>
    <x:row r="849" ht="22" customHeight="1">
      <x:c r="A849" s="11"/>
      <x:c r="B849" s="9"/>
      <x:c r="C849" s="9"/>
      <x:c r="D849" s="9"/>
      <x:c r="E849" s="9"/>
      <x:c r="F849" s="9"/>
      <x:c r="G849" s="9"/>
      <x:c r="H849" s="9"/>
      <x:c r="I849" s="13"/>
      <x:c r="J849" s="15"/>
      <x:c r="K849" s="15"/>
      <x:c r="L849" s="17" t="str">
        <x:f>IF(B849="","",IF(NOT(AND(ISNUMBER(J849),ISNUMBER(K849))),"",SUM(J849:K849)))</x:f>
      </x:c>
      <x:c r="M849" s="15"/>
      <x:c r="N849" s="17" t="str">
        <x:f>IF(OR(B849="",D849&lt;&gt;"pagada",NOT(ISNUMBER(J849)),NOT(ISNUMBER(M849))),"",J849-M849)</x:f>
      </x:c>
      <x:c r="O849" s="9"/>
      <x:c r="P849" s="9"/>
      <x:c r="Q849" s="1" t="str">
        <x:f>IF(B849="","",IF(COUNTIFS($B$7:$B$1006,B849,$C$7:$C$1006,C849)&gt;1,"ID duplicado",IF(OR(A849="",C849="",D849="",E849="",F849="",I849="",J849="",K849="",O849=""),"Completar datos",IF(NOT(ISNUMBER(M849)),"Falta costo histórico","Revisar soporte"))))</x:f>
      </x:c>
      <x:c r="R849" s="9" t="n">
        <x:f>IF(B849="",0,IF(AND(D849="pagada",NOT(ISNUMBER(M849))),1,0))</x:f>
        <x:v>0</x:v>
      </x:c>
    </x:row>
    <x:row r="850" ht="22" customHeight="1">
      <x:c r="A850" s="11"/>
      <x:c r="B850" s="9"/>
      <x:c r="C850" s="9"/>
      <x:c r="D850" s="9"/>
      <x:c r="E850" s="9"/>
      <x:c r="F850" s="9"/>
      <x:c r="G850" s="9"/>
      <x:c r="H850" s="9"/>
      <x:c r="I850" s="13"/>
      <x:c r="J850" s="15"/>
      <x:c r="K850" s="15"/>
      <x:c r="L850" s="17" t="str">
        <x:f>IF(B850="","",IF(NOT(AND(ISNUMBER(J850),ISNUMBER(K850))),"",SUM(J850:K850)))</x:f>
      </x:c>
      <x:c r="M850" s="15"/>
      <x:c r="N850" s="17" t="str">
        <x:f>IF(OR(B850="",D850&lt;&gt;"pagada",NOT(ISNUMBER(J850)),NOT(ISNUMBER(M850))),"",J850-M850)</x:f>
      </x:c>
      <x:c r="O850" s="9"/>
      <x:c r="P850" s="9"/>
      <x:c r="Q850" s="1" t="str">
        <x:f>IF(B850="","",IF(COUNTIFS($B$7:$B$1006,B850,$C$7:$C$1006,C850)&gt;1,"ID duplicado",IF(OR(A850="",C850="",D850="",E850="",F850="",I850="",J850="",K850="",O850=""),"Completar datos",IF(NOT(ISNUMBER(M850)),"Falta costo histórico","Revisar soporte"))))</x:f>
      </x:c>
      <x:c r="R850" s="9" t="n">
        <x:f>IF(B850="",0,IF(AND(D850="pagada",NOT(ISNUMBER(M850))),1,0))</x:f>
        <x:v>0</x:v>
      </x:c>
    </x:row>
    <x:row r="851" ht="22" customHeight="1">
      <x:c r="A851" s="11"/>
      <x:c r="B851" s="9"/>
      <x:c r="C851" s="9"/>
      <x:c r="D851" s="9"/>
      <x:c r="E851" s="9"/>
      <x:c r="F851" s="9"/>
      <x:c r="G851" s="9"/>
      <x:c r="H851" s="9"/>
      <x:c r="I851" s="13"/>
      <x:c r="J851" s="15"/>
      <x:c r="K851" s="15"/>
      <x:c r="L851" s="17" t="str">
        <x:f>IF(B851="","",IF(NOT(AND(ISNUMBER(J851),ISNUMBER(K851))),"",SUM(J851:K851)))</x:f>
      </x:c>
      <x:c r="M851" s="15"/>
      <x:c r="N851" s="17" t="str">
        <x:f>IF(OR(B851="",D851&lt;&gt;"pagada",NOT(ISNUMBER(J851)),NOT(ISNUMBER(M851))),"",J851-M851)</x:f>
      </x:c>
      <x:c r="O851" s="9"/>
      <x:c r="P851" s="9"/>
      <x:c r="Q851" s="1" t="str">
        <x:f>IF(B851="","",IF(COUNTIFS($B$7:$B$1006,B851,$C$7:$C$1006,C851)&gt;1,"ID duplicado",IF(OR(A851="",C851="",D851="",E851="",F851="",I851="",J851="",K851="",O851=""),"Completar datos",IF(NOT(ISNUMBER(M851)),"Falta costo histórico","Revisar soporte"))))</x:f>
      </x:c>
      <x:c r="R851" s="9" t="n">
        <x:f>IF(B851="",0,IF(AND(D851="pagada",NOT(ISNUMBER(M851))),1,0))</x:f>
        <x:v>0</x:v>
      </x:c>
    </x:row>
    <x:row r="852" ht="22" customHeight="1">
      <x:c r="A852" s="11"/>
      <x:c r="B852" s="9"/>
      <x:c r="C852" s="9"/>
      <x:c r="D852" s="9"/>
      <x:c r="E852" s="9"/>
      <x:c r="F852" s="9"/>
      <x:c r="G852" s="9"/>
      <x:c r="H852" s="9"/>
      <x:c r="I852" s="13"/>
      <x:c r="J852" s="15"/>
      <x:c r="K852" s="15"/>
      <x:c r="L852" s="17" t="str">
        <x:f>IF(B852="","",IF(NOT(AND(ISNUMBER(J852),ISNUMBER(K852))),"",SUM(J852:K852)))</x:f>
      </x:c>
      <x:c r="M852" s="15"/>
      <x:c r="N852" s="17" t="str">
        <x:f>IF(OR(B852="",D852&lt;&gt;"pagada",NOT(ISNUMBER(J852)),NOT(ISNUMBER(M852))),"",J852-M852)</x:f>
      </x:c>
      <x:c r="O852" s="9"/>
      <x:c r="P852" s="9"/>
      <x:c r="Q852" s="1" t="str">
        <x:f>IF(B852="","",IF(COUNTIFS($B$7:$B$1006,B852,$C$7:$C$1006,C852)&gt;1,"ID duplicado",IF(OR(A852="",C852="",D852="",E852="",F852="",I852="",J852="",K852="",O852=""),"Completar datos",IF(NOT(ISNUMBER(M852)),"Falta costo histórico","Revisar soporte"))))</x:f>
      </x:c>
      <x:c r="R852" s="9" t="n">
        <x:f>IF(B852="",0,IF(AND(D852="pagada",NOT(ISNUMBER(M852))),1,0))</x:f>
        <x:v>0</x:v>
      </x:c>
    </x:row>
    <x:row r="853" ht="22" customHeight="1">
      <x:c r="A853" s="11"/>
      <x:c r="B853" s="9"/>
      <x:c r="C853" s="9"/>
      <x:c r="D853" s="9"/>
      <x:c r="E853" s="9"/>
      <x:c r="F853" s="9"/>
      <x:c r="G853" s="9"/>
      <x:c r="H853" s="9"/>
      <x:c r="I853" s="13"/>
      <x:c r="J853" s="15"/>
      <x:c r="K853" s="15"/>
      <x:c r="L853" s="17" t="str">
        <x:f>IF(B853="","",IF(NOT(AND(ISNUMBER(J853),ISNUMBER(K853))),"",SUM(J853:K853)))</x:f>
      </x:c>
      <x:c r="M853" s="15"/>
      <x:c r="N853" s="17" t="str">
        <x:f>IF(OR(B853="",D853&lt;&gt;"pagada",NOT(ISNUMBER(J853)),NOT(ISNUMBER(M853))),"",J853-M853)</x:f>
      </x:c>
      <x:c r="O853" s="9"/>
      <x:c r="P853" s="9"/>
      <x:c r="Q853" s="1" t="str">
        <x:f>IF(B853="","",IF(COUNTIFS($B$7:$B$1006,B853,$C$7:$C$1006,C853)&gt;1,"ID duplicado",IF(OR(A853="",C853="",D853="",E853="",F853="",I853="",J853="",K853="",O853=""),"Completar datos",IF(NOT(ISNUMBER(M853)),"Falta costo histórico","Revisar soporte"))))</x:f>
      </x:c>
      <x:c r="R853" s="9" t="n">
        <x:f>IF(B853="",0,IF(AND(D853="pagada",NOT(ISNUMBER(M853))),1,0))</x:f>
        <x:v>0</x:v>
      </x:c>
    </x:row>
    <x:row r="854" ht="22" customHeight="1">
      <x:c r="A854" s="11"/>
      <x:c r="B854" s="9"/>
      <x:c r="C854" s="9"/>
      <x:c r="D854" s="9"/>
      <x:c r="E854" s="9"/>
      <x:c r="F854" s="9"/>
      <x:c r="G854" s="9"/>
      <x:c r="H854" s="9"/>
      <x:c r="I854" s="13"/>
      <x:c r="J854" s="15"/>
      <x:c r="K854" s="15"/>
      <x:c r="L854" s="17" t="str">
        <x:f>IF(B854="","",IF(NOT(AND(ISNUMBER(J854),ISNUMBER(K854))),"",SUM(J854:K854)))</x:f>
      </x:c>
      <x:c r="M854" s="15"/>
      <x:c r="N854" s="17" t="str">
        <x:f>IF(OR(B854="",D854&lt;&gt;"pagada",NOT(ISNUMBER(J854)),NOT(ISNUMBER(M854))),"",J854-M854)</x:f>
      </x:c>
      <x:c r="O854" s="9"/>
      <x:c r="P854" s="9"/>
      <x:c r="Q854" s="1" t="str">
        <x:f>IF(B854="","",IF(COUNTIFS($B$7:$B$1006,B854,$C$7:$C$1006,C854)&gt;1,"ID duplicado",IF(OR(A854="",C854="",D854="",E854="",F854="",I854="",J854="",K854="",O854=""),"Completar datos",IF(NOT(ISNUMBER(M854)),"Falta costo histórico","Revisar soporte"))))</x:f>
      </x:c>
      <x:c r="R854" s="9" t="n">
        <x:f>IF(B854="",0,IF(AND(D854="pagada",NOT(ISNUMBER(M854))),1,0))</x:f>
        <x:v>0</x:v>
      </x:c>
    </x:row>
    <x:row r="855" ht="22" customHeight="1">
      <x:c r="A855" s="11"/>
      <x:c r="B855" s="9"/>
      <x:c r="C855" s="9"/>
      <x:c r="D855" s="9"/>
      <x:c r="E855" s="9"/>
      <x:c r="F855" s="9"/>
      <x:c r="G855" s="9"/>
      <x:c r="H855" s="9"/>
      <x:c r="I855" s="13"/>
      <x:c r="J855" s="15"/>
      <x:c r="K855" s="15"/>
      <x:c r="L855" s="17" t="str">
        <x:f>IF(B855="","",IF(NOT(AND(ISNUMBER(J855),ISNUMBER(K855))),"",SUM(J855:K855)))</x:f>
      </x:c>
      <x:c r="M855" s="15"/>
      <x:c r="N855" s="17" t="str">
        <x:f>IF(OR(B855="",D855&lt;&gt;"pagada",NOT(ISNUMBER(J855)),NOT(ISNUMBER(M855))),"",J855-M855)</x:f>
      </x:c>
      <x:c r="O855" s="9"/>
      <x:c r="P855" s="9"/>
      <x:c r="Q855" s="1" t="str">
        <x:f>IF(B855="","",IF(COUNTIFS($B$7:$B$1006,B855,$C$7:$C$1006,C855)&gt;1,"ID duplicado",IF(OR(A855="",C855="",D855="",E855="",F855="",I855="",J855="",K855="",O855=""),"Completar datos",IF(NOT(ISNUMBER(M855)),"Falta costo histórico","Revisar soporte"))))</x:f>
      </x:c>
      <x:c r="R855" s="9" t="n">
        <x:f>IF(B855="",0,IF(AND(D855="pagada",NOT(ISNUMBER(M855))),1,0))</x:f>
        <x:v>0</x:v>
      </x:c>
    </x:row>
    <x:row r="856" ht="22" customHeight="1">
      <x:c r="A856" s="11"/>
      <x:c r="B856" s="9"/>
      <x:c r="C856" s="9"/>
      <x:c r="D856" s="9"/>
      <x:c r="E856" s="9"/>
      <x:c r="F856" s="9"/>
      <x:c r="G856" s="9"/>
      <x:c r="H856" s="9"/>
      <x:c r="I856" s="13"/>
      <x:c r="J856" s="15"/>
      <x:c r="K856" s="15"/>
      <x:c r="L856" s="17" t="str">
        <x:f>IF(B856="","",IF(NOT(AND(ISNUMBER(J856),ISNUMBER(K856))),"",SUM(J856:K856)))</x:f>
      </x:c>
      <x:c r="M856" s="15"/>
      <x:c r="N856" s="17" t="str">
        <x:f>IF(OR(B856="",D856&lt;&gt;"pagada",NOT(ISNUMBER(J856)),NOT(ISNUMBER(M856))),"",J856-M856)</x:f>
      </x:c>
      <x:c r="O856" s="9"/>
      <x:c r="P856" s="9"/>
      <x:c r="Q856" s="1" t="str">
        <x:f>IF(B856="","",IF(COUNTIFS($B$7:$B$1006,B856,$C$7:$C$1006,C856)&gt;1,"ID duplicado",IF(OR(A856="",C856="",D856="",E856="",F856="",I856="",J856="",K856="",O856=""),"Completar datos",IF(NOT(ISNUMBER(M856)),"Falta costo histórico","Revisar soporte"))))</x:f>
      </x:c>
      <x:c r="R856" s="9" t="n">
        <x:f>IF(B856="",0,IF(AND(D856="pagada",NOT(ISNUMBER(M856))),1,0))</x:f>
        <x:v>0</x:v>
      </x:c>
    </x:row>
    <x:row r="857" ht="22" customHeight="1">
      <x:c r="A857" s="11"/>
      <x:c r="B857" s="9"/>
      <x:c r="C857" s="9"/>
      <x:c r="D857" s="9"/>
      <x:c r="E857" s="9"/>
      <x:c r="F857" s="9"/>
      <x:c r="G857" s="9"/>
      <x:c r="H857" s="9"/>
      <x:c r="I857" s="13"/>
      <x:c r="J857" s="15"/>
      <x:c r="K857" s="15"/>
      <x:c r="L857" s="17" t="str">
        <x:f>IF(B857="","",IF(NOT(AND(ISNUMBER(J857),ISNUMBER(K857))),"",SUM(J857:K857)))</x:f>
      </x:c>
      <x:c r="M857" s="15"/>
      <x:c r="N857" s="17" t="str">
        <x:f>IF(OR(B857="",D857&lt;&gt;"pagada",NOT(ISNUMBER(J857)),NOT(ISNUMBER(M857))),"",J857-M857)</x:f>
      </x:c>
      <x:c r="O857" s="9"/>
      <x:c r="P857" s="9"/>
      <x:c r="Q857" s="1" t="str">
        <x:f>IF(B857="","",IF(COUNTIFS($B$7:$B$1006,B857,$C$7:$C$1006,C857)&gt;1,"ID duplicado",IF(OR(A857="",C857="",D857="",E857="",F857="",I857="",J857="",K857="",O857=""),"Completar datos",IF(NOT(ISNUMBER(M857)),"Falta costo histórico","Revisar soporte"))))</x:f>
      </x:c>
      <x:c r="R857" s="9" t="n">
        <x:f>IF(B857="",0,IF(AND(D857="pagada",NOT(ISNUMBER(M857))),1,0))</x:f>
        <x:v>0</x:v>
      </x:c>
    </x:row>
    <x:row r="858" ht="22" customHeight="1">
      <x:c r="A858" s="11"/>
      <x:c r="B858" s="9"/>
      <x:c r="C858" s="9"/>
      <x:c r="D858" s="9"/>
      <x:c r="E858" s="9"/>
      <x:c r="F858" s="9"/>
      <x:c r="G858" s="9"/>
      <x:c r="H858" s="9"/>
      <x:c r="I858" s="13"/>
      <x:c r="J858" s="15"/>
      <x:c r="K858" s="15"/>
      <x:c r="L858" s="17" t="str">
        <x:f>IF(B858="","",IF(NOT(AND(ISNUMBER(J858),ISNUMBER(K858))),"",SUM(J858:K858)))</x:f>
      </x:c>
      <x:c r="M858" s="15"/>
      <x:c r="N858" s="17" t="str">
        <x:f>IF(OR(B858="",D858&lt;&gt;"pagada",NOT(ISNUMBER(J858)),NOT(ISNUMBER(M858))),"",J858-M858)</x:f>
      </x:c>
      <x:c r="O858" s="9"/>
      <x:c r="P858" s="9"/>
      <x:c r="Q858" s="1" t="str">
        <x:f>IF(B858="","",IF(COUNTIFS($B$7:$B$1006,B858,$C$7:$C$1006,C858)&gt;1,"ID duplicado",IF(OR(A858="",C858="",D858="",E858="",F858="",I858="",J858="",K858="",O858=""),"Completar datos",IF(NOT(ISNUMBER(M858)),"Falta costo histórico","Revisar soporte"))))</x:f>
      </x:c>
      <x:c r="R858" s="9" t="n">
        <x:f>IF(B858="",0,IF(AND(D858="pagada",NOT(ISNUMBER(M858))),1,0))</x:f>
        <x:v>0</x:v>
      </x:c>
    </x:row>
    <x:row r="859" ht="22" customHeight="1">
      <x:c r="A859" s="11"/>
      <x:c r="B859" s="9"/>
      <x:c r="C859" s="9"/>
      <x:c r="D859" s="9"/>
      <x:c r="E859" s="9"/>
      <x:c r="F859" s="9"/>
      <x:c r="G859" s="9"/>
      <x:c r="H859" s="9"/>
      <x:c r="I859" s="13"/>
      <x:c r="J859" s="15"/>
      <x:c r="K859" s="15"/>
      <x:c r="L859" s="17" t="str">
        <x:f>IF(B859="","",IF(NOT(AND(ISNUMBER(J859),ISNUMBER(K859))),"",SUM(J859:K859)))</x:f>
      </x:c>
      <x:c r="M859" s="15"/>
      <x:c r="N859" s="17" t="str">
        <x:f>IF(OR(B859="",D859&lt;&gt;"pagada",NOT(ISNUMBER(J859)),NOT(ISNUMBER(M859))),"",J859-M859)</x:f>
      </x:c>
      <x:c r="O859" s="9"/>
      <x:c r="P859" s="9"/>
      <x:c r="Q859" s="1" t="str">
        <x:f>IF(B859="","",IF(COUNTIFS($B$7:$B$1006,B859,$C$7:$C$1006,C859)&gt;1,"ID duplicado",IF(OR(A859="",C859="",D859="",E859="",F859="",I859="",J859="",K859="",O859=""),"Completar datos",IF(NOT(ISNUMBER(M859)),"Falta costo histórico","Revisar soporte"))))</x:f>
      </x:c>
      <x:c r="R859" s="9" t="n">
        <x:f>IF(B859="",0,IF(AND(D859="pagada",NOT(ISNUMBER(M859))),1,0))</x:f>
        <x:v>0</x:v>
      </x:c>
    </x:row>
    <x:row r="860" ht="22" customHeight="1">
      <x:c r="A860" s="11"/>
      <x:c r="B860" s="9"/>
      <x:c r="C860" s="9"/>
      <x:c r="D860" s="9"/>
      <x:c r="E860" s="9"/>
      <x:c r="F860" s="9"/>
      <x:c r="G860" s="9"/>
      <x:c r="H860" s="9"/>
      <x:c r="I860" s="13"/>
      <x:c r="J860" s="15"/>
      <x:c r="K860" s="15"/>
      <x:c r="L860" s="17" t="str">
        <x:f>IF(B860="","",IF(NOT(AND(ISNUMBER(J860),ISNUMBER(K860))),"",SUM(J860:K860)))</x:f>
      </x:c>
      <x:c r="M860" s="15"/>
      <x:c r="N860" s="17" t="str">
        <x:f>IF(OR(B860="",D860&lt;&gt;"pagada",NOT(ISNUMBER(J860)),NOT(ISNUMBER(M860))),"",J860-M860)</x:f>
      </x:c>
      <x:c r="O860" s="9"/>
      <x:c r="P860" s="9"/>
      <x:c r="Q860" s="1" t="str">
        <x:f>IF(B860="","",IF(COUNTIFS($B$7:$B$1006,B860,$C$7:$C$1006,C860)&gt;1,"ID duplicado",IF(OR(A860="",C860="",D860="",E860="",F860="",I860="",J860="",K860="",O860=""),"Completar datos",IF(NOT(ISNUMBER(M860)),"Falta costo histórico","Revisar soporte"))))</x:f>
      </x:c>
      <x:c r="R860" s="9" t="n">
        <x:f>IF(B860="",0,IF(AND(D860="pagada",NOT(ISNUMBER(M860))),1,0))</x:f>
        <x:v>0</x:v>
      </x:c>
    </x:row>
    <x:row r="861" ht="22" customHeight="1">
      <x:c r="A861" s="11"/>
      <x:c r="B861" s="9"/>
      <x:c r="C861" s="9"/>
      <x:c r="D861" s="9"/>
      <x:c r="E861" s="9"/>
      <x:c r="F861" s="9"/>
      <x:c r="G861" s="9"/>
      <x:c r="H861" s="9"/>
      <x:c r="I861" s="13"/>
      <x:c r="J861" s="15"/>
      <x:c r="K861" s="15"/>
      <x:c r="L861" s="17" t="str">
        <x:f>IF(B861="","",IF(NOT(AND(ISNUMBER(J861),ISNUMBER(K861))),"",SUM(J861:K861)))</x:f>
      </x:c>
      <x:c r="M861" s="15"/>
      <x:c r="N861" s="17" t="str">
        <x:f>IF(OR(B861="",D861&lt;&gt;"pagada",NOT(ISNUMBER(J861)),NOT(ISNUMBER(M861))),"",J861-M861)</x:f>
      </x:c>
      <x:c r="O861" s="9"/>
      <x:c r="P861" s="9"/>
      <x:c r="Q861" s="1" t="str">
        <x:f>IF(B861="","",IF(COUNTIFS($B$7:$B$1006,B861,$C$7:$C$1006,C861)&gt;1,"ID duplicado",IF(OR(A861="",C861="",D861="",E861="",F861="",I861="",J861="",K861="",O861=""),"Completar datos",IF(NOT(ISNUMBER(M861)),"Falta costo histórico","Revisar soporte"))))</x:f>
      </x:c>
      <x:c r="R861" s="9" t="n">
        <x:f>IF(B861="",0,IF(AND(D861="pagada",NOT(ISNUMBER(M861))),1,0))</x:f>
        <x:v>0</x:v>
      </x:c>
    </x:row>
    <x:row r="862" ht="22" customHeight="1">
      <x:c r="A862" s="11"/>
      <x:c r="B862" s="9"/>
      <x:c r="C862" s="9"/>
      <x:c r="D862" s="9"/>
      <x:c r="E862" s="9"/>
      <x:c r="F862" s="9"/>
      <x:c r="G862" s="9"/>
      <x:c r="H862" s="9"/>
      <x:c r="I862" s="13"/>
      <x:c r="J862" s="15"/>
      <x:c r="K862" s="15"/>
      <x:c r="L862" s="17" t="str">
        <x:f>IF(B862="","",IF(NOT(AND(ISNUMBER(J862),ISNUMBER(K862))),"",SUM(J862:K862)))</x:f>
      </x:c>
      <x:c r="M862" s="15"/>
      <x:c r="N862" s="17" t="str">
        <x:f>IF(OR(B862="",D862&lt;&gt;"pagada",NOT(ISNUMBER(J862)),NOT(ISNUMBER(M862))),"",J862-M862)</x:f>
      </x:c>
      <x:c r="O862" s="9"/>
      <x:c r="P862" s="9"/>
      <x:c r="Q862" s="1" t="str">
        <x:f>IF(B862="","",IF(COUNTIFS($B$7:$B$1006,B862,$C$7:$C$1006,C862)&gt;1,"ID duplicado",IF(OR(A862="",C862="",D862="",E862="",F862="",I862="",J862="",K862="",O862=""),"Completar datos",IF(NOT(ISNUMBER(M862)),"Falta costo histórico","Revisar soporte"))))</x:f>
      </x:c>
      <x:c r="R862" s="9" t="n">
        <x:f>IF(B862="",0,IF(AND(D862="pagada",NOT(ISNUMBER(M862))),1,0))</x:f>
        <x:v>0</x:v>
      </x:c>
    </x:row>
    <x:row r="863" ht="22" customHeight="1">
      <x:c r="A863" s="11"/>
      <x:c r="B863" s="9"/>
      <x:c r="C863" s="9"/>
      <x:c r="D863" s="9"/>
      <x:c r="E863" s="9"/>
      <x:c r="F863" s="9"/>
      <x:c r="G863" s="9"/>
      <x:c r="H863" s="9"/>
      <x:c r="I863" s="13"/>
      <x:c r="J863" s="15"/>
      <x:c r="K863" s="15"/>
      <x:c r="L863" s="17" t="str">
        <x:f>IF(B863="","",IF(NOT(AND(ISNUMBER(J863),ISNUMBER(K863))),"",SUM(J863:K863)))</x:f>
      </x:c>
      <x:c r="M863" s="15"/>
      <x:c r="N863" s="17" t="str">
        <x:f>IF(OR(B863="",D863&lt;&gt;"pagada",NOT(ISNUMBER(J863)),NOT(ISNUMBER(M863))),"",J863-M863)</x:f>
      </x:c>
      <x:c r="O863" s="9"/>
      <x:c r="P863" s="9"/>
      <x:c r="Q863" s="1" t="str">
        <x:f>IF(B863="","",IF(COUNTIFS($B$7:$B$1006,B863,$C$7:$C$1006,C863)&gt;1,"ID duplicado",IF(OR(A863="",C863="",D863="",E863="",F863="",I863="",J863="",K863="",O863=""),"Completar datos",IF(NOT(ISNUMBER(M863)),"Falta costo histórico","Revisar soporte"))))</x:f>
      </x:c>
      <x:c r="R863" s="9" t="n">
        <x:f>IF(B863="",0,IF(AND(D863="pagada",NOT(ISNUMBER(M863))),1,0))</x:f>
        <x:v>0</x:v>
      </x:c>
    </x:row>
    <x:row r="864" ht="22" customHeight="1">
      <x:c r="A864" s="11"/>
      <x:c r="B864" s="9"/>
      <x:c r="C864" s="9"/>
      <x:c r="D864" s="9"/>
      <x:c r="E864" s="9"/>
      <x:c r="F864" s="9"/>
      <x:c r="G864" s="9"/>
      <x:c r="H864" s="9"/>
      <x:c r="I864" s="13"/>
      <x:c r="J864" s="15"/>
      <x:c r="K864" s="15"/>
      <x:c r="L864" s="17" t="str">
        <x:f>IF(B864="","",IF(NOT(AND(ISNUMBER(J864),ISNUMBER(K864))),"",SUM(J864:K864)))</x:f>
      </x:c>
      <x:c r="M864" s="15"/>
      <x:c r="N864" s="17" t="str">
        <x:f>IF(OR(B864="",D864&lt;&gt;"pagada",NOT(ISNUMBER(J864)),NOT(ISNUMBER(M864))),"",J864-M864)</x:f>
      </x:c>
      <x:c r="O864" s="9"/>
      <x:c r="P864" s="9"/>
      <x:c r="Q864" s="1" t="str">
        <x:f>IF(B864="","",IF(COUNTIFS($B$7:$B$1006,B864,$C$7:$C$1006,C864)&gt;1,"ID duplicado",IF(OR(A864="",C864="",D864="",E864="",F864="",I864="",J864="",K864="",O864=""),"Completar datos",IF(NOT(ISNUMBER(M864)),"Falta costo histórico","Revisar soporte"))))</x:f>
      </x:c>
      <x:c r="R864" s="9" t="n">
        <x:f>IF(B864="",0,IF(AND(D864="pagada",NOT(ISNUMBER(M864))),1,0))</x:f>
        <x:v>0</x:v>
      </x:c>
    </x:row>
    <x:row r="865" ht="22" customHeight="1">
      <x:c r="A865" s="11"/>
      <x:c r="B865" s="9"/>
      <x:c r="C865" s="9"/>
      <x:c r="D865" s="9"/>
      <x:c r="E865" s="9"/>
      <x:c r="F865" s="9"/>
      <x:c r="G865" s="9"/>
      <x:c r="H865" s="9"/>
      <x:c r="I865" s="13"/>
      <x:c r="J865" s="15"/>
      <x:c r="K865" s="15"/>
      <x:c r="L865" s="17" t="str">
        <x:f>IF(B865="","",IF(NOT(AND(ISNUMBER(J865),ISNUMBER(K865))),"",SUM(J865:K865)))</x:f>
      </x:c>
      <x:c r="M865" s="15"/>
      <x:c r="N865" s="17" t="str">
        <x:f>IF(OR(B865="",D865&lt;&gt;"pagada",NOT(ISNUMBER(J865)),NOT(ISNUMBER(M865))),"",J865-M865)</x:f>
      </x:c>
      <x:c r="O865" s="9"/>
      <x:c r="P865" s="9"/>
      <x:c r="Q865" s="1" t="str">
        <x:f>IF(B865="","",IF(COUNTIFS($B$7:$B$1006,B865,$C$7:$C$1006,C865)&gt;1,"ID duplicado",IF(OR(A865="",C865="",D865="",E865="",F865="",I865="",J865="",K865="",O865=""),"Completar datos",IF(NOT(ISNUMBER(M865)),"Falta costo histórico","Revisar soporte"))))</x:f>
      </x:c>
      <x:c r="R865" s="9" t="n">
        <x:f>IF(B865="",0,IF(AND(D865="pagada",NOT(ISNUMBER(M865))),1,0))</x:f>
        <x:v>0</x:v>
      </x:c>
    </x:row>
    <x:row r="866" ht="22" customHeight="1">
      <x:c r="A866" s="11"/>
      <x:c r="B866" s="9"/>
      <x:c r="C866" s="9"/>
      <x:c r="D866" s="9"/>
      <x:c r="E866" s="9"/>
      <x:c r="F866" s="9"/>
      <x:c r="G866" s="9"/>
      <x:c r="H866" s="9"/>
      <x:c r="I866" s="13"/>
      <x:c r="J866" s="15"/>
      <x:c r="K866" s="15"/>
      <x:c r="L866" s="17" t="str">
        <x:f>IF(B866="","",IF(NOT(AND(ISNUMBER(J866),ISNUMBER(K866))),"",SUM(J866:K866)))</x:f>
      </x:c>
      <x:c r="M866" s="15"/>
      <x:c r="N866" s="17" t="str">
        <x:f>IF(OR(B866="",D866&lt;&gt;"pagada",NOT(ISNUMBER(J866)),NOT(ISNUMBER(M866))),"",J866-M866)</x:f>
      </x:c>
      <x:c r="O866" s="9"/>
      <x:c r="P866" s="9"/>
      <x:c r="Q866" s="1" t="str">
        <x:f>IF(B866="","",IF(COUNTIFS($B$7:$B$1006,B866,$C$7:$C$1006,C866)&gt;1,"ID duplicado",IF(OR(A866="",C866="",D866="",E866="",F866="",I866="",J866="",K866="",O866=""),"Completar datos",IF(NOT(ISNUMBER(M866)),"Falta costo histórico","Revisar soporte"))))</x:f>
      </x:c>
      <x:c r="R866" s="9" t="n">
        <x:f>IF(B866="",0,IF(AND(D866="pagada",NOT(ISNUMBER(M866))),1,0))</x:f>
        <x:v>0</x:v>
      </x:c>
    </x:row>
    <x:row r="867" ht="22" customHeight="1">
      <x:c r="A867" s="11"/>
      <x:c r="B867" s="9"/>
      <x:c r="C867" s="9"/>
      <x:c r="D867" s="9"/>
      <x:c r="E867" s="9"/>
      <x:c r="F867" s="9"/>
      <x:c r="G867" s="9"/>
      <x:c r="H867" s="9"/>
      <x:c r="I867" s="13"/>
      <x:c r="J867" s="15"/>
      <x:c r="K867" s="15"/>
      <x:c r="L867" s="17" t="str">
        <x:f>IF(B867="","",IF(NOT(AND(ISNUMBER(J867),ISNUMBER(K867))),"",SUM(J867:K867)))</x:f>
      </x:c>
      <x:c r="M867" s="15"/>
      <x:c r="N867" s="17" t="str">
        <x:f>IF(OR(B867="",D867&lt;&gt;"pagada",NOT(ISNUMBER(J867)),NOT(ISNUMBER(M867))),"",J867-M867)</x:f>
      </x:c>
      <x:c r="O867" s="9"/>
      <x:c r="P867" s="9"/>
      <x:c r="Q867" s="1" t="str">
        <x:f>IF(B867="","",IF(COUNTIFS($B$7:$B$1006,B867,$C$7:$C$1006,C867)&gt;1,"ID duplicado",IF(OR(A867="",C867="",D867="",E867="",F867="",I867="",J867="",K867="",O867=""),"Completar datos",IF(NOT(ISNUMBER(M867)),"Falta costo histórico","Revisar soporte"))))</x:f>
      </x:c>
      <x:c r="R867" s="9" t="n">
        <x:f>IF(B867="",0,IF(AND(D867="pagada",NOT(ISNUMBER(M867))),1,0))</x:f>
        <x:v>0</x:v>
      </x:c>
    </x:row>
    <x:row r="868" ht="22" customHeight="1">
      <x:c r="A868" s="11"/>
      <x:c r="B868" s="9"/>
      <x:c r="C868" s="9"/>
      <x:c r="D868" s="9"/>
      <x:c r="E868" s="9"/>
      <x:c r="F868" s="9"/>
      <x:c r="G868" s="9"/>
      <x:c r="H868" s="9"/>
      <x:c r="I868" s="13"/>
      <x:c r="J868" s="15"/>
      <x:c r="K868" s="15"/>
      <x:c r="L868" s="17" t="str">
        <x:f>IF(B868="","",IF(NOT(AND(ISNUMBER(J868),ISNUMBER(K868))),"",SUM(J868:K868)))</x:f>
      </x:c>
      <x:c r="M868" s="15"/>
      <x:c r="N868" s="17" t="str">
        <x:f>IF(OR(B868="",D868&lt;&gt;"pagada",NOT(ISNUMBER(J868)),NOT(ISNUMBER(M868))),"",J868-M868)</x:f>
      </x:c>
      <x:c r="O868" s="9"/>
      <x:c r="P868" s="9"/>
      <x:c r="Q868" s="1" t="str">
        <x:f>IF(B868="","",IF(COUNTIFS($B$7:$B$1006,B868,$C$7:$C$1006,C868)&gt;1,"ID duplicado",IF(OR(A868="",C868="",D868="",E868="",F868="",I868="",J868="",K868="",O868=""),"Completar datos",IF(NOT(ISNUMBER(M868)),"Falta costo histórico","Revisar soporte"))))</x:f>
      </x:c>
      <x:c r="R868" s="9" t="n">
        <x:f>IF(B868="",0,IF(AND(D868="pagada",NOT(ISNUMBER(M868))),1,0))</x:f>
        <x:v>0</x:v>
      </x:c>
    </x:row>
    <x:row r="869" ht="22" customHeight="1">
      <x:c r="A869" s="11"/>
      <x:c r="B869" s="9"/>
      <x:c r="C869" s="9"/>
      <x:c r="D869" s="9"/>
      <x:c r="E869" s="9"/>
      <x:c r="F869" s="9"/>
      <x:c r="G869" s="9"/>
      <x:c r="H869" s="9"/>
      <x:c r="I869" s="13"/>
      <x:c r="J869" s="15"/>
      <x:c r="K869" s="15"/>
      <x:c r="L869" s="17" t="str">
        <x:f>IF(B869="","",IF(NOT(AND(ISNUMBER(J869),ISNUMBER(K869))),"",SUM(J869:K869)))</x:f>
      </x:c>
      <x:c r="M869" s="15"/>
      <x:c r="N869" s="17" t="str">
        <x:f>IF(OR(B869="",D869&lt;&gt;"pagada",NOT(ISNUMBER(J869)),NOT(ISNUMBER(M869))),"",J869-M869)</x:f>
      </x:c>
      <x:c r="O869" s="9"/>
      <x:c r="P869" s="9"/>
      <x:c r="Q869" s="1" t="str">
        <x:f>IF(B869="","",IF(COUNTIFS($B$7:$B$1006,B869,$C$7:$C$1006,C869)&gt;1,"ID duplicado",IF(OR(A869="",C869="",D869="",E869="",F869="",I869="",J869="",K869="",O869=""),"Completar datos",IF(NOT(ISNUMBER(M869)),"Falta costo histórico","Revisar soporte"))))</x:f>
      </x:c>
      <x:c r="R869" s="9" t="n">
        <x:f>IF(B869="",0,IF(AND(D869="pagada",NOT(ISNUMBER(M869))),1,0))</x:f>
        <x:v>0</x:v>
      </x:c>
    </x:row>
    <x:row r="870" ht="22" customHeight="1">
      <x:c r="A870" s="11"/>
      <x:c r="B870" s="9"/>
      <x:c r="C870" s="9"/>
      <x:c r="D870" s="9"/>
      <x:c r="E870" s="9"/>
      <x:c r="F870" s="9"/>
      <x:c r="G870" s="9"/>
      <x:c r="H870" s="9"/>
      <x:c r="I870" s="13"/>
      <x:c r="J870" s="15"/>
      <x:c r="K870" s="15"/>
      <x:c r="L870" s="17" t="str">
        <x:f>IF(B870="","",IF(NOT(AND(ISNUMBER(J870),ISNUMBER(K870))),"",SUM(J870:K870)))</x:f>
      </x:c>
      <x:c r="M870" s="15"/>
      <x:c r="N870" s="17" t="str">
        <x:f>IF(OR(B870="",D870&lt;&gt;"pagada",NOT(ISNUMBER(J870)),NOT(ISNUMBER(M870))),"",J870-M870)</x:f>
      </x:c>
      <x:c r="O870" s="9"/>
      <x:c r="P870" s="9"/>
      <x:c r="Q870" s="1" t="str">
        <x:f>IF(B870="","",IF(COUNTIFS($B$7:$B$1006,B870,$C$7:$C$1006,C870)&gt;1,"ID duplicado",IF(OR(A870="",C870="",D870="",E870="",F870="",I870="",J870="",K870="",O870=""),"Completar datos",IF(NOT(ISNUMBER(M870)),"Falta costo histórico","Revisar soporte"))))</x:f>
      </x:c>
      <x:c r="R870" s="9" t="n">
        <x:f>IF(B870="",0,IF(AND(D870="pagada",NOT(ISNUMBER(M870))),1,0))</x:f>
        <x:v>0</x:v>
      </x:c>
    </x:row>
    <x:row r="871" ht="22" customHeight="1">
      <x:c r="A871" s="11"/>
      <x:c r="B871" s="9"/>
      <x:c r="C871" s="9"/>
      <x:c r="D871" s="9"/>
      <x:c r="E871" s="9"/>
      <x:c r="F871" s="9"/>
      <x:c r="G871" s="9"/>
      <x:c r="H871" s="9"/>
      <x:c r="I871" s="13"/>
      <x:c r="J871" s="15"/>
      <x:c r="K871" s="15"/>
      <x:c r="L871" s="17" t="str">
        <x:f>IF(B871="","",IF(NOT(AND(ISNUMBER(J871),ISNUMBER(K871))),"",SUM(J871:K871)))</x:f>
      </x:c>
      <x:c r="M871" s="15"/>
      <x:c r="N871" s="17" t="str">
        <x:f>IF(OR(B871="",D871&lt;&gt;"pagada",NOT(ISNUMBER(J871)),NOT(ISNUMBER(M871))),"",J871-M871)</x:f>
      </x:c>
      <x:c r="O871" s="9"/>
      <x:c r="P871" s="9"/>
      <x:c r="Q871" s="1" t="str">
        <x:f>IF(B871="","",IF(COUNTIFS($B$7:$B$1006,B871,$C$7:$C$1006,C871)&gt;1,"ID duplicado",IF(OR(A871="",C871="",D871="",E871="",F871="",I871="",J871="",K871="",O871=""),"Completar datos",IF(NOT(ISNUMBER(M871)),"Falta costo histórico","Revisar soporte"))))</x:f>
      </x:c>
      <x:c r="R871" s="9" t="n">
        <x:f>IF(B871="",0,IF(AND(D871="pagada",NOT(ISNUMBER(M871))),1,0))</x:f>
        <x:v>0</x:v>
      </x:c>
    </x:row>
    <x:row r="872" ht="22" customHeight="1">
      <x:c r="A872" s="11"/>
      <x:c r="B872" s="9"/>
      <x:c r="C872" s="9"/>
      <x:c r="D872" s="9"/>
      <x:c r="E872" s="9"/>
      <x:c r="F872" s="9"/>
      <x:c r="G872" s="9"/>
      <x:c r="H872" s="9"/>
      <x:c r="I872" s="13"/>
      <x:c r="J872" s="15"/>
      <x:c r="K872" s="15"/>
      <x:c r="L872" s="17" t="str">
        <x:f>IF(B872="","",IF(NOT(AND(ISNUMBER(J872),ISNUMBER(K872))),"",SUM(J872:K872)))</x:f>
      </x:c>
      <x:c r="M872" s="15"/>
      <x:c r="N872" s="17" t="str">
        <x:f>IF(OR(B872="",D872&lt;&gt;"pagada",NOT(ISNUMBER(J872)),NOT(ISNUMBER(M872))),"",J872-M872)</x:f>
      </x:c>
      <x:c r="O872" s="9"/>
      <x:c r="P872" s="9"/>
      <x:c r="Q872" s="1" t="str">
        <x:f>IF(B872="","",IF(COUNTIFS($B$7:$B$1006,B872,$C$7:$C$1006,C872)&gt;1,"ID duplicado",IF(OR(A872="",C872="",D872="",E872="",F872="",I872="",J872="",K872="",O872=""),"Completar datos",IF(NOT(ISNUMBER(M872)),"Falta costo histórico","Revisar soporte"))))</x:f>
      </x:c>
      <x:c r="R872" s="9" t="n">
        <x:f>IF(B872="",0,IF(AND(D872="pagada",NOT(ISNUMBER(M872))),1,0))</x:f>
        <x:v>0</x:v>
      </x:c>
    </x:row>
    <x:row r="873" ht="22" customHeight="1">
      <x:c r="A873" s="11"/>
      <x:c r="B873" s="9"/>
      <x:c r="C873" s="9"/>
      <x:c r="D873" s="9"/>
      <x:c r="E873" s="9"/>
      <x:c r="F873" s="9"/>
      <x:c r="G873" s="9"/>
      <x:c r="H873" s="9"/>
      <x:c r="I873" s="13"/>
      <x:c r="J873" s="15"/>
      <x:c r="K873" s="15"/>
      <x:c r="L873" s="17" t="str">
        <x:f>IF(B873="","",IF(NOT(AND(ISNUMBER(J873),ISNUMBER(K873))),"",SUM(J873:K873)))</x:f>
      </x:c>
      <x:c r="M873" s="15"/>
      <x:c r="N873" s="17" t="str">
        <x:f>IF(OR(B873="",D873&lt;&gt;"pagada",NOT(ISNUMBER(J873)),NOT(ISNUMBER(M873))),"",J873-M873)</x:f>
      </x:c>
      <x:c r="O873" s="9"/>
      <x:c r="P873" s="9"/>
      <x:c r="Q873" s="1" t="str">
        <x:f>IF(B873="","",IF(COUNTIFS($B$7:$B$1006,B873,$C$7:$C$1006,C873)&gt;1,"ID duplicado",IF(OR(A873="",C873="",D873="",E873="",F873="",I873="",J873="",K873="",O873=""),"Completar datos",IF(NOT(ISNUMBER(M873)),"Falta costo histórico","Revisar soporte"))))</x:f>
      </x:c>
      <x:c r="R873" s="9" t="n">
        <x:f>IF(B873="",0,IF(AND(D873="pagada",NOT(ISNUMBER(M873))),1,0))</x:f>
        <x:v>0</x:v>
      </x:c>
    </x:row>
    <x:row r="874" ht="22" customHeight="1">
      <x:c r="A874" s="11"/>
      <x:c r="B874" s="9"/>
      <x:c r="C874" s="9"/>
      <x:c r="D874" s="9"/>
      <x:c r="E874" s="9"/>
      <x:c r="F874" s="9"/>
      <x:c r="G874" s="9"/>
      <x:c r="H874" s="9"/>
      <x:c r="I874" s="13"/>
      <x:c r="J874" s="15"/>
      <x:c r="K874" s="15"/>
      <x:c r="L874" s="17" t="str">
        <x:f>IF(B874="","",IF(NOT(AND(ISNUMBER(J874),ISNUMBER(K874))),"",SUM(J874:K874)))</x:f>
      </x:c>
      <x:c r="M874" s="15"/>
      <x:c r="N874" s="17" t="str">
        <x:f>IF(OR(B874="",D874&lt;&gt;"pagada",NOT(ISNUMBER(J874)),NOT(ISNUMBER(M874))),"",J874-M874)</x:f>
      </x:c>
      <x:c r="O874" s="9"/>
      <x:c r="P874" s="9"/>
      <x:c r="Q874" s="1" t="str">
        <x:f>IF(B874="","",IF(COUNTIFS($B$7:$B$1006,B874,$C$7:$C$1006,C874)&gt;1,"ID duplicado",IF(OR(A874="",C874="",D874="",E874="",F874="",I874="",J874="",K874="",O874=""),"Completar datos",IF(NOT(ISNUMBER(M874)),"Falta costo histórico","Revisar soporte"))))</x:f>
      </x:c>
      <x:c r="R874" s="9" t="n">
        <x:f>IF(B874="",0,IF(AND(D874="pagada",NOT(ISNUMBER(M874))),1,0))</x:f>
        <x:v>0</x:v>
      </x:c>
    </x:row>
    <x:row r="875" ht="22" customHeight="1">
      <x:c r="A875" s="11"/>
      <x:c r="B875" s="9"/>
      <x:c r="C875" s="9"/>
      <x:c r="D875" s="9"/>
      <x:c r="E875" s="9"/>
      <x:c r="F875" s="9"/>
      <x:c r="G875" s="9"/>
      <x:c r="H875" s="9"/>
      <x:c r="I875" s="13"/>
      <x:c r="J875" s="15"/>
      <x:c r="K875" s="15"/>
      <x:c r="L875" s="17" t="str">
        <x:f>IF(B875="","",IF(NOT(AND(ISNUMBER(J875),ISNUMBER(K875))),"",SUM(J875:K875)))</x:f>
      </x:c>
      <x:c r="M875" s="15"/>
      <x:c r="N875" s="17" t="str">
        <x:f>IF(OR(B875="",D875&lt;&gt;"pagada",NOT(ISNUMBER(J875)),NOT(ISNUMBER(M875))),"",J875-M875)</x:f>
      </x:c>
      <x:c r="O875" s="9"/>
      <x:c r="P875" s="9"/>
      <x:c r="Q875" s="1" t="str">
        <x:f>IF(B875="","",IF(COUNTIFS($B$7:$B$1006,B875,$C$7:$C$1006,C875)&gt;1,"ID duplicado",IF(OR(A875="",C875="",D875="",E875="",F875="",I875="",J875="",K875="",O875=""),"Completar datos",IF(NOT(ISNUMBER(M875)),"Falta costo histórico","Revisar soporte"))))</x:f>
      </x:c>
      <x:c r="R875" s="9" t="n">
        <x:f>IF(B875="",0,IF(AND(D875="pagada",NOT(ISNUMBER(M875))),1,0))</x:f>
        <x:v>0</x:v>
      </x:c>
    </x:row>
    <x:row r="876" ht="22" customHeight="1">
      <x:c r="A876" s="11"/>
      <x:c r="B876" s="9"/>
      <x:c r="C876" s="9"/>
      <x:c r="D876" s="9"/>
      <x:c r="E876" s="9"/>
      <x:c r="F876" s="9"/>
      <x:c r="G876" s="9"/>
      <x:c r="H876" s="9"/>
      <x:c r="I876" s="13"/>
      <x:c r="J876" s="15"/>
      <x:c r="K876" s="15"/>
      <x:c r="L876" s="17" t="str">
        <x:f>IF(B876="","",IF(NOT(AND(ISNUMBER(J876),ISNUMBER(K876))),"",SUM(J876:K876)))</x:f>
      </x:c>
      <x:c r="M876" s="15"/>
      <x:c r="N876" s="17" t="str">
        <x:f>IF(OR(B876="",D876&lt;&gt;"pagada",NOT(ISNUMBER(J876)),NOT(ISNUMBER(M876))),"",J876-M876)</x:f>
      </x:c>
      <x:c r="O876" s="9"/>
      <x:c r="P876" s="9"/>
      <x:c r="Q876" s="1" t="str">
        <x:f>IF(B876="","",IF(COUNTIFS($B$7:$B$1006,B876,$C$7:$C$1006,C876)&gt;1,"ID duplicado",IF(OR(A876="",C876="",D876="",E876="",F876="",I876="",J876="",K876="",O876=""),"Completar datos",IF(NOT(ISNUMBER(M876)),"Falta costo histórico","Revisar soporte"))))</x:f>
      </x:c>
      <x:c r="R876" s="9" t="n">
        <x:f>IF(B876="",0,IF(AND(D876="pagada",NOT(ISNUMBER(M876))),1,0))</x:f>
        <x:v>0</x:v>
      </x:c>
    </x:row>
    <x:row r="877" ht="22" customHeight="1">
      <x:c r="A877" s="11"/>
      <x:c r="B877" s="9"/>
      <x:c r="C877" s="9"/>
      <x:c r="D877" s="9"/>
      <x:c r="E877" s="9"/>
      <x:c r="F877" s="9"/>
      <x:c r="G877" s="9"/>
      <x:c r="H877" s="9"/>
      <x:c r="I877" s="13"/>
      <x:c r="J877" s="15"/>
      <x:c r="K877" s="15"/>
      <x:c r="L877" s="17" t="str">
        <x:f>IF(B877="","",IF(NOT(AND(ISNUMBER(J877),ISNUMBER(K877))),"",SUM(J877:K877)))</x:f>
      </x:c>
      <x:c r="M877" s="15"/>
      <x:c r="N877" s="17" t="str">
        <x:f>IF(OR(B877="",D877&lt;&gt;"pagada",NOT(ISNUMBER(J877)),NOT(ISNUMBER(M877))),"",J877-M877)</x:f>
      </x:c>
      <x:c r="O877" s="9"/>
      <x:c r="P877" s="9"/>
      <x:c r="Q877" s="1" t="str">
        <x:f>IF(B877="","",IF(COUNTIFS($B$7:$B$1006,B877,$C$7:$C$1006,C877)&gt;1,"ID duplicado",IF(OR(A877="",C877="",D877="",E877="",F877="",I877="",J877="",K877="",O877=""),"Completar datos",IF(NOT(ISNUMBER(M877)),"Falta costo histórico","Revisar soporte"))))</x:f>
      </x:c>
      <x:c r="R877" s="9" t="n">
        <x:f>IF(B877="",0,IF(AND(D877="pagada",NOT(ISNUMBER(M877))),1,0))</x:f>
        <x:v>0</x:v>
      </x:c>
    </x:row>
    <x:row r="878" ht="22" customHeight="1">
      <x:c r="A878" s="11"/>
      <x:c r="B878" s="9"/>
      <x:c r="C878" s="9"/>
      <x:c r="D878" s="9"/>
      <x:c r="E878" s="9"/>
      <x:c r="F878" s="9"/>
      <x:c r="G878" s="9"/>
      <x:c r="H878" s="9"/>
      <x:c r="I878" s="13"/>
      <x:c r="J878" s="15"/>
      <x:c r="K878" s="15"/>
      <x:c r="L878" s="17" t="str">
        <x:f>IF(B878="","",IF(NOT(AND(ISNUMBER(J878),ISNUMBER(K878))),"",SUM(J878:K878)))</x:f>
      </x:c>
      <x:c r="M878" s="15"/>
      <x:c r="N878" s="17" t="str">
        <x:f>IF(OR(B878="",D878&lt;&gt;"pagada",NOT(ISNUMBER(J878)),NOT(ISNUMBER(M878))),"",J878-M878)</x:f>
      </x:c>
      <x:c r="O878" s="9"/>
      <x:c r="P878" s="9"/>
      <x:c r="Q878" s="1" t="str">
        <x:f>IF(B878="","",IF(COUNTIFS($B$7:$B$1006,B878,$C$7:$C$1006,C878)&gt;1,"ID duplicado",IF(OR(A878="",C878="",D878="",E878="",F878="",I878="",J878="",K878="",O878=""),"Completar datos",IF(NOT(ISNUMBER(M878)),"Falta costo histórico","Revisar soporte"))))</x:f>
      </x:c>
      <x:c r="R878" s="9" t="n">
        <x:f>IF(B878="",0,IF(AND(D878="pagada",NOT(ISNUMBER(M878))),1,0))</x:f>
        <x:v>0</x:v>
      </x:c>
    </x:row>
    <x:row r="879" ht="22" customHeight="1">
      <x:c r="A879" s="11"/>
      <x:c r="B879" s="9"/>
      <x:c r="C879" s="9"/>
      <x:c r="D879" s="9"/>
      <x:c r="E879" s="9"/>
      <x:c r="F879" s="9"/>
      <x:c r="G879" s="9"/>
      <x:c r="H879" s="9"/>
      <x:c r="I879" s="13"/>
      <x:c r="J879" s="15"/>
      <x:c r="K879" s="15"/>
      <x:c r="L879" s="17" t="str">
        <x:f>IF(B879="","",IF(NOT(AND(ISNUMBER(J879),ISNUMBER(K879))),"",SUM(J879:K879)))</x:f>
      </x:c>
      <x:c r="M879" s="15"/>
      <x:c r="N879" s="17" t="str">
        <x:f>IF(OR(B879="",D879&lt;&gt;"pagada",NOT(ISNUMBER(J879)),NOT(ISNUMBER(M879))),"",J879-M879)</x:f>
      </x:c>
      <x:c r="O879" s="9"/>
      <x:c r="P879" s="9"/>
      <x:c r="Q879" s="1" t="str">
        <x:f>IF(B879="","",IF(COUNTIFS($B$7:$B$1006,B879,$C$7:$C$1006,C879)&gt;1,"ID duplicado",IF(OR(A879="",C879="",D879="",E879="",F879="",I879="",J879="",K879="",O879=""),"Completar datos",IF(NOT(ISNUMBER(M879)),"Falta costo histórico","Revisar soporte"))))</x:f>
      </x:c>
      <x:c r="R879" s="9" t="n">
        <x:f>IF(B879="",0,IF(AND(D879="pagada",NOT(ISNUMBER(M879))),1,0))</x:f>
        <x:v>0</x:v>
      </x:c>
    </x:row>
    <x:row r="880" ht="22" customHeight="1">
      <x:c r="A880" s="11"/>
      <x:c r="B880" s="9"/>
      <x:c r="C880" s="9"/>
      <x:c r="D880" s="9"/>
      <x:c r="E880" s="9"/>
      <x:c r="F880" s="9"/>
      <x:c r="G880" s="9"/>
      <x:c r="H880" s="9"/>
      <x:c r="I880" s="13"/>
      <x:c r="J880" s="15"/>
      <x:c r="K880" s="15"/>
      <x:c r="L880" s="17" t="str">
        <x:f>IF(B880="","",IF(NOT(AND(ISNUMBER(J880),ISNUMBER(K880))),"",SUM(J880:K880)))</x:f>
      </x:c>
      <x:c r="M880" s="15"/>
      <x:c r="N880" s="17" t="str">
        <x:f>IF(OR(B880="",D880&lt;&gt;"pagada",NOT(ISNUMBER(J880)),NOT(ISNUMBER(M880))),"",J880-M880)</x:f>
      </x:c>
      <x:c r="O880" s="9"/>
      <x:c r="P880" s="9"/>
      <x:c r="Q880" s="1" t="str">
        <x:f>IF(B880="","",IF(COUNTIFS($B$7:$B$1006,B880,$C$7:$C$1006,C880)&gt;1,"ID duplicado",IF(OR(A880="",C880="",D880="",E880="",F880="",I880="",J880="",K880="",O880=""),"Completar datos",IF(NOT(ISNUMBER(M880)),"Falta costo histórico","Revisar soporte"))))</x:f>
      </x:c>
      <x:c r="R880" s="9" t="n">
        <x:f>IF(B880="",0,IF(AND(D880="pagada",NOT(ISNUMBER(M880))),1,0))</x:f>
        <x:v>0</x:v>
      </x:c>
    </x:row>
    <x:row r="881" ht="22" customHeight="1">
      <x:c r="A881" s="11"/>
      <x:c r="B881" s="9"/>
      <x:c r="C881" s="9"/>
      <x:c r="D881" s="9"/>
      <x:c r="E881" s="9"/>
      <x:c r="F881" s="9"/>
      <x:c r="G881" s="9"/>
      <x:c r="H881" s="9"/>
      <x:c r="I881" s="13"/>
      <x:c r="J881" s="15"/>
      <x:c r="K881" s="15"/>
      <x:c r="L881" s="17" t="str">
        <x:f>IF(B881="","",IF(NOT(AND(ISNUMBER(J881),ISNUMBER(K881))),"",SUM(J881:K881)))</x:f>
      </x:c>
      <x:c r="M881" s="15"/>
      <x:c r="N881" s="17" t="str">
        <x:f>IF(OR(B881="",D881&lt;&gt;"pagada",NOT(ISNUMBER(J881)),NOT(ISNUMBER(M881))),"",J881-M881)</x:f>
      </x:c>
      <x:c r="O881" s="9"/>
      <x:c r="P881" s="9"/>
      <x:c r="Q881" s="1" t="str">
        <x:f>IF(B881="","",IF(COUNTIFS($B$7:$B$1006,B881,$C$7:$C$1006,C881)&gt;1,"ID duplicado",IF(OR(A881="",C881="",D881="",E881="",F881="",I881="",J881="",K881="",O881=""),"Completar datos",IF(NOT(ISNUMBER(M881)),"Falta costo histórico","Revisar soporte"))))</x:f>
      </x:c>
      <x:c r="R881" s="9" t="n">
        <x:f>IF(B881="",0,IF(AND(D881="pagada",NOT(ISNUMBER(M881))),1,0))</x:f>
        <x:v>0</x:v>
      </x:c>
    </x:row>
    <x:row r="882" ht="22" customHeight="1">
      <x:c r="A882" s="11"/>
      <x:c r="B882" s="9"/>
      <x:c r="C882" s="9"/>
      <x:c r="D882" s="9"/>
      <x:c r="E882" s="9"/>
      <x:c r="F882" s="9"/>
      <x:c r="G882" s="9"/>
      <x:c r="H882" s="9"/>
      <x:c r="I882" s="13"/>
      <x:c r="J882" s="15"/>
      <x:c r="K882" s="15"/>
      <x:c r="L882" s="17" t="str">
        <x:f>IF(B882="","",IF(NOT(AND(ISNUMBER(J882),ISNUMBER(K882))),"",SUM(J882:K882)))</x:f>
      </x:c>
      <x:c r="M882" s="15"/>
      <x:c r="N882" s="17" t="str">
        <x:f>IF(OR(B882="",D882&lt;&gt;"pagada",NOT(ISNUMBER(J882)),NOT(ISNUMBER(M882))),"",J882-M882)</x:f>
      </x:c>
      <x:c r="O882" s="9"/>
      <x:c r="P882" s="9"/>
      <x:c r="Q882" s="1" t="str">
        <x:f>IF(B882="","",IF(COUNTIFS($B$7:$B$1006,B882,$C$7:$C$1006,C882)&gt;1,"ID duplicado",IF(OR(A882="",C882="",D882="",E882="",F882="",I882="",J882="",K882="",O882=""),"Completar datos",IF(NOT(ISNUMBER(M882)),"Falta costo histórico","Revisar soporte"))))</x:f>
      </x:c>
      <x:c r="R882" s="9" t="n">
        <x:f>IF(B882="",0,IF(AND(D882="pagada",NOT(ISNUMBER(M882))),1,0))</x:f>
        <x:v>0</x:v>
      </x:c>
    </x:row>
    <x:row r="883" ht="22" customHeight="1">
      <x:c r="A883" s="11"/>
      <x:c r="B883" s="9"/>
      <x:c r="C883" s="9"/>
      <x:c r="D883" s="9"/>
      <x:c r="E883" s="9"/>
      <x:c r="F883" s="9"/>
      <x:c r="G883" s="9"/>
      <x:c r="H883" s="9"/>
      <x:c r="I883" s="13"/>
      <x:c r="J883" s="15"/>
      <x:c r="K883" s="15"/>
      <x:c r="L883" s="17" t="str">
        <x:f>IF(B883="","",IF(NOT(AND(ISNUMBER(J883),ISNUMBER(K883))),"",SUM(J883:K883)))</x:f>
      </x:c>
      <x:c r="M883" s="15"/>
      <x:c r="N883" s="17" t="str">
        <x:f>IF(OR(B883="",D883&lt;&gt;"pagada",NOT(ISNUMBER(J883)),NOT(ISNUMBER(M883))),"",J883-M883)</x:f>
      </x:c>
      <x:c r="O883" s="9"/>
      <x:c r="P883" s="9"/>
      <x:c r="Q883" s="1" t="str">
        <x:f>IF(B883="","",IF(COUNTIFS($B$7:$B$1006,B883,$C$7:$C$1006,C883)&gt;1,"ID duplicado",IF(OR(A883="",C883="",D883="",E883="",F883="",I883="",J883="",K883="",O883=""),"Completar datos",IF(NOT(ISNUMBER(M883)),"Falta costo histórico","Revisar soporte"))))</x:f>
      </x:c>
      <x:c r="R883" s="9" t="n">
        <x:f>IF(B883="",0,IF(AND(D883="pagada",NOT(ISNUMBER(M883))),1,0))</x:f>
        <x:v>0</x:v>
      </x:c>
    </x:row>
    <x:row r="884" ht="22" customHeight="1">
      <x:c r="A884" s="11"/>
      <x:c r="B884" s="9"/>
      <x:c r="C884" s="9"/>
      <x:c r="D884" s="9"/>
      <x:c r="E884" s="9"/>
      <x:c r="F884" s="9"/>
      <x:c r="G884" s="9"/>
      <x:c r="H884" s="9"/>
      <x:c r="I884" s="13"/>
      <x:c r="J884" s="15"/>
      <x:c r="K884" s="15"/>
      <x:c r="L884" s="17" t="str">
        <x:f>IF(B884="","",IF(NOT(AND(ISNUMBER(J884),ISNUMBER(K884))),"",SUM(J884:K884)))</x:f>
      </x:c>
      <x:c r="M884" s="15"/>
      <x:c r="N884" s="17" t="str">
        <x:f>IF(OR(B884="",D884&lt;&gt;"pagada",NOT(ISNUMBER(J884)),NOT(ISNUMBER(M884))),"",J884-M884)</x:f>
      </x:c>
      <x:c r="O884" s="9"/>
      <x:c r="P884" s="9"/>
      <x:c r="Q884" s="1" t="str">
        <x:f>IF(B884="","",IF(COUNTIFS($B$7:$B$1006,B884,$C$7:$C$1006,C884)&gt;1,"ID duplicado",IF(OR(A884="",C884="",D884="",E884="",F884="",I884="",J884="",K884="",O884=""),"Completar datos",IF(NOT(ISNUMBER(M884)),"Falta costo histórico","Revisar soporte"))))</x:f>
      </x:c>
      <x:c r="R884" s="9" t="n">
        <x:f>IF(B884="",0,IF(AND(D884="pagada",NOT(ISNUMBER(M884))),1,0))</x:f>
        <x:v>0</x:v>
      </x:c>
    </x:row>
    <x:row r="885" ht="22" customHeight="1">
      <x:c r="A885" s="11"/>
      <x:c r="B885" s="9"/>
      <x:c r="C885" s="9"/>
      <x:c r="D885" s="9"/>
      <x:c r="E885" s="9"/>
      <x:c r="F885" s="9"/>
      <x:c r="G885" s="9"/>
      <x:c r="H885" s="9"/>
      <x:c r="I885" s="13"/>
      <x:c r="J885" s="15"/>
      <x:c r="K885" s="15"/>
      <x:c r="L885" s="17" t="str">
        <x:f>IF(B885="","",IF(NOT(AND(ISNUMBER(J885),ISNUMBER(K885))),"",SUM(J885:K885)))</x:f>
      </x:c>
      <x:c r="M885" s="15"/>
      <x:c r="N885" s="17" t="str">
        <x:f>IF(OR(B885="",D885&lt;&gt;"pagada",NOT(ISNUMBER(J885)),NOT(ISNUMBER(M885))),"",J885-M885)</x:f>
      </x:c>
      <x:c r="O885" s="9"/>
      <x:c r="P885" s="9"/>
      <x:c r="Q885" s="1" t="str">
        <x:f>IF(B885="","",IF(COUNTIFS($B$7:$B$1006,B885,$C$7:$C$1006,C885)&gt;1,"ID duplicado",IF(OR(A885="",C885="",D885="",E885="",F885="",I885="",J885="",K885="",O885=""),"Completar datos",IF(NOT(ISNUMBER(M885)),"Falta costo histórico","Revisar soporte"))))</x:f>
      </x:c>
      <x:c r="R885" s="9" t="n">
        <x:f>IF(B885="",0,IF(AND(D885="pagada",NOT(ISNUMBER(M885))),1,0))</x:f>
        <x:v>0</x:v>
      </x:c>
    </x:row>
    <x:row r="886" ht="22" customHeight="1">
      <x:c r="A886" s="11"/>
      <x:c r="B886" s="9"/>
      <x:c r="C886" s="9"/>
      <x:c r="D886" s="9"/>
      <x:c r="E886" s="9"/>
      <x:c r="F886" s="9"/>
      <x:c r="G886" s="9"/>
      <x:c r="H886" s="9"/>
      <x:c r="I886" s="13"/>
      <x:c r="J886" s="15"/>
      <x:c r="K886" s="15"/>
      <x:c r="L886" s="17" t="str">
        <x:f>IF(B886="","",IF(NOT(AND(ISNUMBER(J886),ISNUMBER(K886))),"",SUM(J886:K886)))</x:f>
      </x:c>
      <x:c r="M886" s="15"/>
      <x:c r="N886" s="17" t="str">
        <x:f>IF(OR(B886="",D886&lt;&gt;"pagada",NOT(ISNUMBER(J886)),NOT(ISNUMBER(M886))),"",J886-M886)</x:f>
      </x:c>
      <x:c r="O886" s="9"/>
      <x:c r="P886" s="9"/>
      <x:c r="Q886" s="1" t="str">
        <x:f>IF(B886="","",IF(COUNTIFS($B$7:$B$1006,B886,$C$7:$C$1006,C886)&gt;1,"ID duplicado",IF(OR(A886="",C886="",D886="",E886="",F886="",I886="",J886="",K886="",O886=""),"Completar datos",IF(NOT(ISNUMBER(M886)),"Falta costo histórico","Revisar soporte"))))</x:f>
      </x:c>
      <x:c r="R886" s="9" t="n">
        <x:f>IF(B886="",0,IF(AND(D886="pagada",NOT(ISNUMBER(M886))),1,0))</x:f>
        <x:v>0</x:v>
      </x:c>
    </x:row>
    <x:row r="887" ht="22" customHeight="1">
      <x:c r="A887" s="11"/>
      <x:c r="B887" s="9"/>
      <x:c r="C887" s="9"/>
      <x:c r="D887" s="9"/>
      <x:c r="E887" s="9"/>
      <x:c r="F887" s="9"/>
      <x:c r="G887" s="9"/>
      <x:c r="H887" s="9"/>
      <x:c r="I887" s="13"/>
      <x:c r="J887" s="15"/>
      <x:c r="K887" s="15"/>
      <x:c r="L887" s="17" t="str">
        <x:f>IF(B887="","",IF(NOT(AND(ISNUMBER(J887),ISNUMBER(K887))),"",SUM(J887:K887)))</x:f>
      </x:c>
      <x:c r="M887" s="15"/>
      <x:c r="N887" s="17" t="str">
        <x:f>IF(OR(B887="",D887&lt;&gt;"pagada",NOT(ISNUMBER(J887)),NOT(ISNUMBER(M887))),"",J887-M887)</x:f>
      </x:c>
      <x:c r="O887" s="9"/>
      <x:c r="P887" s="9"/>
      <x:c r="Q887" s="1" t="str">
        <x:f>IF(B887="","",IF(COUNTIFS($B$7:$B$1006,B887,$C$7:$C$1006,C887)&gt;1,"ID duplicado",IF(OR(A887="",C887="",D887="",E887="",F887="",I887="",J887="",K887="",O887=""),"Completar datos",IF(NOT(ISNUMBER(M887)),"Falta costo histórico","Revisar soporte"))))</x:f>
      </x:c>
      <x:c r="R887" s="9" t="n">
        <x:f>IF(B887="",0,IF(AND(D887="pagada",NOT(ISNUMBER(M887))),1,0))</x:f>
        <x:v>0</x:v>
      </x:c>
    </x:row>
    <x:row r="888" ht="22" customHeight="1">
      <x:c r="A888" s="11"/>
      <x:c r="B888" s="9"/>
      <x:c r="C888" s="9"/>
      <x:c r="D888" s="9"/>
      <x:c r="E888" s="9"/>
      <x:c r="F888" s="9"/>
      <x:c r="G888" s="9"/>
      <x:c r="H888" s="9"/>
      <x:c r="I888" s="13"/>
      <x:c r="J888" s="15"/>
      <x:c r="K888" s="15"/>
      <x:c r="L888" s="17" t="str">
        <x:f>IF(B888="","",IF(NOT(AND(ISNUMBER(J888),ISNUMBER(K888))),"",SUM(J888:K888)))</x:f>
      </x:c>
      <x:c r="M888" s="15"/>
      <x:c r="N888" s="17" t="str">
        <x:f>IF(OR(B888="",D888&lt;&gt;"pagada",NOT(ISNUMBER(J888)),NOT(ISNUMBER(M888))),"",J888-M888)</x:f>
      </x:c>
      <x:c r="O888" s="9"/>
      <x:c r="P888" s="9"/>
      <x:c r="Q888" s="1" t="str">
        <x:f>IF(B888="","",IF(COUNTIFS($B$7:$B$1006,B888,$C$7:$C$1006,C888)&gt;1,"ID duplicado",IF(OR(A888="",C888="",D888="",E888="",F888="",I888="",J888="",K888="",O888=""),"Completar datos",IF(NOT(ISNUMBER(M888)),"Falta costo histórico","Revisar soporte"))))</x:f>
      </x:c>
      <x:c r="R888" s="9" t="n">
        <x:f>IF(B888="",0,IF(AND(D888="pagada",NOT(ISNUMBER(M888))),1,0))</x:f>
        <x:v>0</x:v>
      </x:c>
    </x:row>
    <x:row r="889" ht="22" customHeight="1">
      <x:c r="A889" s="11"/>
      <x:c r="B889" s="9"/>
      <x:c r="C889" s="9"/>
      <x:c r="D889" s="9"/>
      <x:c r="E889" s="9"/>
      <x:c r="F889" s="9"/>
      <x:c r="G889" s="9"/>
      <x:c r="H889" s="9"/>
      <x:c r="I889" s="13"/>
      <x:c r="J889" s="15"/>
      <x:c r="K889" s="15"/>
      <x:c r="L889" s="17" t="str">
        <x:f>IF(B889="","",IF(NOT(AND(ISNUMBER(J889),ISNUMBER(K889))),"",SUM(J889:K889)))</x:f>
      </x:c>
      <x:c r="M889" s="15"/>
      <x:c r="N889" s="17" t="str">
        <x:f>IF(OR(B889="",D889&lt;&gt;"pagada",NOT(ISNUMBER(J889)),NOT(ISNUMBER(M889))),"",J889-M889)</x:f>
      </x:c>
      <x:c r="O889" s="9"/>
      <x:c r="P889" s="9"/>
      <x:c r="Q889" s="1" t="str">
        <x:f>IF(B889="","",IF(COUNTIFS($B$7:$B$1006,B889,$C$7:$C$1006,C889)&gt;1,"ID duplicado",IF(OR(A889="",C889="",D889="",E889="",F889="",I889="",J889="",K889="",O889=""),"Completar datos",IF(NOT(ISNUMBER(M889)),"Falta costo histórico","Revisar soporte"))))</x:f>
      </x:c>
      <x:c r="R889" s="9" t="n">
        <x:f>IF(B889="",0,IF(AND(D889="pagada",NOT(ISNUMBER(M889))),1,0))</x:f>
        <x:v>0</x:v>
      </x:c>
    </x:row>
    <x:row r="890" ht="22" customHeight="1">
      <x:c r="A890" s="11"/>
      <x:c r="B890" s="9"/>
      <x:c r="C890" s="9"/>
      <x:c r="D890" s="9"/>
      <x:c r="E890" s="9"/>
      <x:c r="F890" s="9"/>
      <x:c r="G890" s="9"/>
      <x:c r="H890" s="9"/>
      <x:c r="I890" s="13"/>
      <x:c r="J890" s="15"/>
      <x:c r="K890" s="15"/>
      <x:c r="L890" s="17" t="str">
        <x:f>IF(B890="","",IF(NOT(AND(ISNUMBER(J890),ISNUMBER(K890))),"",SUM(J890:K890)))</x:f>
      </x:c>
      <x:c r="M890" s="15"/>
      <x:c r="N890" s="17" t="str">
        <x:f>IF(OR(B890="",D890&lt;&gt;"pagada",NOT(ISNUMBER(J890)),NOT(ISNUMBER(M890))),"",J890-M890)</x:f>
      </x:c>
      <x:c r="O890" s="9"/>
      <x:c r="P890" s="9"/>
      <x:c r="Q890" s="1" t="str">
        <x:f>IF(B890="","",IF(COUNTIFS($B$7:$B$1006,B890,$C$7:$C$1006,C890)&gt;1,"ID duplicado",IF(OR(A890="",C890="",D890="",E890="",F890="",I890="",J890="",K890="",O890=""),"Completar datos",IF(NOT(ISNUMBER(M890)),"Falta costo histórico","Revisar soporte"))))</x:f>
      </x:c>
      <x:c r="R890" s="9" t="n">
        <x:f>IF(B890="",0,IF(AND(D890="pagada",NOT(ISNUMBER(M890))),1,0))</x:f>
        <x:v>0</x:v>
      </x:c>
    </x:row>
    <x:row r="891" ht="22" customHeight="1">
      <x:c r="A891" s="11"/>
      <x:c r="B891" s="9"/>
      <x:c r="C891" s="9"/>
      <x:c r="D891" s="9"/>
      <x:c r="E891" s="9"/>
      <x:c r="F891" s="9"/>
      <x:c r="G891" s="9"/>
      <x:c r="H891" s="9"/>
      <x:c r="I891" s="13"/>
      <x:c r="J891" s="15"/>
      <x:c r="K891" s="15"/>
      <x:c r="L891" s="17" t="str">
        <x:f>IF(B891="","",IF(NOT(AND(ISNUMBER(J891),ISNUMBER(K891))),"",SUM(J891:K891)))</x:f>
      </x:c>
      <x:c r="M891" s="15"/>
      <x:c r="N891" s="17" t="str">
        <x:f>IF(OR(B891="",D891&lt;&gt;"pagada",NOT(ISNUMBER(J891)),NOT(ISNUMBER(M891))),"",J891-M891)</x:f>
      </x:c>
      <x:c r="O891" s="9"/>
      <x:c r="P891" s="9"/>
      <x:c r="Q891" s="1" t="str">
        <x:f>IF(B891="","",IF(COUNTIFS($B$7:$B$1006,B891,$C$7:$C$1006,C891)&gt;1,"ID duplicado",IF(OR(A891="",C891="",D891="",E891="",F891="",I891="",J891="",K891="",O891=""),"Completar datos",IF(NOT(ISNUMBER(M891)),"Falta costo histórico","Revisar soporte"))))</x:f>
      </x:c>
      <x:c r="R891" s="9" t="n">
        <x:f>IF(B891="",0,IF(AND(D891="pagada",NOT(ISNUMBER(M891))),1,0))</x:f>
        <x:v>0</x:v>
      </x:c>
    </x:row>
    <x:row r="892" ht="22" customHeight="1">
      <x:c r="A892" s="11"/>
      <x:c r="B892" s="9"/>
      <x:c r="C892" s="9"/>
      <x:c r="D892" s="9"/>
      <x:c r="E892" s="9"/>
      <x:c r="F892" s="9"/>
      <x:c r="G892" s="9"/>
      <x:c r="H892" s="9"/>
      <x:c r="I892" s="13"/>
      <x:c r="J892" s="15"/>
      <x:c r="K892" s="15"/>
      <x:c r="L892" s="17" t="str">
        <x:f>IF(B892="","",IF(NOT(AND(ISNUMBER(J892),ISNUMBER(K892))),"",SUM(J892:K892)))</x:f>
      </x:c>
      <x:c r="M892" s="15"/>
      <x:c r="N892" s="17" t="str">
        <x:f>IF(OR(B892="",D892&lt;&gt;"pagada",NOT(ISNUMBER(J892)),NOT(ISNUMBER(M892))),"",J892-M892)</x:f>
      </x:c>
      <x:c r="O892" s="9"/>
      <x:c r="P892" s="9"/>
      <x:c r="Q892" s="1" t="str">
        <x:f>IF(B892="","",IF(COUNTIFS($B$7:$B$1006,B892,$C$7:$C$1006,C892)&gt;1,"ID duplicado",IF(OR(A892="",C892="",D892="",E892="",F892="",I892="",J892="",K892="",O892=""),"Completar datos",IF(NOT(ISNUMBER(M892)),"Falta costo histórico","Revisar soporte"))))</x:f>
      </x:c>
      <x:c r="R892" s="9" t="n">
        <x:f>IF(B892="",0,IF(AND(D892="pagada",NOT(ISNUMBER(M892))),1,0))</x:f>
        <x:v>0</x:v>
      </x:c>
    </x:row>
    <x:row r="893" ht="22" customHeight="1">
      <x:c r="A893" s="11"/>
      <x:c r="B893" s="9"/>
      <x:c r="C893" s="9"/>
      <x:c r="D893" s="9"/>
      <x:c r="E893" s="9"/>
      <x:c r="F893" s="9"/>
      <x:c r="G893" s="9"/>
      <x:c r="H893" s="9"/>
      <x:c r="I893" s="13"/>
      <x:c r="J893" s="15"/>
      <x:c r="K893" s="15"/>
      <x:c r="L893" s="17" t="str">
        <x:f>IF(B893="","",IF(NOT(AND(ISNUMBER(J893),ISNUMBER(K893))),"",SUM(J893:K893)))</x:f>
      </x:c>
      <x:c r="M893" s="15"/>
      <x:c r="N893" s="17" t="str">
        <x:f>IF(OR(B893="",D893&lt;&gt;"pagada",NOT(ISNUMBER(J893)),NOT(ISNUMBER(M893))),"",J893-M893)</x:f>
      </x:c>
      <x:c r="O893" s="9"/>
      <x:c r="P893" s="9"/>
      <x:c r="Q893" s="1" t="str">
        <x:f>IF(B893="","",IF(COUNTIFS($B$7:$B$1006,B893,$C$7:$C$1006,C893)&gt;1,"ID duplicado",IF(OR(A893="",C893="",D893="",E893="",F893="",I893="",J893="",K893="",O893=""),"Completar datos",IF(NOT(ISNUMBER(M893)),"Falta costo histórico","Revisar soporte"))))</x:f>
      </x:c>
      <x:c r="R893" s="9" t="n">
        <x:f>IF(B893="",0,IF(AND(D893="pagada",NOT(ISNUMBER(M893))),1,0))</x:f>
        <x:v>0</x:v>
      </x:c>
    </x:row>
    <x:row r="894" ht="22" customHeight="1">
      <x:c r="A894" s="11"/>
      <x:c r="B894" s="9"/>
      <x:c r="C894" s="9"/>
      <x:c r="D894" s="9"/>
      <x:c r="E894" s="9"/>
      <x:c r="F894" s="9"/>
      <x:c r="G894" s="9"/>
      <x:c r="H894" s="9"/>
      <x:c r="I894" s="13"/>
      <x:c r="J894" s="15"/>
      <x:c r="K894" s="15"/>
      <x:c r="L894" s="17" t="str">
        <x:f>IF(B894="","",IF(NOT(AND(ISNUMBER(J894),ISNUMBER(K894))),"",SUM(J894:K894)))</x:f>
      </x:c>
      <x:c r="M894" s="15"/>
      <x:c r="N894" s="17" t="str">
        <x:f>IF(OR(B894="",D894&lt;&gt;"pagada",NOT(ISNUMBER(J894)),NOT(ISNUMBER(M894))),"",J894-M894)</x:f>
      </x:c>
      <x:c r="O894" s="9"/>
      <x:c r="P894" s="9"/>
      <x:c r="Q894" s="1" t="str">
        <x:f>IF(B894="","",IF(COUNTIFS($B$7:$B$1006,B894,$C$7:$C$1006,C894)&gt;1,"ID duplicado",IF(OR(A894="",C894="",D894="",E894="",F894="",I894="",J894="",K894="",O894=""),"Completar datos",IF(NOT(ISNUMBER(M894)),"Falta costo histórico","Revisar soporte"))))</x:f>
      </x:c>
      <x:c r="R894" s="9" t="n">
        <x:f>IF(B894="",0,IF(AND(D894="pagada",NOT(ISNUMBER(M894))),1,0))</x:f>
        <x:v>0</x:v>
      </x:c>
    </x:row>
    <x:row r="895" ht="22" customHeight="1">
      <x:c r="A895" s="11"/>
      <x:c r="B895" s="9"/>
      <x:c r="C895" s="9"/>
      <x:c r="D895" s="9"/>
      <x:c r="E895" s="9"/>
      <x:c r="F895" s="9"/>
      <x:c r="G895" s="9"/>
      <x:c r="H895" s="9"/>
      <x:c r="I895" s="13"/>
      <x:c r="J895" s="15"/>
      <x:c r="K895" s="15"/>
      <x:c r="L895" s="17" t="str">
        <x:f>IF(B895="","",IF(NOT(AND(ISNUMBER(J895),ISNUMBER(K895))),"",SUM(J895:K895)))</x:f>
      </x:c>
      <x:c r="M895" s="15"/>
      <x:c r="N895" s="17" t="str">
        <x:f>IF(OR(B895="",D895&lt;&gt;"pagada",NOT(ISNUMBER(J895)),NOT(ISNUMBER(M895))),"",J895-M895)</x:f>
      </x:c>
      <x:c r="O895" s="9"/>
      <x:c r="P895" s="9"/>
      <x:c r="Q895" s="1" t="str">
        <x:f>IF(B895="","",IF(COUNTIFS($B$7:$B$1006,B895,$C$7:$C$1006,C895)&gt;1,"ID duplicado",IF(OR(A895="",C895="",D895="",E895="",F895="",I895="",J895="",K895="",O895=""),"Completar datos",IF(NOT(ISNUMBER(M895)),"Falta costo histórico","Revisar soporte"))))</x:f>
      </x:c>
      <x:c r="R895" s="9" t="n">
        <x:f>IF(B895="",0,IF(AND(D895="pagada",NOT(ISNUMBER(M895))),1,0))</x:f>
        <x:v>0</x:v>
      </x:c>
    </x:row>
    <x:row r="896" ht="22" customHeight="1">
      <x:c r="A896" s="11"/>
      <x:c r="B896" s="9"/>
      <x:c r="C896" s="9"/>
      <x:c r="D896" s="9"/>
      <x:c r="E896" s="9"/>
      <x:c r="F896" s="9"/>
      <x:c r="G896" s="9"/>
      <x:c r="H896" s="9"/>
      <x:c r="I896" s="13"/>
      <x:c r="J896" s="15"/>
      <x:c r="K896" s="15"/>
      <x:c r="L896" s="17" t="str">
        <x:f>IF(B896="","",IF(NOT(AND(ISNUMBER(J896),ISNUMBER(K896))),"",SUM(J896:K896)))</x:f>
      </x:c>
      <x:c r="M896" s="15"/>
      <x:c r="N896" s="17" t="str">
        <x:f>IF(OR(B896="",D896&lt;&gt;"pagada",NOT(ISNUMBER(J896)),NOT(ISNUMBER(M896))),"",J896-M896)</x:f>
      </x:c>
      <x:c r="O896" s="9"/>
      <x:c r="P896" s="9"/>
      <x:c r="Q896" s="1" t="str">
        <x:f>IF(B896="","",IF(COUNTIFS($B$7:$B$1006,B896,$C$7:$C$1006,C896)&gt;1,"ID duplicado",IF(OR(A896="",C896="",D896="",E896="",F896="",I896="",J896="",K896="",O896=""),"Completar datos",IF(NOT(ISNUMBER(M896)),"Falta costo histórico","Revisar soporte"))))</x:f>
      </x:c>
      <x:c r="R896" s="9" t="n">
        <x:f>IF(B896="",0,IF(AND(D896="pagada",NOT(ISNUMBER(M896))),1,0))</x:f>
        <x:v>0</x:v>
      </x:c>
    </x:row>
    <x:row r="897" ht="22" customHeight="1">
      <x:c r="A897" s="11"/>
      <x:c r="B897" s="9"/>
      <x:c r="C897" s="9"/>
      <x:c r="D897" s="9"/>
      <x:c r="E897" s="9"/>
      <x:c r="F897" s="9"/>
      <x:c r="G897" s="9"/>
      <x:c r="H897" s="9"/>
      <x:c r="I897" s="13"/>
      <x:c r="J897" s="15"/>
      <x:c r="K897" s="15"/>
      <x:c r="L897" s="17" t="str">
        <x:f>IF(B897="","",IF(NOT(AND(ISNUMBER(J897),ISNUMBER(K897))),"",SUM(J897:K897)))</x:f>
      </x:c>
      <x:c r="M897" s="15"/>
      <x:c r="N897" s="17" t="str">
        <x:f>IF(OR(B897="",D897&lt;&gt;"pagada",NOT(ISNUMBER(J897)),NOT(ISNUMBER(M897))),"",J897-M897)</x:f>
      </x:c>
      <x:c r="O897" s="9"/>
      <x:c r="P897" s="9"/>
      <x:c r="Q897" s="1" t="str">
        <x:f>IF(B897="","",IF(COUNTIFS($B$7:$B$1006,B897,$C$7:$C$1006,C897)&gt;1,"ID duplicado",IF(OR(A897="",C897="",D897="",E897="",F897="",I897="",J897="",K897="",O897=""),"Completar datos",IF(NOT(ISNUMBER(M897)),"Falta costo histórico","Revisar soporte"))))</x:f>
      </x:c>
      <x:c r="R897" s="9" t="n">
        <x:f>IF(B897="",0,IF(AND(D897="pagada",NOT(ISNUMBER(M897))),1,0))</x:f>
        <x:v>0</x:v>
      </x:c>
    </x:row>
    <x:row r="898" ht="22" customHeight="1">
      <x:c r="A898" s="11"/>
      <x:c r="B898" s="9"/>
      <x:c r="C898" s="9"/>
      <x:c r="D898" s="9"/>
      <x:c r="E898" s="9"/>
      <x:c r="F898" s="9"/>
      <x:c r="G898" s="9"/>
      <x:c r="H898" s="9"/>
      <x:c r="I898" s="13"/>
      <x:c r="J898" s="15"/>
      <x:c r="K898" s="15"/>
      <x:c r="L898" s="17" t="str">
        <x:f>IF(B898="","",IF(NOT(AND(ISNUMBER(J898),ISNUMBER(K898))),"",SUM(J898:K898)))</x:f>
      </x:c>
      <x:c r="M898" s="15"/>
      <x:c r="N898" s="17" t="str">
        <x:f>IF(OR(B898="",D898&lt;&gt;"pagada",NOT(ISNUMBER(J898)),NOT(ISNUMBER(M898))),"",J898-M898)</x:f>
      </x:c>
      <x:c r="O898" s="9"/>
      <x:c r="P898" s="9"/>
      <x:c r="Q898" s="1" t="str">
        <x:f>IF(B898="","",IF(COUNTIFS($B$7:$B$1006,B898,$C$7:$C$1006,C898)&gt;1,"ID duplicado",IF(OR(A898="",C898="",D898="",E898="",F898="",I898="",J898="",K898="",O898=""),"Completar datos",IF(NOT(ISNUMBER(M898)),"Falta costo histórico","Revisar soporte"))))</x:f>
      </x:c>
      <x:c r="R898" s="9" t="n">
        <x:f>IF(B898="",0,IF(AND(D898="pagada",NOT(ISNUMBER(M898))),1,0))</x:f>
        <x:v>0</x:v>
      </x:c>
    </x:row>
    <x:row r="899" ht="22" customHeight="1">
      <x:c r="A899" s="11"/>
      <x:c r="B899" s="9"/>
      <x:c r="C899" s="9"/>
      <x:c r="D899" s="9"/>
      <x:c r="E899" s="9"/>
      <x:c r="F899" s="9"/>
      <x:c r="G899" s="9"/>
      <x:c r="H899" s="9"/>
      <x:c r="I899" s="13"/>
      <x:c r="J899" s="15"/>
      <x:c r="K899" s="15"/>
      <x:c r="L899" s="17" t="str">
        <x:f>IF(B899="","",IF(NOT(AND(ISNUMBER(J899),ISNUMBER(K899))),"",SUM(J899:K899)))</x:f>
      </x:c>
      <x:c r="M899" s="15"/>
      <x:c r="N899" s="17" t="str">
        <x:f>IF(OR(B899="",D899&lt;&gt;"pagada",NOT(ISNUMBER(J899)),NOT(ISNUMBER(M899))),"",J899-M899)</x:f>
      </x:c>
      <x:c r="O899" s="9"/>
      <x:c r="P899" s="9"/>
      <x:c r="Q899" s="1" t="str">
        <x:f>IF(B899="","",IF(COUNTIFS($B$7:$B$1006,B899,$C$7:$C$1006,C899)&gt;1,"ID duplicado",IF(OR(A899="",C899="",D899="",E899="",F899="",I899="",J899="",K899="",O899=""),"Completar datos",IF(NOT(ISNUMBER(M899)),"Falta costo histórico","Revisar soporte"))))</x:f>
      </x:c>
      <x:c r="R899" s="9" t="n">
        <x:f>IF(B899="",0,IF(AND(D899="pagada",NOT(ISNUMBER(M899))),1,0))</x:f>
        <x:v>0</x:v>
      </x:c>
    </x:row>
    <x:row r="900" ht="22" customHeight="1">
      <x:c r="A900" s="11"/>
      <x:c r="B900" s="9"/>
      <x:c r="C900" s="9"/>
      <x:c r="D900" s="9"/>
      <x:c r="E900" s="9"/>
      <x:c r="F900" s="9"/>
      <x:c r="G900" s="9"/>
      <x:c r="H900" s="9"/>
      <x:c r="I900" s="13"/>
      <x:c r="J900" s="15"/>
      <x:c r="K900" s="15"/>
      <x:c r="L900" s="17" t="str">
        <x:f>IF(B900="","",IF(NOT(AND(ISNUMBER(J900),ISNUMBER(K900))),"",SUM(J900:K900)))</x:f>
      </x:c>
      <x:c r="M900" s="15"/>
      <x:c r="N900" s="17" t="str">
        <x:f>IF(OR(B900="",D900&lt;&gt;"pagada",NOT(ISNUMBER(J900)),NOT(ISNUMBER(M900))),"",J900-M900)</x:f>
      </x:c>
      <x:c r="O900" s="9"/>
      <x:c r="P900" s="9"/>
      <x:c r="Q900" s="1" t="str">
        <x:f>IF(B900="","",IF(COUNTIFS($B$7:$B$1006,B900,$C$7:$C$1006,C900)&gt;1,"ID duplicado",IF(OR(A900="",C900="",D900="",E900="",F900="",I900="",J900="",K900="",O900=""),"Completar datos",IF(NOT(ISNUMBER(M900)),"Falta costo histórico","Revisar soporte"))))</x:f>
      </x:c>
      <x:c r="R900" s="9" t="n">
        <x:f>IF(B900="",0,IF(AND(D900="pagada",NOT(ISNUMBER(M900))),1,0))</x:f>
        <x:v>0</x:v>
      </x:c>
    </x:row>
    <x:row r="901" ht="22" customHeight="1">
      <x:c r="A901" s="11"/>
      <x:c r="B901" s="9"/>
      <x:c r="C901" s="9"/>
      <x:c r="D901" s="9"/>
      <x:c r="E901" s="9"/>
      <x:c r="F901" s="9"/>
      <x:c r="G901" s="9"/>
      <x:c r="H901" s="9"/>
      <x:c r="I901" s="13"/>
      <x:c r="J901" s="15"/>
      <x:c r="K901" s="15"/>
      <x:c r="L901" s="17" t="str">
        <x:f>IF(B901="","",IF(NOT(AND(ISNUMBER(J901),ISNUMBER(K901))),"",SUM(J901:K901)))</x:f>
      </x:c>
      <x:c r="M901" s="15"/>
      <x:c r="N901" s="17" t="str">
        <x:f>IF(OR(B901="",D901&lt;&gt;"pagada",NOT(ISNUMBER(J901)),NOT(ISNUMBER(M901))),"",J901-M901)</x:f>
      </x:c>
      <x:c r="O901" s="9"/>
      <x:c r="P901" s="9"/>
      <x:c r="Q901" s="1" t="str">
        <x:f>IF(B901="","",IF(COUNTIFS($B$7:$B$1006,B901,$C$7:$C$1006,C901)&gt;1,"ID duplicado",IF(OR(A901="",C901="",D901="",E901="",F901="",I901="",J901="",K901="",O901=""),"Completar datos",IF(NOT(ISNUMBER(M901)),"Falta costo histórico","Revisar soporte"))))</x:f>
      </x:c>
      <x:c r="R901" s="9" t="n">
        <x:f>IF(B901="",0,IF(AND(D901="pagada",NOT(ISNUMBER(M901))),1,0))</x:f>
        <x:v>0</x:v>
      </x:c>
    </x:row>
    <x:row r="902" ht="22" customHeight="1">
      <x:c r="A902" s="11"/>
      <x:c r="B902" s="9"/>
      <x:c r="C902" s="9"/>
      <x:c r="D902" s="9"/>
      <x:c r="E902" s="9"/>
      <x:c r="F902" s="9"/>
      <x:c r="G902" s="9"/>
      <x:c r="H902" s="9"/>
      <x:c r="I902" s="13"/>
      <x:c r="J902" s="15"/>
      <x:c r="K902" s="15"/>
      <x:c r="L902" s="17" t="str">
        <x:f>IF(B902="","",IF(NOT(AND(ISNUMBER(J902),ISNUMBER(K902))),"",SUM(J902:K902)))</x:f>
      </x:c>
      <x:c r="M902" s="15"/>
      <x:c r="N902" s="17" t="str">
        <x:f>IF(OR(B902="",D902&lt;&gt;"pagada",NOT(ISNUMBER(J902)),NOT(ISNUMBER(M902))),"",J902-M902)</x:f>
      </x:c>
      <x:c r="O902" s="9"/>
      <x:c r="P902" s="9"/>
      <x:c r="Q902" s="1" t="str">
        <x:f>IF(B902="","",IF(COUNTIFS($B$7:$B$1006,B902,$C$7:$C$1006,C902)&gt;1,"ID duplicado",IF(OR(A902="",C902="",D902="",E902="",F902="",I902="",J902="",K902="",O902=""),"Completar datos",IF(NOT(ISNUMBER(M902)),"Falta costo histórico","Revisar soporte"))))</x:f>
      </x:c>
      <x:c r="R902" s="9" t="n">
        <x:f>IF(B902="",0,IF(AND(D902="pagada",NOT(ISNUMBER(M902))),1,0))</x:f>
        <x:v>0</x:v>
      </x:c>
    </x:row>
    <x:row r="903" ht="22" customHeight="1">
      <x:c r="A903" s="11"/>
      <x:c r="B903" s="9"/>
      <x:c r="C903" s="9"/>
      <x:c r="D903" s="9"/>
      <x:c r="E903" s="9"/>
      <x:c r="F903" s="9"/>
      <x:c r="G903" s="9"/>
      <x:c r="H903" s="9"/>
      <x:c r="I903" s="13"/>
      <x:c r="J903" s="15"/>
      <x:c r="K903" s="15"/>
      <x:c r="L903" s="17" t="str">
        <x:f>IF(B903="","",IF(NOT(AND(ISNUMBER(J903),ISNUMBER(K903))),"",SUM(J903:K903)))</x:f>
      </x:c>
      <x:c r="M903" s="15"/>
      <x:c r="N903" s="17" t="str">
        <x:f>IF(OR(B903="",D903&lt;&gt;"pagada",NOT(ISNUMBER(J903)),NOT(ISNUMBER(M903))),"",J903-M903)</x:f>
      </x:c>
      <x:c r="O903" s="9"/>
      <x:c r="P903" s="9"/>
      <x:c r="Q903" s="1" t="str">
        <x:f>IF(B903="","",IF(COUNTIFS($B$7:$B$1006,B903,$C$7:$C$1006,C903)&gt;1,"ID duplicado",IF(OR(A903="",C903="",D903="",E903="",F903="",I903="",J903="",K903="",O903=""),"Completar datos",IF(NOT(ISNUMBER(M903)),"Falta costo histórico","Revisar soporte"))))</x:f>
      </x:c>
      <x:c r="R903" s="9" t="n">
        <x:f>IF(B903="",0,IF(AND(D903="pagada",NOT(ISNUMBER(M903))),1,0))</x:f>
        <x:v>0</x:v>
      </x:c>
    </x:row>
    <x:row r="904" ht="22" customHeight="1">
      <x:c r="A904" s="11"/>
      <x:c r="B904" s="9"/>
      <x:c r="C904" s="9"/>
      <x:c r="D904" s="9"/>
      <x:c r="E904" s="9"/>
      <x:c r="F904" s="9"/>
      <x:c r="G904" s="9"/>
      <x:c r="H904" s="9"/>
      <x:c r="I904" s="13"/>
      <x:c r="J904" s="15"/>
      <x:c r="K904" s="15"/>
      <x:c r="L904" s="17" t="str">
        <x:f>IF(B904="","",IF(NOT(AND(ISNUMBER(J904),ISNUMBER(K904))),"",SUM(J904:K904)))</x:f>
      </x:c>
      <x:c r="M904" s="15"/>
      <x:c r="N904" s="17" t="str">
        <x:f>IF(OR(B904="",D904&lt;&gt;"pagada",NOT(ISNUMBER(J904)),NOT(ISNUMBER(M904))),"",J904-M904)</x:f>
      </x:c>
      <x:c r="O904" s="9"/>
      <x:c r="P904" s="9"/>
      <x:c r="Q904" s="1" t="str">
        <x:f>IF(B904="","",IF(COUNTIFS($B$7:$B$1006,B904,$C$7:$C$1006,C904)&gt;1,"ID duplicado",IF(OR(A904="",C904="",D904="",E904="",F904="",I904="",J904="",K904="",O904=""),"Completar datos",IF(NOT(ISNUMBER(M904)),"Falta costo histórico","Revisar soporte"))))</x:f>
      </x:c>
      <x:c r="R904" s="9" t="n">
        <x:f>IF(B904="",0,IF(AND(D904="pagada",NOT(ISNUMBER(M904))),1,0))</x:f>
        <x:v>0</x:v>
      </x:c>
    </x:row>
    <x:row r="905" ht="22" customHeight="1">
      <x:c r="A905" s="11"/>
      <x:c r="B905" s="9"/>
      <x:c r="C905" s="9"/>
      <x:c r="D905" s="9"/>
      <x:c r="E905" s="9"/>
      <x:c r="F905" s="9"/>
      <x:c r="G905" s="9"/>
      <x:c r="H905" s="9"/>
      <x:c r="I905" s="13"/>
      <x:c r="J905" s="15"/>
      <x:c r="K905" s="15"/>
      <x:c r="L905" s="17" t="str">
        <x:f>IF(B905="","",IF(NOT(AND(ISNUMBER(J905),ISNUMBER(K905))),"",SUM(J905:K905)))</x:f>
      </x:c>
      <x:c r="M905" s="15"/>
      <x:c r="N905" s="17" t="str">
        <x:f>IF(OR(B905="",D905&lt;&gt;"pagada",NOT(ISNUMBER(J905)),NOT(ISNUMBER(M905))),"",J905-M905)</x:f>
      </x:c>
      <x:c r="O905" s="9"/>
      <x:c r="P905" s="9"/>
      <x:c r="Q905" s="1" t="str">
        <x:f>IF(B905="","",IF(COUNTIFS($B$7:$B$1006,B905,$C$7:$C$1006,C905)&gt;1,"ID duplicado",IF(OR(A905="",C905="",D905="",E905="",F905="",I905="",J905="",K905="",O905=""),"Completar datos",IF(NOT(ISNUMBER(M905)),"Falta costo histórico","Revisar soporte"))))</x:f>
      </x:c>
      <x:c r="R905" s="9" t="n">
        <x:f>IF(B905="",0,IF(AND(D905="pagada",NOT(ISNUMBER(M905))),1,0))</x:f>
        <x:v>0</x:v>
      </x:c>
    </x:row>
    <x:row r="906" ht="22" customHeight="1">
      <x:c r="A906" s="11"/>
      <x:c r="B906" s="9"/>
      <x:c r="C906" s="9"/>
      <x:c r="D906" s="9"/>
      <x:c r="E906" s="9"/>
      <x:c r="F906" s="9"/>
      <x:c r="G906" s="9"/>
      <x:c r="H906" s="9"/>
      <x:c r="I906" s="13"/>
      <x:c r="J906" s="15"/>
      <x:c r="K906" s="15"/>
      <x:c r="L906" s="17" t="str">
        <x:f>IF(B906="","",IF(NOT(AND(ISNUMBER(J906),ISNUMBER(K906))),"",SUM(J906:K906)))</x:f>
      </x:c>
      <x:c r="M906" s="15"/>
      <x:c r="N906" s="17" t="str">
        <x:f>IF(OR(B906="",D906&lt;&gt;"pagada",NOT(ISNUMBER(J906)),NOT(ISNUMBER(M906))),"",J906-M906)</x:f>
      </x:c>
      <x:c r="O906" s="9"/>
      <x:c r="P906" s="9"/>
      <x:c r="Q906" s="1" t="str">
        <x:f>IF(B906="","",IF(COUNTIFS($B$7:$B$1006,B906,$C$7:$C$1006,C906)&gt;1,"ID duplicado",IF(OR(A906="",C906="",D906="",E906="",F906="",I906="",J906="",K906="",O906=""),"Completar datos",IF(NOT(ISNUMBER(M906)),"Falta costo histórico","Revisar soporte"))))</x:f>
      </x:c>
      <x:c r="R906" s="9" t="n">
        <x:f>IF(B906="",0,IF(AND(D906="pagada",NOT(ISNUMBER(M906))),1,0))</x:f>
        <x:v>0</x:v>
      </x:c>
    </x:row>
    <x:row r="907" ht="22" customHeight="1">
      <x:c r="A907" s="11"/>
      <x:c r="B907" s="9"/>
      <x:c r="C907" s="9"/>
      <x:c r="D907" s="9"/>
      <x:c r="E907" s="9"/>
      <x:c r="F907" s="9"/>
      <x:c r="G907" s="9"/>
      <x:c r="H907" s="9"/>
      <x:c r="I907" s="13"/>
      <x:c r="J907" s="15"/>
      <x:c r="K907" s="15"/>
      <x:c r="L907" s="17" t="str">
        <x:f>IF(B907="","",IF(NOT(AND(ISNUMBER(J907),ISNUMBER(K907))),"",SUM(J907:K907)))</x:f>
      </x:c>
      <x:c r="M907" s="15"/>
      <x:c r="N907" s="17" t="str">
        <x:f>IF(OR(B907="",D907&lt;&gt;"pagada",NOT(ISNUMBER(J907)),NOT(ISNUMBER(M907))),"",J907-M907)</x:f>
      </x:c>
      <x:c r="O907" s="9"/>
      <x:c r="P907" s="9"/>
      <x:c r="Q907" s="1" t="str">
        <x:f>IF(B907="","",IF(COUNTIFS($B$7:$B$1006,B907,$C$7:$C$1006,C907)&gt;1,"ID duplicado",IF(OR(A907="",C907="",D907="",E907="",F907="",I907="",J907="",K907="",O907=""),"Completar datos",IF(NOT(ISNUMBER(M907)),"Falta costo histórico","Revisar soporte"))))</x:f>
      </x:c>
      <x:c r="R907" s="9" t="n">
        <x:f>IF(B907="",0,IF(AND(D907="pagada",NOT(ISNUMBER(M907))),1,0))</x:f>
        <x:v>0</x:v>
      </x:c>
    </x:row>
    <x:row r="908" ht="22" customHeight="1">
      <x:c r="A908" s="11"/>
      <x:c r="B908" s="9"/>
      <x:c r="C908" s="9"/>
      <x:c r="D908" s="9"/>
      <x:c r="E908" s="9"/>
      <x:c r="F908" s="9"/>
      <x:c r="G908" s="9"/>
      <x:c r="H908" s="9"/>
      <x:c r="I908" s="13"/>
      <x:c r="J908" s="15"/>
      <x:c r="K908" s="15"/>
      <x:c r="L908" s="17" t="str">
        <x:f>IF(B908="","",IF(NOT(AND(ISNUMBER(J908),ISNUMBER(K908))),"",SUM(J908:K908)))</x:f>
      </x:c>
      <x:c r="M908" s="15"/>
      <x:c r="N908" s="17" t="str">
        <x:f>IF(OR(B908="",D908&lt;&gt;"pagada",NOT(ISNUMBER(J908)),NOT(ISNUMBER(M908))),"",J908-M908)</x:f>
      </x:c>
      <x:c r="O908" s="9"/>
      <x:c r="P908" s="9"/>
      <x:c r="Q908" s="1" t="str">
        <x:f>IF(B908="","",IF(COUNTIFS($B$7:$B$1006,B908,$C$7:$C$1006,C908)&gt;1,"ID duplicado",IF(OR(A908="",C908="",D908="",E908="",F908="",I908="",J908="",K908="",O908=""),"Completar datos",IF(NOT(ISNUMBER(M908)),"Falta costo histórico","Revisar soporte"))))</x:f>
      </x:c>
      <x:c r="R908" s="9" t="n">
        <x:f>IF(B908="",0,IF(AND(D908="pagada",NOT(ISNUMBER(M908))),1,0))</x:f>
        <x:v>0</x:v>
      </x:c>
    </x:row>
    <x:row r="909" ht="22" customHeight="1">
      <x:c r="A909" s="11"/>
      <x:c r="B909" s="9"/>
      <x:c r="C909" s="9"/>
      <x:c r="D909" s="9"/>
      <x:c r="E909" s="9"/>
      <x:c r="F909" s="9"/>
      <x:c r="G909" s="9"/>
      <x:c r="H909" s="9"/>
      <x:c r="I909" s="13"/>
      <x:c r="J909" s="15"/>
      <x:c r="K909" s="15"/>
      <x:c r="L909" s="17" t="str">
        <x:f>IF(B909="","",IF(NOT(AND(ISNUMBER(J909),ISNUMBER(K909))),"",SUM(J909:K909)))</x:f>
      </x:c>
      <x:c r="M909" s="15"/>
      <x:c r="N909" s="17" t="str">
        <x:f>IF(OR(B909="",D909&lt;&gt;"pagada",NOT(ISNUMBER(J909)),NOT(ISNUMBER(M909))),"",J909-M909)</x:f>
      </x:c>
      <x:c r="O909" s="9"/>
      <x:c r="P909" s="9"/>
      <x:c r="Q909" s="1" t="str">
        <x:f>IF(B909="","",IF(COUNTIFS($B$7:$B$1006,B909,$C$7:$C$1006,C909)&gt;1,"ID duplicado",IF(OR(A909="",C909="",D909="",E909="",F909="",I909="",J909="",K909="",O909=""),"Completar datos",IF(NOT(ISNUMBER(M909)),"Falta costo histórico","Revisar soporte"))))</x:f>
      </x:c>
      <x:c r="R909" s="9" t="n">
        <x:f>IF(B909="",0,IF(AND(D909="pagada",NOT(ISNUMBER(M909))),1,0))</x:f>
        <x:v>0</x:v>
      </x:c>
    </x:row>
    <x:row r="910" ht="22" customHeight="1">
      <x:c r="A910" s="11"/>
      <x:c r="B910" s="9"/>
      <x:c r="C910" s="9"/>
      <x:c r="D910" s="9"/>
      <x:c r="E910" s="9"/>
      <x:c r="F910" s="9"/>
      <x:c r="G910" s="9"/>
      <x:c r="H910" s="9"/>
      <x:c r="I910" s="13"/>
      <x:c r="J910" s="15"/>
      <x:c r="K910" s="15"/>
      <x:c r="L910" s="17" t="str">
        <x:f>IF(B910="","",IF(NOT(AND(ISNUMBER(J910),ISNUMBER(K910))),"",SUM(J910:K910)))</x:f>
      </x:c>
      <x:c r="M910" s="15"/>
      <x:c r="N910" s="17" t="str">
        <x:f>IF(OR(B910="",D910&lt;&gt;"pagada",NOT(ISNUMBER(J910)),NOT(ISNUMBER(M910))),"",J910-M910)</x:f>
      </x:c>
      <x:c r="O910" s="9"/>
      <x:c r="P910" s="9"/>
      <x:c r="Q910" s="1" t="str">
        <x:f>IF(B910="","",IF(COUNTIFS($B$7:$B$1006,B910,$C$7:$C$1006,C910)&gt;1,"ID duplicado",IF(OR(A910="",C910="",D910="",E910="",F910="",I910="",J910="",K910="",O910=""),"Completar datos",IF(NOT(ISNUMBER(M910)),"Falta costo histórico","Revisar soporte"))))</x:f>
      </x:c>
      <x:c r="R910" s="9" t="n">
        <x:f>IF(B910="",0,IF(AND(D910="pagada",NOT(ISNUMBER(M910))),1,0))</x:f>
        <x:v>0</x:v>
      </x:c>
    </x:row>
    <x:row r="911" ht="22" customHeight="1">
      <x:c r="A911" s="11"/>
      <x:c r="B911" s="9"/>
      <x:c r="C911" s="9"/>
      <x:c r="D911" s="9"/>
      <x:c r="E911" s="9"/>
      <x:c r="F911" s="9"/>
      <x:c r="G911" s="9"/>
      <x:c r="H911" s="9"/>
      <x:c r="I911" s="13"/>
      <x:c r="J911" s="15"/>
      <x:c r="K911" s="15"/>
      <x:c r="L911" s="17" t="str">
        <x:f>IF(B911="","",IF(NOT(AND(ISNUMBER(J911),ISNUMBER(K911))),"",SUM(J911:K911)))</x:f>
      </x:c>
      <x:c r="M911" s="15"/>
      <x:c r="N911" s="17" t="str">
        <x:f>IF(OR(B911="",D911&lt;&gt;"pagada",NOT(ISNUMBER(J911)),NOT(ISNUMBER(M911))),"",J911-M911)</x:f>
      </x:c>
      <x:c r="O911" s="9"/>
      <x:c r="P911" s="9"/>
      <x:c r="Q911" s="1" t="str">
        <x:f>IF(B911="","",IF(COUNTIFS($B$7:$B$1006,B911,$C$7:$C$1006,C911)&gt;1,"ID duplicado",IF(OR(A911="",C911="",D911="",E911="",F911="",I911="",J911="",K911="",O911=""),"Completar datos",IF(NOT(ISNUMBER(M911)),"Falta costo histórico","Revisar soporte"))))</x:f>
      </x:c>
      <x:c r="R911" s="9" t="n">
        <x:f>IF(B911="",0,IF(AND(D911="pagada",NOT(ISNUMBER(M911))),1,0))</x:f>
        <x:v>0</x:v>
      </x:c>
    </x:row>
    <x:row r="912" ht="22" customHeight="1">
      <x:c r="A912" s="11"/>
      <x:c r="B912" s="9"/>
      <x:c r="C912" s="9"/>
      <x:c r="D912" s="9"/>
      <x:c r="E912" s="9"/>
      <x:c r="F912" s="9"/>
      <x:c r="G912" s="9"/>
      <x:c r="H912" s="9"/>
      <x:c r="I912" s="13"/>
      <x:c r="J912" s="15"/>
      <x:c r="K912" s="15"/>
      <x:c r="L912" s="17" t="str">
        <x:f>IF(B912="","",IF(NOT(AND(ISNUMBER(J912),ISNUMBER(K912))),"",SUM(J912:K912)))</x:f>
      </x:c>
      <x:c r="M912" s="15"/>
      <x:c r="N912" s="17" t="str">
        <x:f>IF(OR(B912="",D912&lt;&gt;"pagada",NOT(ISNUMBER(J912)),NOT(ISNUMBER(M912))),"",J912-M912)</x:f>
      </x:c>
      <x:c r="O912" s="9"/>
      <x:c r="P912" s="9"/>
      <x:c r="Q912" s="1" t="str">
        <x:f>IF(B912="","",IF(COUNTIFS($B$7:$B$1006,B912,$C$7:$C$1006,C912)&gt;1,"ID duplicado",IF(OR(A912="",C912="",D912="",E912="",F912="",I912="",J912="",K912="",O912=""),"Completar datos",IF(NOT(ISNUMBER(M912)),"Falta costo histórico","Revisar soporte"))))</x:f>
      </x:c>
      <x:c r="R912" s="9" t="n">
        <x:f>IF(B912="",0,IF(AND(D912="pagada",NOT(ISNUMBER(M912))),1,0))</x:f>
        <x:v>0</x:v>
      </x:c>
    </x:row>
    <x:row r="913" ht="22" customHeight="1">
      <x:c r="A913" s="11"/>
      <x:c r="B913" s="9"/>
      <x:c r="C913" s="9"/>
      <x:c r="D913" s="9"/>
      <x:c r="E913" s="9"/>
      <x:c r="F913" s="9"/>
      <x:c r="G913" s="9"/>
      <x:c r="H913" s="9"/>
      <x:c r="I913" s="13"/>
      <x:c r="J913" s="15"/>
      <x:c r="K913" s="15"/>
      <x:c r="L913" s="17" t="str">
        <x:f>IF(B913="","",IF(NOT(AND(ISNUMBER(J913),ISNUMBER(K913))),"",SUM(J913:K913)))</x:f>
      </x:c>
      <x:c r="M913" s="15"/>
      <x:c r="N913" s="17" t="str">
        <x:f>IF(OR(B913="",D913&lt;&gt;"pagada",NOT(ISNUMBER(J913)),NOT(ISNUMBER(M913))),"",J913-M913)</x:f>
      </x:c>
      <x:c r="O913" s="9"/>
      <x:c r="P913" s="9"/>
      <x:c r="Q913" s="1" t="str">
        <x:f>IF(B913="","",IF(COUNTIFS($B$7:$B$1006,B913,$C$7:$C$1006,C913)&gt;1,"ID duplicado",IF(OR(A913="",C913="",D913="",E913="",F913="",I913="",J913="",K913="",O913=""),"Completar datos",IF(NOT(ISNUMBER(M913)),"Falta costo histórico","Revisar soporte"))))</x:f>
      </x:c>
      <x:c r="R913" s="9" t="n">
        <x:f>IF(B913="",0,IF(AND(D913="pagada",NOT(ISNUMBER(M913))),1,0))</x:f>
        <x:v>0</x:v>
      </x:c>
    </x:row>
    <x:row r="914" ht="22" customHeight="1">
      <x:c r="A914" s="11"/>
      <x:c r="B914" s="9"/>
      <x:c r="C914" s="9"/>
      <x:c r="D914" s="9"/>
      <x:c r="E914" s="9"/>
      <x:c r="F914" s="9"/>
      <x:c r="G914" s="9"/>
      <x:c r="H914" s="9"/>
      <x:c r="I914" s="13"/>
      <x:c r="J914" s="15"/>
      <x:c r="K914" s="15"/>
      <x:c r="L914" s="17" t="str">
        <x:f>IF(B914="","",IF(NOT(AND(ISNUMBER(J914),ISNUMBER(K914))),"",SUM(J914:K914)))</x:f>
      </x:c>
      <x:c r="M914" s="15"/>
      <x:c r="N914" s="17" t="str">
        <x:f>IF(OR(B914="",D914&lt;&gt;"pagada",NOT(ISNUMBER(J914)),NOT(ISNUMBER(M914))),"",J914-M914)</x:f>
      </x:c>
      <x:c r="O914" s="9"/>
      <x:c r="P914" s="9"/>
      <x:c r="Q914" s="1" t="str">
        <x:f>IF(B914="","",IF(COUNTIFS($B$7:$B$1006,B914,$C$7:$C$1006,C914)&gt;1,"ID duplicado",IF(OR(A914="",C914="",D914="",E914="",F914="",I914="",J914="",K914="",O914=""),"Completar datos",IF(NOT(ISNUMBER(M914)),"Falta costo histórico","Revisar soporte"))))</x:f>
      </x:c>
      <x:c r="R914" s="9" t="n">
        <x:f>IF(B914="",0,IF(AND(D914="pagada",NOT(ISNUMBER(M914))),1,0))</x:f>
        <x:v>0</x:v>
      </x:c>
    </x:row>
    <x:row r="915" ht="22" customHeight="1">
      <x:c r="A915" s="11"/>
      <x:c r="B915" s="9"/>
      <x:c r="C915" s="9"/>
      <x:c r="D915" s="9"/>
      <x:c r="E915" s="9"/>
      <x:c r="F915" s="9"/>
      <x:c r="G915" s="9"/>
      <x:c r="H915" s="9"/>
      <x:c r="I915" s="13"/>
      <x:c r="J915" s="15"/>
      <x:c r="K915" s="15"/>
      <x:c r="L915" s="17" t="str">
        <x:f>IF(B915="","",IF(NOT(AND(ISNUMBER(J915),ISNUMBER(K915))),"",SUM(J915:K915)))</x:f>
      </x:c>
      <x:c r="M915" s="15"/>
      <x:c r="N915" s="17" t="str">
        <x:f>IF(OR(B915="",D915&lt;&gt;"pagada",NOT(ISNUMBER(J915)),NOT(ISNUMBER(M915))),"",J915-M915)</x:f>
      </x:c>
      <x:c r="O915" s="9"/>
      <x:c r="P915" s="9"/>
      <x:c r="Q915" s="1" t="str">
        <x:f>IF(B915="","",IF(COUNTIFS($B$7:$B$1006,B915,$C$7:$C$1006,C915)&gt;1,"ID duplicado",IF(OR(A915="",C915="",D915="",E915="",F915="",I915="",J915="",K915="",O915=""),"Completar datos",IF(NOT(ISNUMBER(M915)),"Falta costo histórico","Revisar soporte"))))</x:f>
      </x:c>
      <x:c r="R915" s="9" t="n">
        <x:f>IF(B915="",0,IF(AND(D915="pagada",NOT(ISNUMBER(M915))),1,0))</x:f>
        <x:v>0</x:v>
      </x:c>
    </x:row>
    <x:row r="916" ht="22" customHeight="1">
      <x:c r="A916" s="11"/>
      <x:c r="B916" s="9"/>
      <x:c r="C916" s="9"/>
      <x:c r="D916" s="9"/>
      <x:c r="E916" s="9"/>
      <x:c r="F916" s="9"/>
      <x:c r="G916" s="9"/>
      <x:c r="H916" s="9"/>
      <x:c r="I916" s="13"/>
      <x:c r="J916" s="15"/>
      <x:c r="K916" s="15"/>
      <x:c r="L916" s="17" t="str">
        <x:f>IF(B916="","",IF(NOT(AND(ISNUMBER(J916),ISNUMBER(K916))),"",SUM(J916:K916)))</x:f>
      </x:c>
      <x:c r="M916" s="15"/>
      <x:c r="N916" s="17" t="str">
        <x:f>IF(OR(B916="",D916&lt;&gt;"pagada",NOT(ISNUMBER(J916)),NOT(ISNUMBER(M916))),"",J916-M916)</x:f>
      </x:c>
      <x:c r="O916" s="9"/>
      <x:c r="P916" s="9"/>
      <x:c r="Q916" s="1" t="str">
        <x:f>IF(B916="","",IF(COUNTIFS($B$7:$B$1006,B916,$C$7:$C$1006,C916)&gt;1,"ID duplicado",IF(OR(A916="",C916="",D916="",E916="",F916="",I916="",J916="",K916="",O916=""),"Completar datos",IF(NOT(ISNUMBER(M916)),"Falta costo histórico","Revisar soporte"))))</x:f>
      </x:c>
      <x:c r="R916" s="9" t="n">
        <x:f>IF(B916="",0,IF(AND(D916="pagada",NOT(ISNUMBER(M916))),1,0))</x:f>
        <x:v>0</x:v>
      </x:c>
    </x:row>
    <x:row r="917" ht="22" customHeight="1">
      <x:c r="A917" s="11"/>
      <x:c r="B917" s="9"/>
      <x:c r="C917" s="9"/>
      <x:c r="D917" s="9"/>
      <x:c r="E917" s="9"/>
      <x:c r="F917" s="9"/>
      <x:c r="G917" s="9"/>
      <x:c r="H917" s="9"/>
      <x:c r="I917" s="13"/>
      <x:c r="J917" s="15"/>
      <x:c r="K917" s="15"/>
      <x:c r="L917" s="17" t="str">
        <x:f>IF(B917="","",IF(NOT(AND(ISNUMBER(J917),ISNUMBER(K917))),"",SUM(J917:K917)))</x:f>
      </x:c>
      <x:c r="M917" s="15"/>
      <x:c r="N917" s="17" t="str">
        <x:f>IF(OR(B917="",D917&lt;&gt;"pagada",NOT(ISNUMBER(J917)),NOT(ISNUMBER(M917))),"",J917-M917)</x:f>
      </x:c>
      <x:c r="O917" s="9"/>
      <x:c r="P917" s="9"/>
      <x:c r="Q917" s="1" t="str">
        <x:f>IF(B917="","",IF(COUNTIFS($B$7:$B$1006,B917,$C$7:$C$1006,C917)&gt;1,"ID duplicado",IF(OR(A917="",C917="",D917="",E917="",F917="",I917="",J917="",K917="",O917=""),"Completar datos",IF(NOT(ISNUMBER(M917)),"Falta costo histórico","Revisar soporte"))))</x:f>
      </x:c>
      <x:c r="R917" s="9" t="n">
        <x:f>IF(B917="",0,IF(AND(D917="pagada",NOT(ISNUMBER(M917))),1,0))</x:f>
        <x:v>0</x:v>
      </x:c>
    </x:row>
    <x:row r="918" ht="22" customHeight="1">
      <x:c r="A918" s="11"/>
      <x:c r="B918" s="9"/>
      <x:c r="C918" s="9"/>
      <x:c r="D918" s="9"/>
      <x:c r="E918" s="9"/>
      <x:c r="F918" s="9"/>
      <x:c r="G918" s="9"/>
      <x:c r="H918" s="9"/>
      <x:c r="I918" s="13"/>
      <x:c r="J918" s="15"/>
      <x:c r="K918" s="15"/>
      <x:c r="L918" s="17" t="str">
        <x:f>IF(B918="","",IF(NOT(AND(ISNUMBER(J918),ISNUMBER(K918))),"",SUM(J918:K918)))</x:f>
      </x:c>
      <x:c r="M918" s="15"/>
      <x:c r="N918" s="17" t="str">
        <x:f>IF(OR(B918="",D918&lt;&gt;"pagada",NOT(ISNUMBER(J918)),NOT(ISNUMBER(M918))),"",J918-M918)</x:f>
      </x:c>
      <x:c r="O918" s="9"/>
      <x:c r="P918" s="9"/>
      <x:c r="Q918" s="1" t="str">
        <x:f>IF(B918="","",IF(COUNTIFS($B$7:$B$1006,B918,$C$7:$C$1006,C918)&gt;1,"ID duplicado",IF(OR(A918="",C918="",D918="",E918="",F918="",I918="",J918="",K918="",O918=""),"Completar datos",IF(NOT(ISNUMBER(M918)),"Falta costo histórico","Revisar soporte"))))</x:f>
      </x:c>
      <x:c r="R918" s="9" t="n">
        <x:f>IF(B918="",0,IF(AND(D918="pagada",NOT(ISNUMBER(M918))),1,0))</x:f>
        <x:v>0</x:v>
      </x:c>
    </x:row>
    <x:row r="919" ht="22" customHeight="1">
      <x:c r="A919" s="11"/>
      <x:c r="B919" s="9"/>
      <x:c r="C919" s="9"/>
      <x:c r="D919" s="9"/>
      <x:c r="E919" s="9"/>
      <x:c r="F919" s="9"/>
      <x:c r="G919" s="9"/>
      <x:c r="H919" s="9"/>
      <x:c r="I919" s="13"/>
      <x:c r="J919" s="15"/>
      <x:c r="K919" s="15"/>
      <x:c r="L919" s="17" t="str">
        <x:f>IF(B919="","",IF(NOT(AND(ISNUMBER(J919),ISNUMBER(K919))),"",SUM(J919:K919)))</x:f>
      </x:c>
      <x:c r="M919" s="15"/>
      <x:c r="N919" s="17" t="str">
        <x:f>IF(OR(B919="",D919&lt;&gt;"pagada",NOT(ISNUMBER(J919)),NOT(ISNUMBER(M919))),"",J919-M919)</x:f>
      </x:c>
      <x:c r="O919" s="9"/>
      <x:c r="P919" s="9"/>
      <x:c r="Q919" s="1" t="str">
        <x:f>IF(B919="","",IF(COUNTIFS($B$7:$B$1006,B919,$C$7:$C$1006,C919)&gt;1,"ID duplicado",IF(OR(A919="",C919="",D919="",E919="",F919="",I919="",J919="",K919="",O919=""),"Completar datos",IF(NOT(ISNUMBER(M919)),"Falta costo histórico","Revisar soporte"))))</x:f>
      </x:c>
      <x:c r="R919" s="9" t="n">
        <x:f>IF(B919="",0,IF(AND(D919="pagada",NOT(ISNUMBER(M919))),1,0))</x:f>
        <x:v>0</x:v>
      </x:c>
    </x:row>
    <x:row r="920" ht="22" customHeight="1">
      <x:c r="A920" s="11"/>
      <x:c r="B920" s="9"/>
      <x:c r="C920" s="9"/>
      <x:c r="D920" s="9"/>
      <x:c r="E920" s="9"/>
      <x:c r="F920" s="9"/>
      <x:c r="G920" s="9"/>
      <x:c r="H920" s="9"/>
      <x:c r="I920" s="13"/>
      <x:c r="J920" s="15"/>
      <x:c r="K920" s="15"/>
      <x:c r="L920" s="17" t="str">
        <x:f>IF(B920="","",IF(NOT(AND(ISNUMBER(J920),ISNUMBER(K920))),"",SUM(J920:K920)))</x:f>
      </x:c>
      <x:c r="M920" s="15"/>
      <x:c r="N920" s="17" t="str">
        <x:f>IF(OR(B920="",D920&lt;&gt;"pagada",NOT(ISNUMBER(J920)),NOT(ISNUMBER(M920))),"",J920-M920)</x:f>
      </x:c>
      <x:c r="O920" s="9"/>
      <x:c r="P920" s="9"/>
      <x:c r="Q920" s="1" t="str">
        <x:f>IF(B920="","",IF(COUNTIFS($B$7:$B$1006,B920,$C$7:$C$1006,C920)&gt;1,"ID duplicado",IF(OR(A920="",C920="",D920="",E920="",F920="",I920="",J920="",K920="",O920=""),"Completar datos",IF(NOT(ISNUMBER(M920)),"Falta costo histórico","Revisar soporte"))))</x:f>
      </x:c>
      <x:c r="R920" s="9" t="n">
        <x:f>IF(B920="",0,IF(AND(D920="pagada",NOT(ISNUMBER(M920))),1,0))</x:f>
        <x:v>0</x:v>
      </x:c>
    </x:row>
    <x:row r="921" ht="22" customHeight="1">
      <x:c r="A921" s="11"/>
      <x:c r="B921" s="9"/>
      <x:c r="C921" s="9"/>
      <x:c r="D921" s="9"/>
      <x:c r="E921" s="9"/>
      <x:c r="F921" s="9"/>
      <x:c r="G921" s="9"/>
      <x:c r="H921" s="9"/>
      <x:c r="I921" s="13"/>
      <x:c r="J921" s="15"/>
      <x:c r="K921" s="15"/>
      <x:c r="L921" s="17" t="str">
        <x:f>IF(B921="","",IF(NOT(AND(ISNUMBER(J921),ISNUMBER(K921))),"",SUM(J921:K921)))</x:f>
      </x:c>
      <x:c r="M921" s="15"/>
      <x:c r="N921" s="17" t="str">
        <x:f>IF(OR(B921="",D921&lt;&gt;"pagada",NOT(ISNUMBER(J921)),NOT(ISNUMBER(M921))),"",J921-M921)</x:f>
      </x:c>
      <x:c r="O921" s="9"/>
      <x:c r="P921" s="9"/>
      <x:c r="Q921" s="1" t="str">
        <x:f>IF(B921="","",IF(COUNTIFS($B$7:$B$1006,B921,$C$7:$C$1006,C921)&gt;1,"ID duplicado",IF(OR(A921="",C921="",D921="",E921="",F921="",I921="",J921="",K921="",O921=""),"Completar datos",IF(NOT(ISNUMBER(M921)),"Falta costo histórico","Revisar soporte"))))</x:f>
      </x:c>
      <x:c r="R921" s="9" t="n">
        <x:f>IF(B921="",0,IF(AND(D921="pagada",NOT(ISNUMBER(M921))),1,0))</x:f>
        <x:v>0</x:v>
      </x:c>
    </x:row>
    <x:row r="922" ht="22" customHeight="1">
      <x:c r="A922" s="11"/>
      <x:c r="B922" s="9"/>
      <x:c r="C922" s="9"/>
      <x:c r="D922" s="9"/>
      <x:c r="E922" s="9"/>
      <x:c r="F922" s="9"/>
      <x:c r="G922" s="9"/>
      <x:c r="H922" s="9"/>
      <x:c r="I922" s="13"/>
      <x:c r="J922" s="15"/>
      <x:c r="K922" s="15"/>
      <x:c r="L922" s="17" t="str">
        <x:f>IF(B922="","",IF(NOT(AND(ISNUMBER(J922),ISNUMBER(K922))),"",SUM(J922:K922)))</x:f>
      </x:c>
      <x:c r="M922" s="15"/>
      <x:c r="N922" s="17" t="str">
        <x:f>IF(OR(B922="",D922&lt;&gt;"pagada",NOT(ISNUMBER(J922)),NOT(ISNUMBER(M922))),"",J922-M922)</x:f>
      </x:c>
      <x:c r="O922" s="9"/>
      <x:c r="P922" s="9"/>
      <x:c r="Q922" s="1" t="str">
        <x:f>IF(B922="","",IF(COUNTIFS($B$7:$B$1006,B922,$C$7:$C$1006,C922)&gt;1,"ID duplicado",IF(OR(A922="",C922="",D922="",E922="",F922="",I922="",J922="",K922="",O922=""),"Completar datos",IF(NOT(ISNUMBER(M922)),"Falta costo histórico","Revisar soporte"))))</x:f>
      </x:c>
      <x:c r="R922" s="9" t="n">
        <x:f>IF(B922="",0,IF(AND(D922="pagada",NOT(ISNUMBER(M922))),1,0))</x:f>
        <x:v>0</x:v>
      </x:c>
    </x:row>
    <x:row r="923" ht="22" customHeight="1">
      <x:c r="A923" s="11"/>
      <x:c r="B923" s="9"/>
      <x:c r="C923" s="9"/>
      <x:c r="D923" s="9"/>
      <x:c r="E923" s="9"/>
      <x:c r="F923" s="9"/>
      <x:c r="G923" s="9"/>
      <x:c r="H923" s="9"/>
      <x:c r="I923" s="13"/>
      <x:c r="J923" s="15"/>
      <x:c r="K923" s="15"/>
      <x:c r="L923" s="17" t="str">
        <x:f>IF(B923="","",IF(NOT(AND(ISNUMBER(J923),ISNUMBER(K923))),"",SUM(J923:K923)))</x:f>
      </x:c>
      <x:c r="M923" s="15"/>
      <x:c r="N923" s="17" t="str">
        <x:f>IF(OR(B923="",D923&lt;&gt;"pagada",NOT(ISNUMBER(J923)),NOT(ISNUMBER(M923))),"",J923-M923)</x:f>
      </x:c>
      <x:c r="O923" s="9"/>
      <x:c r="P923" s="9"/>
      <x:c r="Q923" s="1" t="str">
        <x:f>IF(B923="","",IF(COUNTIFS($B$7:$B$1006,B923,$C$7:$C$1006,C923)&gt;1,"ID duplicado",IF(OR(A923="",C923="",D923="",E923="",F923="",I923="",J923="",K923="",O923=""),"Completar datos",IF(NOT(ISNUMBER(M923)),"Falta costo histórico","Revisar soporte"))))</x:f>
      </x:c>
      <x:c r="R923" s="9" t="n">
        <x:f>IF(B923="",0,IF(AND(D923="pagada",NOT(ISNUMBER(M923))),1,0))</x:f>
        <x:v>0</x:v>
      </x:c>
    </x:row>
    <x:row r="924" ht="22" customHeight="1">
      <x:c r="A924" s="11"/>
      <x:c r="B924" s="9"/>
      <x:c r="C924" s="9"/>
      <x:c r="D924" s="9"/>
      <x:c r="E924" s="9"/>
      <x:c r="F924" s="9"/>
      <x:c r="G924" s="9"/>
      <x:c r="H924" s="9"/>
      <x:c r="I924" s="13"/>
      <x:c r="J924" s="15"/>
      <x:c r="K924" s="15"/>
      <x:c r="L924" s="17" t="str">
        <x:f>IF(B924="","",IF(NOT(AND(ISNUMBER(J924),ISNUMBER(K924))),"",SUM(J924:K924)))</x:f>
      </x:c>
      <x:c r="M924" s="15"/>
      <x:c r="N924" s="17" t="str">
        <x:f>IF(OR(B924="",D924&lt;&gt;"pagada",NOT(ISNUMBER(J924)),NOT(ISNUMBER(M924))),"",J924-M924)</x:f>
      </x:c>
      <x:c r="O924" s="9"/>
      <x:c r="P924" s="9"/>
      <x:c r="Q924" s="1" t="str">
        <x:f>IF(B924="","",IF(COUNTIFS($B$7:$B$1006,B924,$C$7:$C$1006,C924)&gt;1,"ID duplicado",IF(OR(A924="",C924="",D924="",E924="",F924="",I924="",J924="",K924="",O924=""),"Completar datos",IF(NOT(ISNUMBER(M924)),"Falta costo histórico","Revisar soporte"))))</x:f>
      </x:c>
      <x:c r="R924" s="9" t="n">
        <x:f>IF(B924="",0,IF(AND(D924="pagada",NOT(ISNUMBER(M924))),1,0))</x:f>
        <x:v>0</x:v>
      </x:c>
    </x:row>
    <x:row r="925" ht="22" customHeight="1">
      <x:c r="A925" s="11"/>
      <x:c r="B925" s="9"/>
      <x:c r="C925" s="9"/>
      <x:c r="D925" s="9"/>
      <x:c r="E925" s="9"/>
      <x:c r="F925" s="9"/>
      <x:c r="G925" s="9"/>
      <x:c r="H925" s="9"/>
      <x:c r="I925" s="13"/>
      <x:c r="J925" s="15"/>
      <x:c r="K925" s="15"/>
      <x:c r="L925" s="17" t="str">
        <x:f>IF(B925="","",IF(NOT(AND(ISNUMBER(J925),ISNUMBER(K925))),"",SUM(J925:K925)))</x:f>
      </x:c>
      <x:c r="M925" s="15"/>
      <x:c r="N925" s="17" t="str">
        <x:f>IF(OR(B925="",D925&lt;&gt;"pagada",NOT(ISNUMBER(J925)),NOT(ISNUMBER(M925))),"",J925-M925)</x:f>
      </x:c>
      <x:c r="O925" s="9"/>
      <x:c r="P925" s="9"/>
      <x:c r="Q925" s="1" t="str">
        <x:f>IF(B925="","",IF(COUNTIFS($B$7:$B$1006,B925,$C$7:$C$1006,C925)&gt;1,"ID duplicado",IF(OR(A925="",C925="",D925="",E925="",F925="",I925="",J925="",K925="",O925=""),"Completar datos",IF(NOT(ISNUMBER(M925)),"Falta costo histórico","Revisar soporte"))))</x:f>
      </x:c>
      <x:c r="R925" s="9" t="n">
        <x:f>IF(B925="",0,IF(AND(D925="pagada",NOT(ISNUMBER(M925))),1,0))</x:f>
        <x:v>0</x:v>
      </x:c>
    </x:row>
    <x:row r="926" ht="22" customHeight="1">
      <x:c r="A926" s="11"/>
      <x:c r="B926" s="9"/>
      <x:c r="C926" s="9"/>
      <x:c r="D926" s="9"/>
      <x:c r="E926" s="9"/>
      <x:c r="F926" s="9"/>
      <x:c r="G926" s="9"/>
      <x:c r="H926" s="9"/>
      <x:c r="I926" s="13"/>
      <x:c r="J926" s="15"/>
      <x:c r="K926" s="15"/>
      <x:c r="L926" s="17" t="str">
        <x:f>IF(B926="","",IF(NOT(AND(ISNUMBER(J926),ISNUMBER(K926))),"",SUM(J926:K926)))</x:f>
      </x:c>
      <x:c r="M926" s="15"/>
      <x:c r="N926" s="17" t="str">
        <x:f>IF(OR(B926="",D926&lt;&gt;"pagada",NOT(ISNUMBER(J926)),NOT(ISNUMBER(M926))),"",J926-M926)</x:f>
      </x:c>
      <x:c r="O926" s="9"/>
      <x:c r="P926" s="9"/>
      <x:c r="Q926" s="1" t="str">
        <x:f>IF(B926="","",IF(COUNTIFS($B$7:$B$1006,B926,$C$7:$C$1006,C926)&gt;1,"ID duplicado",IF(OR(A926="",C926="",D926="",E926="",F926="",I926="",J926="",K926="",O926=""),"Completar datos",IF(NOT(ISNUMBER(M926)),"Falta costo histórico","Revisar soporte"))))</x:f>
      </x:c>
      <x:c r="R926" s="9" t="n">
        <x:f>IF(B926="",0,IF(AND(D926="pagada",NOT(ISNUMBER(M926))),1,0))</x:f>
        <x:v>0</x:v>
      </x:c>
    </x:row>
    <x:row r="927" ht="22" customHeight="1">
      <x:c r="A927" s="11"/>
      <x:c r="B927" s="9"/>
      <x:c r="C927" s="9"/>
      <x:c r="D927" s="9"/>
      <x:c r="E927" s="9"/>
      <x:c r="F927" s="9"/>
      <x:c r="G927" s="9"/>
      <x:c r="H927" s="9"/>
      <x:c r="I927" s="13"/>
      <x:c r="J927" s="15"/>
      <x:c r="K927" s="15"/>
      <x:c r="L927" s="17" t="str">
        <x:f>IF(B927="","",IF(NOT(AND(ISNUMBER(J927),ISNUMBER(K927))),"",SUM(J927:K927)))</x:f>
      </x:c>
      <x:c r="M927" s="15"/>
      <x:c r="N927" s="17" t="str">
        <x:f>IF(OR(B927="",D927&lt;&gt;"pagada",NOT(ISNUMBER(J927)),NOT(ISNUMBER(M927))),"",J927-M927)</x:f>
      </x:c>
      <x:c r="O927" s="9"/>
      <x:c r="P927" s="9"/>
      <x:c r="Q927" s="1" t="str">
        <x:f>IF(B927="","",IF(COUNTIFS($B$7:$B$1006,B927,$C$7:$C$1006,C927)&gt;1,"ID duplicado",IF(OR(A927="",C927="",D927="",E927="",F927="",I927="",J927="",K927="",O927=""),"Completar datos",IF(NOT(ISNUMBER(M927)),"Falta costo histórico","Revisar soporte"))))</x:f>
      </x:c>
      <x:c r="R927" s="9" t="n">
        <x:f>IF(B927="",0,IF(AND(D927="pagada",NOT(ISNUMBER(M927))),1,0))</x:f>
        <x:v>0</x:v>
      </x:c>
    </x:row>
    <x:row r="928" ht="22" customHeight="1">
      <x:c r="A928" s="11"/>
      <x:c r="B928" s="9"/>
      <x:c r="C928" s="9"/>
      <x:c r="D928" s="9"/>
      <x:c r="E928" s="9"/>
      <x:c r="F928" s="9"/>
      <x:c r="G928" s="9"/>
      <x:c r="H928" s="9"/>
      <x:c r="I928" s="13"/>
      <x:c r="J928" s="15"/>
      <x:c r="K928" s="15"/>
      <x:c r="L928" s="17" t="str">
        <x:f>IF(B928="","",IF(NOT(AND(ISNUMBER(J928),ISNUMBER(K928))),"",SUM(J928:K928)))</x:f>
      </x:c>
      <x:c r="M928" s="15"/>
      <x:c r="N928" s="17" t="str">
        <x:f>IF(OR(B928="",D928&lt;&gt;"pagada",NOT(ISNUMBER(J928)),NOT(ISNUMBER(M928))),"",J928-M928)</x:f>
      </x:c>
      <x:c r="O928" s="9"/>
      <x:c r="P928" s="9"/>
      <x:c r="Q928" s="1" t="str">
        <x:f>IF(B928="","",IF(COUNTIFS($B$7:$B$1006,B928,$C$7:$C$1006,C928)&gt;1,"ID duplicado",IF(OR(A928="",C928="",D928="",E928="",F928="",I928="",J928="",K928="",O928=""),"Completar datos",IF(NOT(ISNUMBER(M928)),"Falta costo histórico","Revisar soporte"))))</x:f>
      </x:c>
      <x:c r="R928" s="9" t="n">
        <x:f>IF(B928="",0,IF(AND(D928="pagada",NOT(ISNUMBER(M928))),1,0))</x:f>
        <x:v>0</x:v>
      </x:c>
    </x:row>
    <x:row r="929" ht="22" customHeight="1">
      <x:c r="A929" s="11"/>
      <x:c r="B929" s="9"/>
      <x:c r="C929" s="9"/>
      <x:c r="D929" s="9"/>
      <x:c r="E929" s="9"/>
      <x:c r="F929" s="9"/>
      <x:c r="G929" s="9"/>
      <x:c r="H929" s="9"/>
      <x:c r="I929" s="13"/>
      <x:c r="J929" s="15"/>
      <x:c r="K929" s="15"/>
      <x:c r="L929" s="17" t="str">
        <x:f>IF(B929="","",IF(NOT(AND(ISNUMBER(J929),ISNUMBER(K929))),"",SUM(J929:K929)))</x:f>
      </x:c>
      <x:c r="M929" s="15"/>
      <x:c r="N929" s="17" t="str">
        <x:f>IF(OR(B929="",D929&lt;&gt;"pagada",NOT(ISNUMBER(J929)),NOT(ISNUMBER(M929))),"",J929-M929)</x:f>
      </x:c>
      <x:c r="O929" s="9"/>
      <x:c r="P929" s="9"/>
      <x:c r="Q929" s="1" t="str">
        <x:f>IF(B929="","",IF(COUNTIFS($B$7:$B$1006,B929,$C$7:$C$1006,C929)&gt;1,"ID duplicado",IF(OR(A929="",C929="",D929="",E929="",F929="",I929="",J929="",K929="",O929=""),"Completar datos",IF(NOT(ISNUMBER(M929)),"Falta costo histórico","Revisar soporte"))))</x:f>
      </x:c>
      <x:c r="R929" s="9" t="n">
        <x:f>IF(B929="",0,IF(AND(D929="pagada",NOT(ISNUMBER(M929))),1,0))</x:f>
        <x:v>0</x:v>
      </x:c>
    </x:row>
    <x:row r="930" ht="22" customHeight="1">
      <x:c r="A930" s="11"/>
      <x:c r="B930" s="9"/>
      <x:c r="C930" s="9"/>
      <x:c r="D930" s="9"/>
      <x:c r="E930" s="9"/>
      <x:c r="F930" s="9"/>
      <x:c r="G930" s="9"/>
      <x:c r="H930" s="9"/>
      <x:c r="I930" s="13"/>
      <x:c r="J930" s="15"/>
      <x:c r="K930" s="15"/>
      <x:c r="L930" s="17" t="str">
        <x:f>IF(B930="","",IF(NOT(AND(ISNUMBER(J930),ISNUMBER(K930))),"",SUM(J930:K930)))</x:f>
      </x:c>
      <x:c r="M930" s="15"/>
      <x:c r="N930" s="17" t="str">
        <x:f>IF(OR(B930="",D930&lt;&gt;"pagada",NOT(ISNUMBER(J930)),NOT(ISNUMBER(M930))),"",J930-M930)</x:f>
      </x:c>
      <x:c r="O930" s="9"/>
      <x:c r="P930" s="9"/>
      <x:c r="Q930" s="1" t="str">
        <x:f>IF(B930="","",IF(COUNTIFS($B$7:$B$1006,B930,$C$7:$C$1006,C930)&gt;1,"ID duplicado",IF(OR(A930="",C930="",D930="",E930="",F930="",I930="",J930="",K930="",O930=""),"Completar datos",IF(NOT(ISNUMBER(M930)),"Falta costo histórico","Revisar soporte"))))</x:f>
      </x:c>
      <x:c r="R930" s="9" t="n">
        <x:f>IF(B930="",0,IF(AND(D930="pagada",NOT(ISNUMBER(M930))),1,0))</x:f>
        <x:v>0</x:v>
      </x:c>
    </x:row>
    <x:row r="931" ht="22" customHeight="1">
      <x:c r="A931" s="11"/>
      <x:c r="B931" s="9"/>
      <x:c r="C931" s="9"/>
      <x:c r="D931" s="9"/>
      <x:c r="E931" s="9"/>
      <x:c r="F931" s="9"/>
      <x:c r="G931" s="9"/>
      <x:c r="H931" s="9"/>
      <x:c r="I931" s="13"/>
      <x:c r="J931" s="15"/>
      <x:c r="K931" s="15"/>
      <x:c r="L931" s="17" t="str">
        <x:f>IF(B931="","",IF(NOT(AND(ISNUMBER(J931),ISNUMBER(K931))),"",SUM(J931:K931)))</x:f>
      </x:c>
      <x:c r="M931" s="15"/>
      <x:c r="N931" s="17" t="str">
        <x:f>IF(OR(B931="",D931&lt;&gt;"pagada",NOT(ISNUMBER(J931)),NOT(ISNUMBER(M931))),"",J931-M931)</x:f>
      </x:c>
      <x:c r="O931" s="9"/>
      <x:c r="P931" s="9"/>
      <x:c r="Q931" s="1" t="str">
        <x:f>IF(B931="","",IF(COUNTIFS($B$7:$B$1006,B931,$C$7:$C$1006,C931)&gt;1,"ID duplicado",IF(OR(A931="",C931="",D931="",E931="",F931="",I931="",J931="",K931="",O931=""),"Completar datos",IF(NOT(ISNUMBER(M931)),"Falta costo histórico","Revisar soporte"))))</x:f>
      </x:c>
      <x:c r="R931" s="9" t="n">
        <x:f>IF(B931="",0,IF(AND(D931="pagada",NOT(ISNUMBER(M931))),1,0))</x:f>
        <x:v>0</x:v>
      </x:c>
    </x:row>
    <x:row r="932" ht="22" customHeight="1">
      <x:c r="A932" s="11"/>
      <x:c r="B932" s="9"/>
      <x:c r="C932" s="9"/>
      <x:c r="D932" s="9"/>
      <x:c r="E932" s="9"/>
      <x:c r="F932" s="9"/>
      <x:c r="G932" s="9"/>
      <x:c r="H932" s="9"/>
      <x:c r="I932" s="13"/>
      <x:c r="J932" s="15"/>
      <x:c r="K932" s="15"/>
      <x:c r="L932" s="17" t="str">
        <x:f>IF(B932="","",IF(NOT(AND(ISNUMBER(J932),ISNUMBER(K932))),"",SUM(J932:K932)))</x:f>
      </x:c>
      <x:c r="M932" s="15"/>
      <x:c r="N932" s="17" t="str">
        <x:f>IF(OR(B932="",D932&lt;&gt;"pagada",NOT(ISNUMBER(J932)),NOT(ISNUMBER(M932))),"",J932-M932)</x:f>
      </x:c>
      <x:c r="O932" s="9"/>
      <x:c r="P932" s="9"/>
      <x:c r="Q932" s="1" t="str">
        <x:f>IF(B932="","",IF(COUNTIFS($B$7:$B$1006,B932,$C$7:$C$1006,C932)&gt;1,"ID duplicado",IF(OR(A932="",C932="",D932="",E932="",F932="",I932="",J932="",K932="",O932=""),"Completar datos",IF(NOT(ISNUMBER(M932)),"Falta costo histórico","Revisar soporte"))))</x:f>
      </x:c>
      <x:c r="R932" s="9" t="n">
        <x:f>IF(B932="",0,IF(AND(D932="pagada",NOT(ISNUMBER(M932))),1,0))</x:f>
        <x:v>0</x:v>
      </x:c>
    </x:row>
    <x:row r="933" ht="22" customHeight="1">
      <x:c r="A933" s="11"/>
      <x:c r="B933" s="9"/>
      <x:c r="C933" s="9"/>
      <x:c r="D933" s="9"/>
      <x:c r="E933" s="9"/>
      <x:c r="F933" s="9"/>
      <x:c r="G933" s="9"/>
      <x:c r="H933" s="9"/>
      <x:c r="I933" s="13"/>
      <x:c r="J933" s="15"/>
      <x:c r="K933" s="15"/>
      <x:c r="L933" s="17" t="str">
        <x:f>IF(B933="","",IF(NOT(AND(ISNUMBER(J933),ISNUMBER(K933))),"",SUM(J933:K933)))</x:f>
      </x:c>
      <x:c r="M933" s="15"/>
      <x:c r="N933" s="17" t="str">
        <x:f>IF(OR(B933="",D933&lt;&gt;"pagada",NOT(ISNUMBER(J933)),NOT(ISNUMBER(M933))),"",J933-M933)</x:f>
      </x:c>
      <x:c r="O933" s="9"/>
      <x:c r="P933" s="9"/>
      <x:c r="Q933" s="1" t="str">
        <x:f>IF(B933="","",IF(COUNTIFS($B$7:$B$1006,B933,$C$7:$C$1006,C933)&gt;1,"ID duplicado",IF(OR(A933="",C933="",D933="",E933="",F933="",I933="",J933="",K933="",O933=""),"Completar datos",IF(NOT(ISNUMBER(M933)),"Falta costo histórico","Revisar soporte"))))</x:f>
      </x:c>
      <x:c r="R933" s="9" t="n">
        <x:f>IF(B933="",0,IF(AND(D933="pagada",NOT(ISNUMBER(M933))),1,0))</x:f>
        <x:v>0</x:v>
      </x:c>
    </x:row>
    <x:row r="934" ht="22" customHeight="1">
      <x:c r="A934" s="11"/>
      <x:c r="B934" s="9"/>
      <x:c r="C934" s="9"/>
      <x:c r="D934" s="9"/>
      <x:c r="E934" s="9"/>
      <x:c r="F934" s="9"/>
      <x:c r="G934" s="9"/>
      <x:c r="H934" s="9"/>
      <x:c r="I934" s="13"/>
      <x:c r="J934" s="15"/>
      <x:c r="K934" s="15"/>
      <x:c r="L934" s="17" t="str">
        <x:f>IF(B934="","",IF(NOT(AND(ISNUMBER(J934),ISNUMBER(K934))),"",SUM(J934:K934)))</x:f>
      </x:c>
      <x:c r="M934" s="15"/>
      <x:c r="N934" s="17" t="str">
        <x:f>IF(OR(B934="",D934&lt;&gt;"pagada",NOT(ISNUMBER(J934)),NOT(ISNUMBER(M934))),"",J934-M934)</x:f>
      </x:c>
      <x:c r="O934" s="9"/>
      <x:c r="P934" s="9"/>
      <x:c r="Q934" s="1" t="str">
        <x:f>IF(B934="","",IF(COUNTIFS($B$7:$B$1006,B934,$C$7:$C$1006,C934)&gt;1,"ID duplicado",IF(OR(A934="",C934="",D934="",E934="",F934="",I934="",J934="",K934="",O934=""),"Completar datos",IF(NOT(ISNUMBER(M934)),"Falta costo histórico","Revisar soporte"))))</x:f>
      </x:c>
      <x:c r="R934" s="9" t="n">
        <x:f>IF(B934="",0,IF(AND(D934="pagada",NOT(ISNUMBER(M934))),1,0))</x:f>
        <x:v>0</x:v>
      </x:c>
    </x:row>
    <x:row r="935" ht="22" customHeight="1">
      <x:c r="A935" s="11"/>
      <x:c r="B935" s="9"/>
      <x:c r="C935" s="9"/>
      <x:c r="D935" s="9"/>
      <x:c r="E935" s="9"/>
      <x:c r="F935" s="9"/>
      <x:c r="G935" s="9"/>
      <x:c r="H935" s="9"/>
      <x:c r="I935" s="13"/>
      <x:c r="J935" s="15"/>
      <x:c r="K935" s="15"/>
      <x:c r="L935" s="17" t="str">
        <x:f>IF(B935="","",IF(NOT(AND(ISNUMBER(J935),ISNUMBER(K935))),"",SUM(J935:K935)))</x:f>
      </x:c>
      <x:c r="M935" s="15"/>
      <x:c r="N935" s="17" t="str">
        <x:f>IF(OR(B935="",D935&lt;&gt;"pagada",NOT(ISNUMBER(J935)),NOT(ISNUMBER(M935))),"",J935-M935)</x:f>
      </x:c>
      <x:c r="O935" s="9"/>
      <x:c r="P935" s="9"/>
      <x:c r="Q935" s="1" t="str">
        <x:f>IF(B935="","",IF(COUNTIFS($B$7:$B$1006,B935,$C$7:$C$1006,C935)&gt;1,"ID duplicado",IF(OR(A935="",C935="",D935="",E935="",F935="",I935="",J935="",K935="",O935=""),"Completar datos",IF(NOT(ISNUMBER(M935)),"Falta costo histórico","Revisar soporte"))))</x:f>
      </x:c>
      <x:c r="R935" s="9" t="n">
        <x:f>IF(B935="",0,IF(AND(D935="pagada",NOT(ISNUMBER(M935))),1,0))</x:f>
        <x:v>0</x:v>
      </x:c>
    </x:row>
    <x:row r="936" ht="22" customHeight="1">
      <x:c r="A936" s="11"/>
      <x:c r="B936" s="9"/>
      <x:c r="C936" s="9"/>
      <x:c r="D936" s="9"/>
      <x:c r="E936" s="9"/>
      <x:c r="F936" s="9"/>
      <x:c r="G936" s="9"/>
      <x:c r="H936" s="9"/>
      <x:c r="I936" s="13"/>
      <x:c r="J936" s="15"/>
      <x:c r="K936" s="15"/>
      <x:c r="L936" s="17" t="str">
        <x:f>IF(B936="","",IF(NOT(AND(ISNUMBER(J936),ISNUMBER(K936))),"",SUM(J936:K936)))</x:f>
      </x:c>
      <x:c r="M936" s="15"/>
      <x:c r="N936" s="17" t="str">
        <x:f>IF(OR(B936="",D936&lt;&gt;"pagada",NOT(ISNUMBER(J936)),NOT(ISNUMBER(M936))),"",J936-M936)</x:f>
      </x:c>
      <x:c r="O936" s="9"/>
      <x:c r="P936" s="9"/>
      <x:c r="Q936" s="1" t="str">
        <x:f>IF(B936="","",IF(COUNTIFS($B$7:$B$1006,B936,$C$7:$C$1006,C936)&gt;1,"ID duplicado",IF(OR(A936="",C936="",D936="",E936="",F936="",I936="",J936="",K936="",O936=""),"Completar datos",IF(NOT(ISNUMBER(M936)),"Falta costo histórico","Revisar soporte"))))</x:f>
      </x:c>
      <x:c r="R936" s="9" t="n">
        <x:f>IF(B936="",0,IF(AND(D936="pagada",NOT(ISNUMBER(M936))),1,0))</x:f>
        <x:v>0</x:v>
      </x:c>
    </x:row>
    <x:row r="937" ht="22" customHeight="1">
      <x:c r="A937" s="11"/>
      <x:c r="B937" s="9"/>
      <x:c r="C937" s="9"/>
      <x:c r="D937" s="9"/>
      <x:c r="E937" s="9"/>
      <x:c r="F937" s="9"/>
      <x:c r="G937" s="9"/>
      <x:c r="H937" s="9"/>
      <x:c r="I937" s="13"/>
      <x:c r="J937" s="15"/>
      <x:c r="K937" s="15"/>
      <x:c r="L937" s="17" t="str">
        <x:f>IF(B937="","",IF(NOT(AND(ISNUMBER(J937),ISNUMBER(K937))),"",SUM(J937:K937)))</x:f>
      </x:c>
      <x:c r="M937" s="15"/>
      <x:c r="N937" s="17" t="str">
        <x:f>IF(OR(B937="",D937&lt;&gt;"pagada",NOT(ISNUMBER(J937)),NOT(ISNUMBER(M937))),"",J937-M937)</x:f>
      </x:c>
      <x:c r="O937" s="9"/>
      <x:c r="P937" s="9"/>
      <x:c r="Q937" s="1" t="str">
        <x:f>IF(B937="","",IF(COUNTIFS($B$7:$B$1006,B937,$C$7:$C$1006,C937)&gt;1,"ID duplicado",IF(OR(A937="",C937="",D937="",E937="",F937="",I937="",J937="",K937="",O937=""),"Completar datos",IF(NOT(ISNUMBER(M937)),"Falta costo histórico","Revisar soporte"))))</x:f>
      </x:c>
      <x:c r="R937" s="9" t="n">
        <x:f>IF(B937="",0,IF(AND(D937="pagada",NOT(ISNUMBER(M937))),1,0))</x:f>
        <x:v>0</x:v>
      </x:c>
    </x:row>
    <x:row r="938" ht="22" customHeight="1">
      <x:c r="A938" s="11"/>
      <x:c r="B938" s="9"/>
      <x:c r="C938" s="9"/>
      <x:c r="D938" s="9"/>
      <x:c r="E938" s="9"/>
      <x:c r="F938" s="9"/>
      <x:c r="G938" s="9"/>
      <x:c r="H938" s="9"/>
      <x:c r="I938" s="13"/>
      <x:c r="J938" s="15"/>
      <x:c r="K938" s="15"/>
      <x:c r="L938" s="17" t="str">
        <x:f>IF(B938="","",IF(NOT(AND(ISNUMBER(J938),ISNUMBER(K938))),"",SUM(J938:K938)))</x:f>
      </x:c>
      <x:c r="M938" s="15"/>
      <x:c r="N938" s="17" t="str">
        <x:f>IF(OR(B938="",D938&lt;&gt;"pagada",NOT(ISNUMBER(J938)),NOT(ISNUMBER(M938))),"",J938-M938)</x:f>
      </x:c>
      <x:c r="O938" s="9"/>
      <x:c r="P938" s="9"/>
      <x:c r="Q938" s="1" t="str">
        <x:f>IF(B938="","",IF(COUNTIFS($B$7:$B$1006,B938,$C$7:$C$1006,C938)&gt;1,"ID duplicado",IF(OR(A938="",C938="",D938="",E938="",F938="",I938="",J938="",K938="",O938=""),"Completar datos",IF(NOT(ISNUMBER(M938)),"Falta costo histórico","Revisar soporte"))))</x:f>
      </x:c>
      <x:c r="R938" s="9" t="n">
        <x:f>IF(B938="",0,IF(AND(D938="pagada",NOT(ISNUMBER(M938))),1,0))</x:f>
        <x:v>0</x:v>
      </x:c>
    </x:row>
    <x:row r="939" ht="22" customHeight="1">
      <x:c r="A939" s="11"/>
      <x:c r="B939" s="9"/>
      <x:c r="C939" s="9"/>
      <x:c r="D939" s="9"/>
      <x:c r="E939" s="9"/>
      <x:c r="F939" s="9"/>
      <x:c r="G939" s="9"/>
      <x:c r="H939" s="9"/>
      <x:c r="I939" s="13"/>
      <x:c r="J939" s="15"/>
      <x:c r="K939" s="15"/>
      <x:c r="L939" s="17" t="str">
        <x:f>IF(B939="","",IF(NOT(AND(ISNUMBER(J939),ISNUMBER(K939))),"",SUM(J939:K939)))</x:f>
      </x:c>
      <x:c r="M939" s="15"/>
      <x:c r="N939" s="17" t="str">
        <x:f>IF(OR(B939="",D939&lt;&gt;"pagada",NOT(ISNUMBER(J939)),NOT(ISNUMBER(M939))),"",J939-M939)</x:f>
      </x:c>
      <x:c r="O939" s="9"/>
      <x:c r="P939" s="9"/>
      <x:c r="Q939" s="1" t="str">
        <x:f>IF(B939="","",IF(COUNTIFS($B$7:$B$1006,B939,$C$7:$C$1006,C939)&gt;1,"ID duplicado",IF(OR(A939="",C939="",D939="",E939="",F939="",I939="",J939="",K939="",O939=""),"Completar datos",IF(NOT(ISNUMBER(M939)),"Falta costo histórico","Revisar soporte"))))</x:f>
      </x:c>
      <x:c r="R939" s="9" t="n">
        <x:f>IF(B939="",0,IF(AND(D939="pagada",NOT(ISNUMBER(M939))),1,0))</x:f>
        <x:v>0</x:v>
      </x:c>
    </x:row>
    <x:row r="940" ht="22" customHeight="1">
      <x:c r="A940" s="11"/>
      <x:c r="B940" s="9"/>
      <x:c r="C940" s="9"/>
      <x:c r="D940" s="9"/>
      <x:c r="E940" s="9"/>
      <x:c r="F940" s="9"/>
      <x:c r="G940" s="9"/>
      <x:c r="H940" s="9"/>
      <x:c r="I940" s="13"/>
      <x:c r="J940" s="15"/>
      <x:c r="K940" s="15"/>
      <x:c r="L940" s="17" t="str">
        <x:f>IF(B940="","",IF(NOT(AND(ISNUMBER(J940),ISNUMBER(K940))),"",SUM(J940:K940)))</x:f>
      </x:c>
      <x:c r="M940" s="15"/>
      <x:c r="N940" s="17" t="str">
        <x:f>IF(OR(B940="",D940&lt;&gt;"pagada",NOT(ISNUMBER(J940)),NOT(ISNUMBER(M940))),"",J940-M940)</x:f>
      </x:c>
      <x:c r="O940" s="9"/>
      <x:c r="P940" s="9"/>
      <x:c r="Q940" s="1" t="str">
        <x:f>IF(B940="","",IF(COUNTIFS($B$7:$B$1006,B940,$C$7:$C$1006,C940)&gt;1,"ID duplicado",IF(OR(A940="",C940="",D940="",E940="",F940="",I940="",J940="",K940="",O940=""),"Completar datos",IF(NOT(ISNUMBER(M940)),"Falta costo histórico","Revisar soporte"))))</x:f>
      </x:c>
      <x:c r="R940" s="9" t="n">
        <x:f>IF(B940="",0,IF(AND(D940="pagada",NOT(ISNUMBER(M940))),1,0))</x:f>
        <x:v>0</x:v>
      </x:c>
    </x:row>
    <x:row r="941" ht="22" customHeight="1">
      <x:c r="A941" s="11"/>
      <x:c r="B941" s="9"/>
      <x:c r="C941" s="9"/>
      <x:c r="D941" s="9"/>
      <x:c r="E941" s="9"/>
      <x:c r="F941" s="9"/>
      <x:c r="G941" s="9"/>
      <x:c r="H941" s="9"/>
      <x:c r="I941" s="13"/>
      <x:c r="J941" s="15"/>
      <x:c r="K941" s="15"/>
      <x:c r="L941" s="17" t="str">
        <x:f>IF(B941="","",IF(NOT(AND(ISNUMBER(J941),ISNUMBER(K941))),"",SUM(J941:K941)))</x:f>
      </x:c>
      <x:c r="M941" s="15"/>
      <x:c r="N941" s="17" t="str">
        <x:f>IF(OR(B941="",D941&lt;&gt;"pagada",NOT(ISNUMBER(J941)),NOT(ISNUMBER(M941))),"",J941-M941)</x:f>
      </x:c>
      <x:c r="O941" s="9"/>
      <x:c r="P941" s="9"/>
      <x:c r="Q941" s="1" t="str">
        <x:f>IF(B941="","",IF(COUNTIFS($B$7:$B$1006,B941,$C$7:$C$1006,C941)&gt;1,"ID duplicado",IF(OR(A941="",C941="",D941="",E941="",F941="",I941="",J941="",K941="",O941=""),"Completar datos",IF(NOT(ISNUMBER(M941)),"Falta costo histórico","Revisar soporte"))))</x:f>
      </x:c>
      <x:c r="R941" s="9" t="n">
        <x:f>IF(B941="",0,IF(AND(D941="pagada",NOT(ISNUMBER(M941))),1,0))</x:f>
        <x:v>0</x:v>
      </x:c>
    </x:row>
    <x:row r="942" ht="22" customHeight="1">
      <x:c r="A942" s="11"/>
      <x:c r="B942" s="9"/>
      <x:c r="C942" s="9"/>
      <x:c r="D942" s="9"/>
      <x:c r="E942" s="9"/>
      <x:c r="F942" s="9"/>
      <x:c r="G942" s="9"/>
      <x:c r="H942" s="9"/>
      <x:c r="I942" s="13"/>
      <x:c r="J942" s="15"/>
      <x:c r="K942" s="15"/>
      <x:c r="L942" s="17" t="str">
        <x:f>IF(B942="","",IF(NOT(AND(ISNUMBER(J942),ISNUMBER(K942))),"",SUM(J942:K942)))</x:f>
      </x:c>
      <x:c r="M942" s="15"/>
      <x:c r="N942" s="17" t="str">
        <x:f>IF(OR(B942="",D942&lt;&gt;"pagada",NOT(ISNUMBER(J942)),NOT(ISNUMBER(M942))),"",J942-M942)</x:f>
      </x:c>
      <x:c r="O942" s="9"/>
      <x:c r="P942" s="9"/>
      <x:c r="Q942" s="1" t="str">
        <x:f>IF(B942="","",IF(COUNTIFS($B$7:$B$1006,B942,$C$7:$C$1006,C942)&gt;1,"ID duplicado",IF(OR(A942="",C942="",D942="",E942="",F942="",I942="",J942="",K942="",O942=""),"Completar datos",IF(NOT(ISNUMBER(M942)),"Falta costo histórico","Revisar soporte"))))</x:f>
      </x:c>
      <x:c r="R942" s="9" t="n">
        <x:f>IF(B942="",0,IF(AND(D942="pagada",NOT(ISNUMBER(M942))),1,0))</x:f>
        <x:v>0</x:v>
      </x:c>
    </x:row>
    <x:row r="943" ht="22" customHeight="1">
      <x:c r="A943" s="11"/>
      <x:c r="B943" s="9"/>
      <x:c r="C943" s="9"/>
      <x:c r="D943" s="9"/>
      <x:c r="E943" s="9"/>
      <x:c r="F943" s="9"/>
      <x:c r="G943" s="9"/>
      <x:c r="H943" s="9"/>
      <x:c r="I943" s="13"/>
      <x:c r="J943" s="15"/>
      <x:c r="K943" s="15"/>
      <x:c r="L943" s="17" t="str">
        <x:f>IF(B943="","",IF(NOT(AND(ISNUMBER(J943),ISNUMBER(K943))),"",SUM(J943:K943)))</x:f>
      </x:c>
      <x:c r="M943" s="15"/>
      <x:c r="N943" s="17" t="str">
        <x:f>IF(OR(B943="",D943&lt;&gt;"pagada",NOT(ISNUMBER(J943)),NOT(ISNUMBER(M943))),"",J943-M943)</x:f>
      </x:c>
      <x:c r="O943" s="9"/>
      <x:c r="P943" s="9"/>
      <x:c r="Q943" s="1" t="str">
        <x:f>IF(B943="","",IF(COUNTIFS($B$7:$B$1006,B943,$C$7:$C$1006,C943)&gt;1,"ID duplicado",IF(OR(A943="",C943="",D943="",E943="",F943="",I943="",J943="",K943="",O943=""),"Completar datos",IF(NOT(ISNUMBER(M943)),"Falta costo histórico","Revisar soporte"))))</x:f>
      </x:c>
      <x:c r="R943" s="9" t="n">
        <x:f>IF(B943="",0,IF(AND(D943="pagada",NOT(ISNUMBER(M943))),1,0))</x:f>
        <x:v>0</x:v>
      </x:c>
    </x:row>
    <x:row r="944" ht="22" customHeight="1">
      <x:c r="A944" s="11"/>
      <x:c r="B944" s="9"/>
      <x:c r="C944" s="9"/>
      <x:c r="D944" s="9"/>
      <x:c r="E944" s="9"/>
      <x:c r="F944" s="9"/>
      <x:c r="G944" s="9"/>
      <x:c r="H944" s="9"/>
      <x:c r="I944" s="13"/>
      <x:c r="J944" s="15"/>
      <x:c r="K944" s="15"/>
      <x:c r="L944" s="17" t="str">
        <x:f>IF(B944="","",IF(NOT(AND(ISNUMBER(J944),ISNUMBER(K944))),"",SUM(J944:K944)))</x:f>
      </x:c>
      <x:c r="M944" s="15"/>
      <x:c r="N944" s="17" t="str">
        <x:f>IF(OR(B944="",D944&lt;&gt;"pagada",NOT(ISNUMBER(J944)),NOT(ISNUMBER(M944))),"",J944-M944)</x:f>
      </x:c>
      <x:c r="O944" s="9"/>
      <x:c r="P944" s="9"/>
      <x:c r="Q944" s="1" t="str">
        <x:f>IF(B944="","",IF(COUNTIFS($B$7:$B$1006,B944,$C$7:$C$1006,C944)&gt;1,"ID duplicado",IF(OR(A944="",C944="",D944="",E944="",F944="",I944="",J944="",K944="",O944=""),"Completar datos",IF(NOT(ISNUMBER(M944)),"Falta costo histórico","Revisar soporte"))))</x:f>
      </x:c>
      <x:c r="R944" s="9" t="n">
        <x:f>IF(B944="",0,IF(AND(D944="pagada",NOT(ISNUMBER(M944))),1,0))</x:f>
        <x:v>0</x:v>
      </x:c>
    </x:row>
    <x:row r="945" ht="22" customHeight="1">
      <x:c r="A945" s="11"/>
      <x:c r="B945" s="9"/>
      <x:c r="C945" s="9"/>
      <x:c r="D945" s="9"/>
      <x:c r="E945" s="9"/>
      <x:c r="F945" s="9"/>
      <x:c r="G945" s="9"/>
      <x:c r="H945" s="9"/>
      <x:c r="I945" s="13"/>
      <x:c r="J945" s="15"/>
      <x:c r="K945" s="15"/>
      <x:c r="L945" s="17" t="str">
        <x:f>IF(B945="","",IF(NOT(AND(ISNUMBER(J945),ISNUMBER(K945))),"",SUM(J945:K945)))</x:f>
      </x:c>
      <x:c r="M945" s="15"/>
      <x:c r="N945" s="17" t="str">
        <x:f>IF(OR(B945="",D945&lt;&gt;"pagada",NOT(ISNUMBER(J945)),NOT(ISNUMBER(M945))),"",J945-M945)</x:f>
      </x:c>
      <x:c r="O945" s="9"/>
      <x:c r="P945" s="9"/>
      <x:c r="Q945" s="1" t="str">
        <x:f>IF(B945="","",IF(COUNTIFS($B$7:$B$1006,B945,$C$7:$C$1006,C945)&gt;1,"ID duplicado",IF(OR(A945="",C945="",D945="",E945="",F945="",I945="",J945="",K945="",O945=""),"Completar datos",IF(NOT(ISNUMBER(M945)),"Falta costo histórico","Revisar soporte"))))</x:f>
      </x:c>
      <x:c r="R945" s="9" t="n">
        <x:f>IF(B945="",0,IF(AND(D945="pagada",NOT(ISNUMBER(M945))),1,0))</x:f>
        <x:v>0</x:v>
      </x:c>
    </x:row>
    <x:row r="946" ht="22" customHeight="1">
      <x:c r="A946" s="11"/>
      <x:c r="B946" s="9"/>
      <x:c r="C946" s="9"/>
      <x:c r="D946" s="9"/>
      <x:c r="E946" s="9"/>
      <x:c r="F946" s="9"/>
      <x:c r="G946" s="9"/>
      <x:c r="H946" s="9"/>
      <x:c r="I946" s="13"/>
      <x:c r="J946" s="15"/>
      <x:c r="K946" s="15"/>
      <x:c r="L946" s="17" t="str">
        <x:f>IF(B946="","",IF(NOT(AND(ISNUMBER(J946),ISNUMBER(K946))),"",SUM(J946:K946)))</x:f>
      </x:c>
      <x:c r="M946" s="15"/>
      <x:c r="N946" s="17" t="str">
        <x:f>IF(OR(B946="",D946&lt;&gt;"pagada",NOT(ISNUMBER(J946)),NOT(ISNUMBER(M946))),"",J946-M946)</x:f>
      </x:c>
      <x:c r="O946" s="9"/>
      <x:c r="P946" s="9"/>
      <x:c r="Q946" s="1" t="str">
        <x:f>IF(B946="","",IF(COUNTIFS($B$7:$B$1006,B946,$C$7:$C$1006,C946)&gt;1,"ID duplicado",IF(OR(A946="",C946="",D946="",E946="",F946="",I946="",J946="",K946="",O946=""),"Completar datos",IF(NOT(ISNUMBER(M946)),"Falta costo histórico","Revisar soporte"))))</x:f>
      </x:c>
      <x:c r="R946" s="9" t="n">
        <x:f>IF(B946="",0,IF(AND(D946="pagada",NOT(ISNUMBER(M946))),1,0))</x:f>
        <x:v>0</x:v>
      </x:c>
    </x:row>
    <x:row r="947" ht="22" customHeight="1">
      <x:c r="A947" s="11"/>
      <x:c r="B947" s="9"/>
      <x:c r="C947" s="9"/>
      <x:c r="D947" s="9"/>
      <x:c r="E947" s="9"/>
      <x:c r="F947" s="9"/>
      <x:c r="G947" s="9"/>
      <x:c r="H947" s="9"/>
      <x:c r="I947" s="13"/>
      <x:c r="J947" s="15"/>
      <x:c r="K947" s="15"/>
      <x:c r="L947" s="17" t="str">
        <x:f>IF(B947="","",IF(NOT(AND(ISNUMBER(J947),ISNUMBER(K947))),"",SUM(J947:K947)))</x:f>
      </x:c>
      <x:c r="M947" s="15"/>
      <x:c r="N947" s="17" t="str">
        <x:f>IF(OR(B947="",D947&lt;&gt;"pagada",NOT(ISNUMBER(J947)),NOT(ISNUMBER(M947))),"",J947-M947)</x:f>
      </x:c>
      <x:c r="O947" s="9"/>
      <x:c r="P947" s="9"/>
      <x:c r="Q947" s="1" t="str">
        <x:f>IF(B947="","",IF(COUNTIFS($B$7:$B$1006,B947,$C$7:$C$1006,C947)&gt;1,"ID duplicado",IF(OR(A947="",C947="",D947="",E947="",F947="",I947="",J947="",K947="",O947=""),"Completar datos",IF(NOT(ISNUMBER(M947)),"Falta costo histórico","Revisar soporte"))))</x:f>
      </x:c>
      <x:c r="R947" s="9" t="n">
        <x:f>IF(B947="",0,IF(AND(D947="pagada",NOT(ISNUMBER(M947))),1,0))</x:f>
        <x:v>0</x:v>
      </x:c>
    </x:row>
    <x:row r="948" ht="22" customHeight="1">
      <x:c r="A948" s="11"/>
      <x:c r="B948" s="9"/>
      <x:c r="C948" s="9"/>
      <x:c r="D948" s="9"/>
      <x:c r="E948" s="9"/>
      <x:c r="F948" s="9"/>
      <x:c r="G948" s="9"/>
      <x:c r="H948" s="9"/>
      <x:c r="I948" s="13"/>
      <x:c r="J948" s="15"/>
      <x:c r="K948" s="15"/>
      <x:c r="L948" s="17" t="str">
        <x:f>IF(B948="","",IF(NOT(AND(ISNUMBER(J948),ISNUMBER(K948))),"",SUM(J948:K948)))</x:f>
      </x:c>
      <x:c r="M948" s="15"/>
      <x:c r="N948" s="17" t="str">
        <x:f>IF(OR(B948="",D948&lt;&gt;"pagada",NOT(ISNUMBER(J948)),NOT(ISNUMBER(M948))),"",J948-M948)</x:f>
      </x:c>
      <x:c r="O948" s="9"/>
      <x:c r="P948" s="9"/>
      <x:c r="Q948" s="1" t="str">
        <x:f>IF(B948="","",IF(COUNTIFS($B$7:$B$1006,B948,$C$7:$C$1006,C948)&gt;1,"ID duplicado",IF(OR(A948="",C948="",D948="",E948="",F948="",I948="",J948="",K948="",O948=""),"Completar datos",IF(NOT(ISNUMBER(M948)),"Falta costo histórico","Revisar soporte"))))</x:f>
      </x:c>
      <x:c r="R948" s="9" t="n">
        <x:f>IF(B948="",0,IF(AND(D948="pagada",NOT(ISNUMBER(M948))),1,0))</x:f>
        <x:v>0</x:v>
      </x:c>
    </x:row>
    <x:row r="949" ht="22" customHeight="1">
      <x:c r="A949" s="11"/>
      <x:c r="B949" s="9"/>
      <x:c r="C949" s="9"/>
      <x:c r="D949" s="9"/>
      <x:c r="E949" s="9"/>
      <x:c r="F949" s="9"/>
      <x:c r="G949" s="9"/>
      <x:c r="H949" s="9"/>
      <x:c r="I949" s="13"/>
      <x:c r="J949" s="15"/>
      <x:c r="K949" s="15"/>
      <x:c r="L949" s="17" t="str">
        <x:f>IF(B949="","",IF(NOT(AND(ISNUMBER(J949),ISNUMBER(K949))),"",SUM(J949:K949)))</x:f>
      </x:c>
      <x:c r="M949" s="15"/>
      <x:c r="N949" s="17" t="str">
        <x:f>IF(OR(B949="",D949&lt;&gt;"pagada",NOT(ISNUMBER(J949)),NOT(ISNUMBER(M949))),"",J949-M949)</x:f>
      </x:c>
      <x:c r="O949" s="9"/>
      <x:c r="P949" s="9"/>
      <x:c r="Q949" s="1" t="str">
        <x:f>IF(B949="","",IF(COUNTIFS($B$7:$B$1006,B949,$C$7:$C$1006,C949)&gt;1,"ID duplicado",IF(OR(A949="",C949="",D949="",E949="",F949="",I949="",J949="",K949="",O949=""),"Completar datos",IF(NOT(ISNUMBER(M949)),"Falta costo histórico","Revisar soporte"))))</x:f>
      </x:c>
      <x:c r="R949" s="9" t="n">
        <x:f>IF(B949="",0,IF(AND(D949="pagada",NOT(ISNUMBER(M949))),1,0))</x:f>
        <x:v>0</x:v>
      </x:c>
    </x:row>
    <x:row r="950" ht="22" customHeight="1">
      <x:c r="A950" s="11"/>
      <x:c r="B950" s="9"/>
      <x:c r="C950" s="9"/>
      <x:c r="D950" s="9"/>
      <x:c r="E950" s="9"/>
      <x:c r="F950" s="9"/>
      <x:c r="G950" s="9"/>
      <x:c r="H950" s="9"/>
      <x:c r="I950" s="13"/>
      <x:c r="J950" s="15"/>
      <x:c r="K950" s="15"/>
      <x:c r="L950" s="17" t="str">
        <x:f>IF(B950="","",IF(NOT(AND(ISNUMBER(J950),ISNUMBER(K950))),"",SUM(J950:K950)))</x:f>
      </x:c>
      <x:c r="M950" s="15"/>
      <x:c r="N950" s="17" t="str">
        <x:f>IF(OR(B950="",D950&lt;&gt;"pagada",NOT(ISNUMBER(J950)),NOT(ISNUMBER(M950))),"",J950-M950)</x:f>
      </x:c>
      <x:c r="O950" s="9"/>
      <x:c r="P950" s="9"/>
      <x:c r="Q950" s="1" t="str">
        <x:f>IF(B950="","",IF(COUNTIFS($B$7:$B$1006,B950,$C$7:$C$1006,C950)&gt;1,"ID duplicado",IF(OR(A950="",C950="",D950="",E950="",F950="",I950="",J950="",K950="",O950=""),"Completar datos",IF(NOT(ISNUMBER(M950)),"Falta costo histórico","Revisar soporte"))))</x:f>
      </x:c>
      <x:c r="R950" s="9" t="n">
        <x:f>IF(B950="",0,IF(AND(D950="pagada",NOT(ISNUMBER(M950))),1,0))</x:f>
        <x:v>0</x:v>
      </x:c>
    </x:row>
    <x:row r="951" ht="22" customHeight="1">
      <x:c r="A951" s="11"/>
      <x:c r="B951" s="9"/>
      <x:c r="C951" s="9"/>
      <x:c r="D951" s="9"/>
      <x:c r="E951" s="9"/>
      <x:c r="F951" s="9"/>
      <x:c r="G951" s="9"/>
      <x:c r="H951" s="9"/>
      <x:c r="I951" s="13"/>
      <x:c r="J951" s="15"/>
      <x:c r="K951" s="15"/>
      <x:c r="L951" s="17" t="str">
        <x:f>IF(B951="","",IF(NOT(AND(ISNUMBER(J951),ISNUMBER(K951))),"",SUM(J951:K951)))</x:f>
      </x:c>
      <x:c r="M951" s="15"/>
      <x:c r="N951" s="17" t="str">
        <x:f>IF(OR(B951="",D951&lt;&gt;"pagada",NOT(ISNUMBER(J951)),NOT(ISNUMBER(M951))),"",J951-M951)</x:f>
      </x:c>
      <x:c r="O951" s="9"/>
      <x:c r="P951" s="9"/>
      <x:c r="Q951" s="1" t="str">
        <x:f>IF(B951="","",IF(COUNTIFS($B$7:$B$1006,B951,$C$7:$C$1006,C951)&gt;1,"ID duplicado",IF(OR(A951="",C951="",D951="",E951="",F951="",I951="",J951="",K951="",O951=""),"Completar datos",IF(NOT(ISNUMBER(M951)),"Falta costo histórico","Revisar soporte"))))</x:f>
      </x:c>
      <x:c r="R951" s="9" t="n">
        <x:f>IF(B951="",0,IF(AND(D951="pagada",NOT(ISNUMBER(M951))),1,0))</x:f>
        <x:v>0</x:v>
      </x:c>
    </x:row>
    <x:row r="952" ht="22" customHeight="1">
      <x:c r="A952" s="11"/>
      <x:c r="B952" s="9"/>
      <x:c r="C952" s="9"/>
      <x:c r="D952" s="9"/>
      <x:c r="E952" s="9"/>
      <x:c r="F952" s="9"/>
      <x:c r="G952" s="9"/>
      <x:c r="H952" s="9"/>
      <x:c r="I952" s="13"/>
      <x:c r="J952" s="15"/>
      <x:c r="K952" s="15"/>
      <x:c r="L952" s="17" t="str">
        <x:f>IF(B952="","",IF(NOT(AND(ISNUMBER(J952),ISNUMBER(K952))),"",SUM(J952:K952)))</x:f>
      </x:c>
      <x:c r="M952" s="15"/>
      <x:c r="N952" s="17" t="str">
        <x:f>IF(OR(B952="",D952&lt;&gt;"pagada",NOT(ISNUMBER(J952)),NOT(ISNUMBER(M952))),"",J952-M952)</x:f>
      </x:c>
      <x:c r="O952" s="9"/>
      <x:c r="P952" s="9"/>
      <x:c r="Q952" s="1" t="str">
        <x:f>IF(B952="","",IF(COUNTIFS($B$7:$B$1006,B952,$C$7:$C$1006,C952)&gt;1,"ID duplicado",IF(OR(A952="",C952="",D952="",E952="",F952="",I952="",J952="",K952="",O952=""),"Completar datos",IF(NOT(ISNUMBER(M952)),"Falta costo histórico","Revisar soporte"))))</x:f>
      </x:c>
      <x:c r="R952" s="9" t="n">
        <x:f>IF(B952="",0,IF(AND(D952="pagada",NOT(ISNUMBER(M952))),1,0))</x:f>
        <x:v>0</x:v>
      </x:c>
    </x:row>
    <x:row r="953" ht="22" customHeight="1">
      <x:c r="A953" s="11"/>
      <x:c r="B953" s="9"/>
      <x:c r="C953" s="9"/>
      <x:c r="D953" s="9"/>
      <x:c r="E953" s="9"/>
      <x:c r="F953" s="9"/>
      <x:c r="G953" s="9"/>
      <x:c r="H953" s="9"/>
      <x:c r="I953" s="13"/>
      <x:c r="J953" s="15"/>
      <x:c r="K953" s="15"/>
      <x:c r="L953" s="17" t="str">
        <x:f>IF(B953="","",IF(NOT(AND(ISNUMBER(J953),ISNUMBER(K953))),"",SUM(J953:K953)))</x:f>
      </x:c>
      <x:c r="M953" s="15"/>
      <x:c r="N953" s="17" t="str">
        <x:f>IF(OR(B953="",D953&lt;&gt;"pagada",NOT(ISNUMBER(J953)),NOT(ISNUMBER(M953))),"",J953-M953)</x:f>
      </x:c>
      <x:c r="O953" s="9"/>
      <x:c r="P953" s="9"/>
      <x:c r="Q953" s="1" t="str">
        <x:f>IF(B953="","",IF(COUNTIFS($B$7:$B$1006,B953,$C$7:$C$1006,C953)&gt;1,"ID duplicado",IF(OR(A953="",C953="",D953="",E953="",F953="",I953="",J953="",K953="",O953=""),"Completar datos",IF(NOT(ISNUMBER(M953)),"Falta costo histórico","Revisar soporte"))))</x:f>
      </x:c>
      <x:c r="R953" s="9" t="n">
        <x:f>IF(B953="",0,IF(AND(D953="pagada",NOT(ISNUMBER(M953))),1,0))</x:f>
        <x:v>0</x:v>
      </x:c>
    </x:row>
    <x:row r="954" ht="22" customHeight="1">
      <x:c r="A954" s="11"/>
      <x:c r="B954" s="9"/>
      <x:c r="C954" s="9"/>
      <x:c r="D954" s="9"/>
      <x:c r="E954" s="9"/>
      <x:c r="F954" s="9"/>
      <x:c r="G954" s="9"/>
      <x:c r="H954" s="9"/>
      <x:c r="I954" s="13"/>
      <x:c r="J954" s="15"/>
      <x:c r="K954" s="15"/>
      <x:c r="L954" s="17" t="str">
        <x:f>IF(B954="","",IF(NOT(AND(ISNUMBER(J954),ISNUMBER(K954))),"",SUM(J954:K954)))</x:f>
      </x:c>
      <x:c r="M954" s="15"/>
      <x:c r="N954" s="17" t="str">
        <x:f>IF(OR(B954="",D954&lt;&gt;"pagada",NOT(ISNUMBER(J954)),NOT(ISNUMBER(M954))),"",J954-M954)</x:f>
      </x:c>
      <x:c r="O954" s="9"/>
      <x:c r="P954" s="9"/>
      <x:c r="Q954" s="1" t="str">
        <x:f>IF(B954="","",IF(COUNTIFS($B$7:$B$1006,B954,$C$7:$C$1006,C954)&gt;1,"ID duplicado",IF(OR(A954="",C954="",D954="",E954="",F954="",I954="",J954="",K954="",O954=""),"Completar datos",IF(NOT(ISNUMBER(M954)),"Falta costo histórico","Revisar soporte"))))</x:f>
      </x:c>
      <x:c r="R954" s="9" t="n">
        <x:f>IF(B954="",0,IF(AND(D954="pagada",NOT(ISNUMBER(M954))),1,0))</x:f>
        <x:v>0</x:v>
      </x:c>
    </x:row>
    <x:row r="955" ht="22" customHeight="1">
      <x:c r="A955" s="11"/>
      <x:c r="B955" s="9"/>
      <x:c r="C955" s="9"/>
      <x:c r="D955" s="9"/>
      <x:c r="E955" s="9"/>
      <x:c r="F955" s="9"/>
      <x:c r="G955" s="9"/>
      <x:c r="H955" s="9"/>
      <x:c r="I955" s="13"/>
      <x:c r="J955" s="15"/>
      <x:c r="K955" s="15"/>
      <x:c r="L955" s="17" t="str">
        <x:f>IF(B955="","",IF(NOT(AND(ISNUMBER(J955),ISNUMBER(K955))),"",SUM(J955:K955)))</x:f>
      </x:c>
      <x:c r="M955" s="15"/>
      <x:c r="N955" s="17" t="str">
        <x:f>IF(OR(B955="",D955&lt;&gt;"pagada",NOT(ISNUMBER(J955)),NOT(ISNUMBER(M955))),"",J955-M955)</x:f>
      </x:c>
      <x:c r="O955" s="9"/>
      <x:c r="P955" s="9"/>
      <x:c r="Q955" s="1" t="str">
        <x:f>IF(B955="","",IF(COUNTIFS($B$7:$B$1006,B955,$C$7:$C$1006,C955)&gt;1,"ID duplicado",IF(OR(A955="",C955="",D955="",E955="",F955="",I955="",J955="",K955="",O955=""),"Completar datos",IF(NOT(ISNUMBER(M955)),"Falta costo histórico","Revisar soporte"))))</x:f>
      </x:c>
      <x:c r="R955" s="9" t="n">
        <x:f>IF(B955="",0,IF(AND(D955="pagada",NOT(ISNUMBER(M955))),1,0))</x:f>
        <x:v>0</x:v>
      </x:c>
    </x:row>
    <x:row r="956" ht="22" customHeight="1">
      <x:c r="A956" s="11"/>
      <x:c r="B956" s="9"/>
      <x:c r="C956" s="9"/>
      <x:c r="D956" s="9"/>
      <x:c r="E956" s="9"/>
      <x:c r="F956" s="9"/>
      <x:c r="G956" s="9"/>
      <x:c r="H956" s="9"/>
      <x:c r="I956" s="13"/>
      <x:c r="J956" s="15"/>
      <x:c r="K956" s="15"/>
      <x:c r="L956" s="17" t="str">
        <x:f>IF(B956="","",IF(NOT(AND(ISNUMBER(J956),ISNUMBER(K956))),"",SUM(J956:K956)))</x:f>
      </x:c>
      <x:c r="M956" s="15"/>
      <x:c r="N956" s="17" t="str">
        <x:f>IF(OR(B956="",D956&lt;&gt;"pagada",NOT(ISNUMBER(J956)),NOT(ISNUMBER(M956))),"",J956-M956)</x:f>
      </x:c>
      <x:c r="O956" s="9"/>
      <x:c r="P956" s="9"/>
      <x:c r="Q956" s="1" t="str">
        <x:f>IF(B956="","",IF(COUNTIFS($B$7:$B$1006,B956,$C$7:$C$1006,C956)&gt;1,"ID duplicado",IF(OR(A956="",C956="",D956="",E956="",F956="",I956="",J956="",K956="",O956=""),"Completar datos",IF(NOT(ISNUMBER(M956)),"Falta costo histórico","Revisar soporte"))))</x:f>
      </x:c>
      <x:c r="R956" s="9" t="n">
        <x:f>IF(B956="",0,IF(AND(D956="pagada",NOT(ISNUMBER(M956))),1,0))</x:f>
        <x:v>0</x:v>
      </x:c>
    </x:row>
    <x:row r="957" ht="22" customHeight="1">
      <x:c r="A957" s="11"/>
      <x:c r="B957" s="9"/>
      <x:c r="C957" s="9"/>
      <x:c r="D957" s="9"/>
      <x:c r="E957" s="9"/>
      <x:c r="F957" s="9"/>
      <x:c r="G957" s="9"/>
      <x:c r="H957" s="9"/>
      <x:c r="I957" s="13"/>
      <x:c r="J957" s="15"/>
      <x:c r="K957" s="15"/>
      <x:c r="L957" s="17" t="str">
        <x:f>IF(B957="","",IF(NOT(AND(ISNUMBER(J957),ISNUMBER(K957))),"",SUM(J957:K957)))</x:f>
      </x:c>
      <x:c r="M957" s="15"/>
      <x:c r="N957" s="17" t="str">
        <x:f>IF(OR(B957="",D957&lt;&gt;"pagada",NOT(ISNUMBER(J957)),NOT(ISNUMBER(M957))),"",J957-M957)</x:f>
      </x:c>
      <x:c r="O957" s="9"/>
      <x:c r="P957" s="9"/>
      <x:c r="Q957" s="1" t="str">
        <x:f>IF(B957="","",IF(COUNTIFS($B$7:$B$1006,B957,$C$7:$C$1006,C957)&gt;1,"ID duplicado",IF(OR(A957="",C957="",D957="",E957="",F957="",I957="",J957="",K957="",O957=""),"Completar datos",IF(NOT(ISNUMBER(M957)),"Falta costo histórico","Revisar soporte"))))</x:f>
      </x:c>
      <x:c r="R957" s="9" t="n">
        <x:f>IF(B957="",0,IF(AND(D957="pagada",NOT(ISNUMBER(M957))),1,0))</x:f>
        <x:v>0</x:v>
      </x:c>
    </x:row>
    <x:row r="958" ht="22" customHeight="1">
      <x:c r="A958" s="11"/>
      <x:c r="B958" s="9"/>
      <x:c r="C958" s="9"/>
      <x:c r="D958" s="9"/>
      <x:c r="E958" s="9"/>
      <x:c r="F958" s="9"/>
      <x:c r="G958" s="9"/>
      <x:c r="H958" s="9"/>
      <x:c r="I958" s="13"/>
      <x:c r="J958" s="15"/>
      <x:c r="K958" s="15"/>
      <x:c r="L958" s="17" t="str">
        <x:f>IF(B958="","",IF(NOT(AND(ISNUMBER(J958),ISNUMBER(K958))),"",SUM(J958:K958)))</x:f>
      </x:c>
      <x:c r="M958" s="15"/>
      <x:c r="N958" s="17" t="str">
        <x:f>IF(OR(B958="",D958&lt;&gt;"pagada",NOT(ISNUMBER(J958)),NOT(ISNUMBER(M958))),"",J958-M958)</x:f>
      </x:c>
      <x:c r="O958" s="9"/>
      <x:c r="P958" s="9"/>
      <x:c r="Q958" s="1" t="str">
        <x:f>IF(B958="","",IF(COUNTIFS($B$7:$B$1006,B958,$C$7:$C$1006,C958)&gt;1,"ID duplicado",IF(OR(A958="",C958="",D958="",E958="",F958="",I958="",J958="",K958="",O958=""),"Completar datos",IF(NOT(ISNUMBER(M958)),"Falta costo histórico","Revisar soporte"))))</x:f>
      </x:c>
      <x:c r="R958" s="9" t="n">
        <x:f>IF(B958="",0,IF(AND(D958="pagada",NOT(ISNUMBER(M958))),1,0))</x:f>
        <x:v>0</x:v>
      </x:c>
    </x:row>
    <x:row r="959" ht="22" customHeight="1">
      <x:c r="A959" s="11"/>
      <x:c r="B959" s="9"/>
      <x:c r="C959" s="9"/>
      <x:c r="D959" s="9"/>
      <x:c r="E959" s="9"/>
      <x:c r="F959" s="9"/>
      <x:c r="G959" s="9"/>
      <x:c r="H959" s="9"/>
      <x:c r="I959" s="13"/>
      <x:c r="J959" s="15"/>
      <x:c r="K959" s="15"/>
      <x:c r="L959" s="17" t="str">
        <x:f>IF(B959="","",IF(NOT(AND(ISNUMBER(J959),ISNUMBER(K959))),"",SUM(J959:K959)))</x:f>
      </x:c>
      <x:c r="M959" s="15"/>
      <x:c r="N959" s="17" t="str">
        <x:f>IF(OR(B959="",D959&lt;&gt;"pagada",NOT(ISNUMBER(J959)),NOT(ISNUMBER(M959))),"",J959-M959)</x:f>
      </x:c>
      <x:c r="O959" s="9"/>
      <x:c r="P959" s="9"/>
      <x:c r="Q959" s="1" t="str">
        <x:f>IF(B959="","",IF(COUNTIFS($B$7:$B$1006,B959,$C$7:$C$1006,C959)&gt;1,"ID duplicado",IF(OR(A959="",C959="",D959="",E959="",F959="",I959="",J959="",K959="",O959=""),"Completar datos",IF(NOT(ISNUMBER(M959)),"Falta costo histórico","Revisar soporte"))))</x:f>
      </x:c>
      <x:c r="R959" s="9" t="n">
        <x:f>IF(B959="",0,IF(AND(D959="pagada",NOT(ISNUMBER(M959))),1,0))</x:f>
        <x:v>0</x:v>
      </x:c>
    </x:row>
    <x:row r="960" ht="22" customHeight="1">
      <x:c r="A960" s="11"/>
      <x:c r="B960" s="9"/>
      <x:c r="C960" s="9"/>
      <x:c r="D960" s="9"/>
      <x:c r="E960" s="9"/>
      <x:c r="F960" s="9"/>
      <x:c r="G960" s="9"/>
      <x:c r="H960" s="9"/>
      <x:c r="I960" s="13"/>
      <x:c r="J960" s="15"/>
      <x:c r="K960" s="15"/>
      <x:c r="L960" s="17" t="str">
        <x:f>IF(B960="","",IF(NOT(AND(ISNUMBER(J960),ISNUMBER(K960))),"",SUM(J960:K960)))</x:f>
      </x:c>
      <x:c r="M960" s="15"/>
      <x:c r="N960" s="17" t="str">
        <x:f>IF(OR(B960="",D960&lt;&gt;"pagada",NOT(ISNUMBER(J960)),NOT(ISNUMBER(M960))),"",J960-M960)</x:f>
      </x:c>
      <x:c r="O960" s="9"/>
      <x:c r="P960" s="9"/>
      <x:c r="Q960" s="1" t="str">
        <x:f>IF(B960="","",IF(COUNTIFS($B$7:$B$1006,B960,$C$7:$C$1006,C960)&gt;1,"ID duplicado",IF(OR(A960="",C960="",D960="",E960="",F960="",I960="",J960="",K960="",O960=""),"Completar datos",IF(NOT(ISNUMBER(M960)),"Falta costo histórico","Revisar soporte"))))</x:f>
      </x:c>
      <x:c r="R960" s="9" t="n">
        <x:f>IF(B960="",0,IF(AND(D960="pagada",NOT(ISNUMBER(M960))),1,0))</x:f>
        <x:v>0</x:v>
      </x:c>
    </x:row>
    <x:row r="961" ht="22" customHeight="1">
      <x:c r="A961" s="11"/>
      <x:c r="B961" s="9"/>
      <x:c r="C961" s="9"/>
      <x:c r="D961" s="9"/>
      <x:c r="E961" s="9"/>
      <x:c r="F961" s="9"/>
      <x:c r="G961" s="9"/>
      <x:c r="H961" s="9"/>
      <x:c r="I961" s="13"/>
      <x:c r="J961" s="15"/>
      <x:c r="K961" s="15"/>
      <x:c r="L961" s="17" t="str">
        <x:f>IF(B961="","",IF(NOT(AND(ISNUMBER(J961),ISNUMBER(K961))),"",SUM(J961:K961)))</x:f>
      </x:c>
      <x:c r="M961" s="15"/>
      <x:c r="N961" s="17" t="str">
        <x:f>IF(OR(B961="",D961&lt;&gt;"pagada",NOT(ISNUMBER(J961)),NOT(ISNUMBER(M961))),"",J961-M961)</x:f>
      </x:c>
      <x:c r="O961" s="9"/>
      <x:c r="P961" s="9"/>
      <x:c r="Q961" s="1" t="str">
        <x:f>IF(B961="","",IF(COUNTIFS($B$7:$B$1006,B961,$C$7:$C$1006,C961)&gt;1,"ID duplicado",IF(OR(A961="",C961="",D961="",E961="",F961="",I961="",J961="",K961="",O961=""),"Completar datos",IF(NOT(ISNUMBER(M961)),"Falta costo histórico","Revisar soporte"))))</x:f>
      </x:c>
      <x:c r="R961" s="9" t="n">
        <x:f>IF(B961="",0,IF(AND(D961="pagada",NOT(ISNUMBER(M961))),1,0))</x:f>
        <x:v>0</x:v>
      </x:c>
    </x:row>
    <x:row r="962" ht="22" customHeight="1">
      <x:c r="A962" s="11"/>
      <x:c r="B962" s="9"/>
      <x:c r="C962" s="9"/>
      <x:c r="D962" s="9"/>
      <x:c r="E962" s="9"/>
      <x:c r="F962" s="9"/>
      <x:c r="G962" s="9"/>
      <x:c r="H962" s="9"/>
      <x:c r="I962" s="13"/>
      <x:c r="J962" s="15"/>
      <x:c r="K962" s="15"/>
      <x:c r="L962" s="17" t="str">
        <x:f>IF(B962="","",IF(NOT(AND(ISNUMBER(J962),ISNUMBER(K962))),"",SUM(J962:K962)))</x:f>
      </x:c>
      <x:c r="M962" s="15"/>
      <x:c r="N962" s="17" t="str">
        <x:f>IF(OR(B962="",D962&lt;&gt;"pagada",NOT(ISNUMBER(J962)),NOT(ISNUMBER(M962))),"",J962-M962)</x:f>
      </x:c>
      <x:c r="O962" s="9"/>
      <x:c r="P962" s="9"/>
      <x:c r="Q962" s="1" t="str">
        <x:f>IF(B962="","",IF(COUNTIFS($B$7:$B$1006,B962,$C$7:$C$1006,C962)&gt;1,"ID duplicado",IF(OR(A962="",C962="",D962="",E962="",F962="",I962="",J962="",K962="",O962=""),"Completar datos",IF(NOT(ISNUMBER(M962)),"Falta costo histórico","Revisar soporte"))))</x:f>
      </x:c>
      <x:c r="R962" s="9" t="n">
        <x:f>IF(B962="",0,IF(AND(D962="pagada",NOT(ISNUMBER(M962))),1,0))</x:f>
        <x:v>0</x:v>
      </x:c>
    </x:row>
    <x:row r="963" ht="22" customHeight="1">
      <x:c r="A963" s="11"/>
      <x:c r="B963" s="9"/>
      <x:c r="C963" s="9"/>
      <x:c r="D963" s="9"/>
      <x:c r="E963" s="9"/>
      <x:c r="F963" s="9"/>
      <x:c r="G963" s="9"/>
      <x:c r="H963" s="9"/>
      <x:c r="I963" s="13"/>
      <x:c r="J963" s="15"/>
      <x:c r="K963" s="15"/>
      <x:c r="L963" s="17" t="str">
        <x:f>IF(B963="","",IF(NOT(AND(ISNUMBER(J963),ISNUMBER(K963))),"",SUM(J963:K963)))</x:f>
      </x:c>
      <x:c r="M963" s="15"/>
      <x:c r="N963" s="17" t="str">
        <x:f>IF(OR(B963="",D963&lt;&gt;"pagada",NOT(ISNUMBER(J963)),NOT(ISNUMBER(M963))),"",J963-M963)</x:f>
      </x:c>
      <x:c r="O963" s="9"/>
      <x:c r="P963" s="9"/>
      <x:c r="Q963" s="1" t="str">
        <x:f>IF(B963="","",IF(COUNTIFS($B$7:$B$1006,B963,$C$7:$C$1006,C963)&gt;1,"ID duplicado",IF(OR(A963="",C963="",D963="",E963="",F963="",I963="",J963="",K963="",O963=""),"Completar datos",IF(NOT(ISNUMBER(M963)),"Falta costo histórico","Revisar soporte"))))</x:f>
      </x:c>
      <x:c r="R963" s="9" t="n">
        <x:f>IF(B963="",0,IF(AND(D963="pagada",NOT(ISNUMBER(M963))),1,0))</x:f>
        <x:v>0</x:v>
      </x:c>
    </x:row>
    <x:row r="964" ht="22" customHeight="1">
      <x:c r="A964" s="11"/>
      <x:c r="B964" s="9"/>
      <x:c r="C964" s="9"/>
      <x:c r="D964" s="9"/>
      <x:c r="E964" s="9"/>
      <x:c r="F964" s="9"/>
      <x:c r="G964" s="9"/>
      <x:c r="H964" s="9"/>
      <x:c r="I964" s="13"/>
      <x:c r="J964" s="15"/>
      <x:c r="K964" s="15"/>
      <x:c r="L964" s="17" t="str">
        <x:f>IF(B964="","",IF(NOT(AND(ISNUMBER(J964),ISNUMBER(K964))),"",SUM(J964:K964)))</x:f>
      </x:c>
      <x:c r="M964" s="15"/>
      <x:c r="N964" s="17" t="str">
        <x:f>IF(OR(B964="",D964&lt;&gt;"pagada",NOT(ISNUMBER(J964)),NOT(ISNUMBER(M964))),"",J964-M964)</x:f>
      </x:c>
      <x:c r="O964" s="9"/>
      <x:c r="P964" s="9"/>
      <x:c r="Q964" s="1" t="str">
        <x:f>IF(B964="","",IF(COUNTIFS($B$7:$B$1006,B964,$C$7:$C$1006,C964)&gt;1,"ID duplicado",IF(OR(A964="",C964="",D964="",E964="",F964="",I964="",J964="",K964="",O964=""),"Completar datos",IF(NOT(ISNUMBER(M964)),"Falta costo histórico","Revisar soporte"))))</x:f>
      </x:c>
      <x:c r="R964" s="9" t="n">
        <x:f>IF(B964="",0,IF(AND(D964="pagada",NOT(ISNUMBER(M964))),1,0))</x:f>
        <x:v>0</x:v>
      </x:c>
    </x:row>
    <x:row r="965" ht="22" customHeight="1">
      <x:c r="A965" s="11"/>
      <x:c r="B965" s="9"/>
      <x:c r="C965" s="9"/>
      <x:c r="D965" s="9"/>
      <x:c r="E965" s="9"/>
      <x:c r="F965" s="9"/>
      <x:c r="G965" s="9"/>
      <x:c r="H965" s="9"/>
      <x:c r="I965" s="13"/>
      <x:c r="J965" s="15"/>
      <x:c r="K965" s="15"/>
      <x:c r="L965" s="17" t="str">
        <x:f>IF(B965="","",IF(NOT(AND(ISNUMBER(J965),ISNUMBER(K965))),"",SUM(J965:K965)))</x:f>
      </x:c>
      <x:c r="M965" s="15"/>
      <x:c r="N965" s="17" t="str">
        <x:f>IF(OR(B965="",D965&lt;&gt;"pagada",NOT(ISNUMBER(J965)),NOT(ISNUMBER(M965))),"",J965-M965)</x:f>
      </x:c>
      <x:c r="O965" s="9"/>
      <x:c r="P965" s="9"/>
      <x:c r="Q965" s="1" t="str">
        <x:f>IF(B965="","",IF(COUNTIFS($B$7:$B$1006,B965,$C$7:$C$1006,C965)&gt;1,"ID duplicado",IF(OR(A965="",C965="",D965="",E965="",F965="",I965="",J965="",K965="",O965=""),"Completar datos",IF(NOT(ISNUMBER(M965)),"Falta costo histórico","Revisar soporte"))))</x:f>
      </x:c>
      <x:c r="R965" s="9" t="n">
        <x:f>IF(B965="",0,IF(AND(D965="pagada",NOT(ISNUMBER(M965))),1,0))</x:f>
        <x:v>0</x:v>
      </x:c>
    </x:row>
    <x:row r="966" ht="22" customHeight="1">
      <x:c r="A966" s="11"/>
      <x:c r="B966" s="9"/>
      <x:c r="C966" s="9"/>
      <x:c r="D966" s="9"/>
      <x:c r="E966" s="9"/>
      <x:c r="F966" s="9"/>
      <x:c r="G966" s="9"/>
      <x:c r="H966" s="9"/>
      <x:c r="I966" s="13"/>
      <x:c r="J966" s="15"/>
      <x:c r="K966" s="15"/>
      <x:c r="L966" s="17" t="str">
        <x:f>IF(B966="","",IF(NOT(AND(ISNUMBER(J966),ISNUMBER(K966))),"",SUM(J966:K966)))</x:f>
      </x:c>
      <x:c r="M966" s="15"/>
      <x:c r="N966" s="17" t="str">
        <x:f>IF(OR(B966="",D966&lt;&gt;"pagada",NOT(ISNUMBER(J966)),NOT(ISNUMBER(M966))),"",J966-M966)</x:f>
      </x:c>
      <x:c r="O966" s="9"/>
      <x:c r="P966" s="9"/>
      <x:c r="Q966" s="1" t="str">
        <x:f>IF(B966="","",IF(COUNTIFS($B$7:$B$1006,B966,$C$7:$C$1006,C966)&gt;1,"ID duplicado",IF(OR(A966="",C966="",D966="",E966="",F966="",I966="",J966="",K966="",O966=""),"Completar datos",IF(NOT(ISNUMBER(M966)),"Falta costo histórico","Revisar soporte"))))</x:f>
      </x:c>
      <x:c r="R966" s="9" t="n">
        <x:f>IF(B966="",0,IF(AND(D966="pagada",NOT(ISNUMBER(M966))),1,0))</x:f>
        <x:v>0</x:v>
      </x:c>
    </x:row>
    <x:row r="967" ht="22" customHeight="1">
      <x:c r="A967" s="11"/>
      <x:c r="B967" s="9"/>
      <x:c r="C967" s="9"/>
      <x:c r="D967" s="9"/>
      <x:c r="E967" s="9"/>
      <x:c r="F967" s="9"/>
      <x:c r="G967" s="9"/>
      <x:c r="H967" s="9"/>
      <x:c r="I967" s="13"/>
      <x:c r="J967" s="15"/>
      <x:c r="K967" s="15"/>
      <x:c r="L967" s="17" t="str">
        <x:f>IF(B967="","",IF(NOT(AND(ISNUMBER(J967),ISNUMBER(K967))),"",SUM(J967:K967)))</x:f>
      </x:c>
      <x:c r="M967" s="15"/>
      <x:c r="N967" s="17" t="str">
        <x:f>IF(OR(B967="",D967&lt;&gt;"pagada",NOT(ISNUMBER(J967)),NOT(ISNUMBER(M967))),"",J967-M967)</x:f>
      </x:c>
      <x:c r="O967" s="9"/>
      <x:c r="P967" s="9"/>
      <x:c r="Q967" s="1" t="str">
        <x:f>IF(B967="","",IF(COUNTIFS($B$7:$B$1006,B967,$C$7:$C$1006,C967)&gt;1,"ID duplicado",IF(OR(A967="",C967="",D967="",E967="",F967="",I967="",J967="",K967="",O967=""),"Completar datos",IF(NOT(ISNUMBER(M967)),"Falta costo histórico","Revisar soporte"))))</x:f>
      </x:c>
      <x:c r="R967" s="9" t="n">
        <x:f>IF(B967="",0,IF(AND(D967="pagada",NOT(ISNUMBER(M967))),1,0))</x:f>
        <x:v>0</x:v>
      </x:c>
    </x:row>
    <x:row r="968" ht="22" customHeight="1">
      <x:c r="A968" s="11"/>
      <x:c r="B968" s="9"/>
      <x:c r="C968" s="9"/>
      <x:c r="D968" s="9"/>
      <x:c r="E968" s="9"/>
      <x:c r="F968" s="9"/>
      <x:c r="G968" s="9"/>
      <x:c r="H968" s="9"/>
      <x:c r="I968" s="13"/>
      <x:c r="J968" s="15"/>
      <x:c r="K968" s="15"/>
      <x:c r="L968" s="17" t="str">
        <x:f>IF(B968="","",IF(NOT(AND(ISNUMBER(J968),ISNUMBER(K968))),"",SUM(J968:K968)))</x:f>
      </x:c>
      <x:c r="M968" s="15"/>
      <x:c r="N968" s="17" t="str">
        <x:f>IF(OR(B968="",D968&lt;&gt;"pagada",NOT(ISNUMBER(J968)),NOT(ISNUMBER(M968))),"",J968-M968)</x:f>
      </x:c>
      <x:c r="O968" s="9"/>
      <x:c r="P968" s="9"/>
      <x:c r="Q968" s="1" t="str">
        <x:f>IF(B968="","",IF(COUNTIFS($B$7:$B$1006,B968,$C$7:$C$1006,C968)&gt;1,"ID duplicado",IF(OR(A968="",C968="",D968="",E968="",F968="",I968="",J968="",K968="",O968=""),"Completar datos",IF(NOT(ISNUMBER(M968)),"Falta costo histórico","Revisar soporte"))))</x:f>
      </x:c>
      <x:c r="R968" s="9" t="n">
        <x:f>IF(B968="",0,IF(AND(D968="pagada",NOT(ISNUMBER(M968))),1,0))</x:f>
        <x:v>0</x:v>
      </x:c>
    </x:row>
    <x:row r="969" ht="22" customHeight="1">
      <x:c r="A969" s="11"/>
      <x:c r="B969" s="9"/>
      <x:c r="C969" s="9"/>
      <x:c r="D969" s="9"/>
      <x:c r="E969" s="9"/>
      <x:c r="F969" s="9"/>
      <x:c r="G969" s="9"/>
      <x:c r="H969" s="9"/>
      <x:c r="I969" s="13"/>
      <x:c r="J969" s="15"/>
      <x:c r="K969" s="15"/>
      <x:c r="L969" s="17" t="str">
        <x:f>IF(B969="","",IF(NOT(AND(ISNUMBER(J969),ISNUMBER(K969))),"",SUM(J969:K969)))</x:f>
      </x:c>
      <x:c r="M969" s="15"/>
      <x:c r="N969" s="17" t="str">
        <x:f>IF(OR(B969="",D969&lt;&gt;"pagada",NOT(ISNUMBER(J969)),NOT(ISNUMBER(M969))),"",J969-M969)</x:f>
      </x:c>
      <x:c r="O969" s="9"/>
      <x:c r="P969" s="9"/>
      <x:c r="Q969" s="1" t="str">
        <x:f>IF(B969="","",IF(COUNTIFS($B$7:$B$1006,B969,$C$7:$C$1006,C969)&gt;1,"ID duplicado",IF(OR(A969="",C969="",D969="",E969="",F969="",I969="",J969="",K969="",O969=""),"Completar datos",IF(NOT(ISNUMBER(M969)),"Falta costo histórico","Revisar soporte"))))</x:f>
      </x:c>
      <x:c r="R969" s="9" t="n">
        <x:f>IF(B969="",0,IF(AND(D969="pagada",NOT(ISNUMBER(M969))),1,0))</x:f>
        <x:v>0</x:v>
      </x:c>
    </x:row>
    <x:row r="970" ht="22" customHeight="1">
      <x:c r="A970" s="11"/>
      <x:c r="B970" s="9"/>
      <x:c r="C970" s="9"/>
      <x:c r="D970" s="9"/>
      <x:c r="E970" s="9"/>
      <x:c r="F970" s="9"/>
      <x:c r="G970" s="9"/>
      <x:c r="H970" s="9"/>
      <x:c r="I970" s="13"/>
      <x:c r="J970" s="15"/>
      <x:c r="K970" s="15"/>
      <x:c r="L970" s="17" t="str">
        <x:f>IF(B970="","",IF(NOT(AND(ISNUMBER(J970),ISNUMBER(K970))),"",SUM(J970:K970)))</x:f>
      </x:c>
      <x:c r="M970" s="15"/>
      <x:c r="N970" s="17" t="str">
        <x:f>IF(OR(B970="",D970&lt;&gt;"pagada",NOT(ISNUMBER(J970)),NOT(ISNUMBER(M970))),"",J970-M970)</x:f>
      </x:c>
      <x:c r="O970" s="9"/>
      <x:c r="P970" s="9"/>
      <x:c r="Q970" s="1" t="str">
        <x:f>IF(B970="","",IF(COUNTIFS($B$7:$B$1006,B970,$C$7:$C$1006,C970)&gt;1,"ID duplicado",IF(OR(A970="",C970="",D970="",E970="",F970="",I970="",J970="",K970="",O970=""),"Completar datos",IF(NOT(ISNUMBER(M970)),"Falta costo histórico","Revisar soporte"))))</x:f>
      </x:c>
      <x:c r="R970" s="9" t="n">
        <x:f>IF(B970="",0,IF(AND(D970="pagada",NOT(ISNUMBER(M970))),1,0))</x:f>
        <x:v>0</x:v>
      </x:c>
    </x:row>
    <x:row r="971" ht="22" customHeight="1">
      <x:c r="A971" s="11"/>
      <x:c r="B971" s="9"/>
      <x:c r="C971" s="9"/>
      <x:c r="D971" s="9"/>
      <x:c r="E971" s="9"/>
      <x:c r="F971" s="9"/>
      <x:c r="G971" s="9"/>
      <x:c r="H971" s="9"/>
      <x:c r="I971" s="13"/>
      <x:c r="J971" s="15"/>
      <x:c r="K971" s="15"/>
      <x:c r="L971" s="17" t="str">
        <x:f>IF(B971="","",IF(NOT(AND(ISNUMBER(J971),ISNUMBER(K971))),"",SUM(J971:K971)))</x:f>
      </x:c>
      <x:c r="M971" s="15"/>
      <x:c r="N971" s="17" t="str">
        <x:f>IF(OR(B971="",D971&lt;&gt;"pagada",NOT(ISNUMBER(J971)),NOT(ISNUMBER(M971))),"",J971-M971)</x:f>
      </x:c>
      <x:c r="O971" s="9"/>
      <x:c r="P971" s="9"/>
      <x:c r="Q971" s="1" t="str">
        <x:f>IF(B971="","",IF(COUNTIFS($B$7:$B$1006,B971,$C$7:$C$1006,C971)&gt;1,"ID duplicado",IF(OR(A971="",C971="",D971="",E971="",F971="",I971="",J971="",K971="",O971=""),"Completar datos",IF(NOT(ISNUMBER(M971)),"Falta costo histórico","Revisar soporte"))))</x:f>
      </x:c>
      <x:c r="R971" s="9" t="n">
        <x:f>IF(B971="",0,IF(AND(D971="pagada",NOT(ISNUMBER(M971))),1,0))</x:f>
        <x:v>0</x:v>
      </x:c>
    </x:row>
    <x:row r="972" ht="22" customHeight="1">
      <x:c r="A972" s="11"/>
      <x:c r="B972" s="9"/>
      <x:c r="C972" s="9"/>
      <x:c r="D972" s="9"/>
      <x:c r="E972" s="9"/>
      <x:c r="F972" s="9"/>
      <x:c r="G972" s="9"/>
      <x:c r="H972" s="9"/>
      <x:c r="I972" s="13"/>
      <x:c r="J972" s="15"/>
      <x:c r="K972" s="15"/>
      <x:c r="L972" s="17" t="str">
        <x:f>IF(B972="","",IF(NOT(AND(ISNUMBER(J972),ISNUMBER(K972))),"",SUM(J972:K972)))</x:f>
      </x:c>
      <x:c r="M972" s="15"/>
      <x:c r="N972" s="17" t="str">
        <x:f>IF(OR(B972="",D972&lt;&gt;"pagada",NOT(ISNUMBER(J972)),NOT(ISNUMBER(M972))),"",J972-M972)</x:f>
      </x:c>
      <x:c r="O972" s="9"/>
      <x:c r="P972" s="9"/>
      <x:c r="Q972" s="1" t="str">
        <x:f>IF(B972="","",IF(COUNTIFS($B$7:$B$1006,B972,$C$7:$C$1006,C972)&gt;1,"ID duplicado",IF(OR(A972="",C972="",D972="",E972="",F972="",I972="",J972="",K972="",O972=""),"Completar datos",IF(NOT(ISNUMBER(M972)),"Falta costo histórico","Revisar soporte"))))</x:f>
      </x:c>
      <x:c r="R972" s="9" t="n">
        <x:f>IF(B972="",0,IF(AND(D972="pagada",NOT(ISNUMBER(M972))),1,0))</x:f>
        <x:v>0</x:v>
      </x:c>
    </x:row>
    <x:row r="973" ht="22" customHeight="1">
      <x:c r="A973" s="11"/>
      <x:c r="B973" s="9"/>
      <x:c r="C973" s="9"/>
      <x:c r="D973" s="9"/>
      <x:c r="E973" s="9"/>
      <x:c r="F973" s="9"/>
      <x:c r="G973" s="9"/>
      <x:c r="H973" s="9"/>
      <x:c r="I973" s="13"/>
      <x:c r="J973" s="15"/>
      <x:c r="K973" s="15"/>
      <x:c r="L973" s="17" t="str">
        <x:f>IF(B973="","",IF(NOT(AND(ISNUMBER(J973),ISNUMBER(K973))),"",SUM(J973:K973)))</x:f>
      </x:c>
      <x:c r="M973" s="15"/>
      <x:c r="N973" s="17" t="str">
        <x:f>IF(OR(B973="",D973&lt;&gt;"pagada",NOT(ISNUMBER(J973)),NOT(ISNUMBER(M973))),"",J973-M973)</x:f>
      </x:c>
      <x:c r="O973" s="9"/>
      <x:c r="P973" s="9"/>
      <x:c r="Q973" s="1" t="str">
        <x:f>IF(B973="","",IF(COUNTIFS($B$7:$B$1006,B973,$C$7:$C$1006,C973)&gt;1,"ID duplicado",IF(OR(A973="",C973="",D973="",E973="",F973="",I973="",J973="",K973="",O973=""),"Completar datos",IF(NOT(ISNUMBER(M973)),"Falta costo histórico","Revisar soporte"))))</x:f>
      </x:c>
      <x:c r="R973" s="9" t="n">
        <x:f>IF(B973="",0,IF(AND(D973="pagada",NOT(ISNUMBER(M973))),1,0))</x:f>
        <x:v>0</x:v>
      </x:c>
    </x:row>
    <x:row r="974" ht="22" customHeight="1">
      <x:c r="A974" s="11"/>
      <x:c r="B974" s="9"/>
      <x:c r="C974" s="9"/>
      <x:c r="D974" s="9"/>
      <x:c r="E974" s="9"/>
      <x:c r="F974" s="9"/>
      <x:c r="G974" s="9"/>
      <x:c r="H974" s="9"/>
      <x:c r="I974" s="13"/>
      <x:c r="J974" s="15"/>
      <x:c r="K974" s="15"/>
      <x:c r="L974" s="17" t="str">
        <x:f>IF(B974="","",IF(NOT(AND(ISNUMBER(J974),ISNUMBER(K974))),"",SUM(J974:K974)))</x:f>
      </x:c>
      <x:c r="M974" s="15"/>
      <x:c r="N974" s="17" t="str">
        <x:f>IF(OR(B974="",D974&lt;&gt;"pagada",NOT(ISNUMBER(J974)),NOT(ISNUMBER(M974))),"",J974-M974)</x:f>
      </x:c>
      <x:c r="O974" s="9"/>
      <x:c r="P974" s="9"/>
      <x:c r="Q974" s="1" t="str">
        <x:f>IF(B974="","",IF(COUNTIFS($B$7:$B$1006,B974,$C$7:$C$1006,C974)&gt;1,"ID duplicado",IF(OR(A974="",C974="",D974="",E974="",F974="",I974="",J974="",K974="",O974=""),"Completar datos",IF(NOT(ISNUMBER(M974)),"Falta costo histórico","Revisar soporte"))))</x:f>
      </x:c>
      <x:c r="R974" s="9" t="n">
        <x:f>IF(B974="",0,IF(AND(D974="pagada",NOT(ISNUMBER(M974))),1,0))</x:f>
        <x:v>0</x:v>
      </x:c>
    </x:row>
    <x:row r="975" ht="22" customHeight="1">
      <x:c r="A975" s="11"/>
      <x:c r="B975" s="9"/>
      <x:c r="C975" s="9"/>
      <x:c r="D975" s="9"/>
      <x:c r="E975" s="9"/>
      <x:c r="F975" s="9"/>
      <x:c r="G975" s="9"/>
      <x:c r="H975" s="9"/>
      <x:c r="I975" s="13"/>
      <x:c r="J975" s="15"/>
      <x:c r="K975" s="15"/>
      <x:c r="L975" s="17" t="str">
        <x:f>IF(B975="","",IF(NOT(AND(ISNUMBER(J975),ISNUMBER(K975))),"",SUM(J975:K975)))</x:f>
      </x:c>
      <x:c r="M975" s="15"/>
      <x:c r="N975" s="17" t="str">
        <x:f>IF(OR(B975="",D975&lt;&gt;"pagada",NOT(ISNUMBER(J975)),NOT(ISNUMBER(M975))),"",J975-M975)</x:f>
      </x:c>
      <x:c r="O975" s="9"/>
      <x:c r="P975" s="9"/>
      <x:c r="Q975" s="1" t="str">
        <x:f>IF(B975="","",IF(COUNTIFS($B$7:$B$1006,B975,$C$7:$C$1006,C975)&gt;1,"ID duplicado",IF(OR(A975="",C975="",D975="",E975="",F975="",I975="",J975="",K975="",O975=""),"Completar datos",IF(NOT(ISNUMBER(M975)),"Falta costo histórico","Revisar soporte"))))</x:f>
      </x:c>
      <x:c r="R975" s="9" t="n">
        <x:f>IF(B975="",0,IF(AND(D975="pagada",NOT(ISNUMBER(M975))),1,0))</x:f>
        <x:v>0</x:v>
      </x:c>
    </x:row>
    <x:row r="976" ht="22" customHeight="1">
      <x:c r="A976" s="11"/>
      <x:c r="B976" s="9"/>
      <x:c r="C976" s="9"/>
      <x:c r="D976" s="9"/>
      <x:c r="E976" s="9"/>
      <x:c r="F976" s="9"/>
      <x:c r="G976" s="9"/>
      <x:c r="H976" s="9"/>
      <x:c r="I976" s="13"/>
      <x:c r="J976" s="15"/>
      <x:c r="K976" s="15"/>
      <x:c r="L976" s="17" t="str">
        <x:f>IF(B976="","",IF(NOT(AND(ISNUMBER(J976),ISNUMBER(K976))),"",SUM(J976:K976)))</x:f>
      </x:c>
      <x:c r="M976" s="15"/>
      <x:c r="N976" s="17" t="str">
        <x:f>IF(OR(B976="",D976&lt;&gt;"pagada",NOT(ISNUMBER(J976)),NOT(ISNUMBER(M976))),"",J976-M976)</x:f>
      </x:c>
      <x:c r="O976" s="9"/>
      <x:c r="P976" s="9"/>
      <x:c r="Q976" s="1" t="str">
        <x:f>IF(B976="","",IF(COUNTIFS($B$7:$B$1006,B976,$C$7:$C$1006,C976)&gt;1,"ID duplicado",IF(OR(A976="",C976="",D976="",E976="",F976="",I976="",J976="",K976="",O976=""),"Completar datos",IF(NOT(ISNUMBER(M976)),"Falta costo histórico","Revisar soporte"))))</x:f>
      </x:c>
      <x:c r="R976" s="9" t="n">
        <x:f>IF(B976="",0,IF(AND(D976="pagada",NOT(ISNUMBER(M976))),1,0))</x:f>
        <x:v>0</x:v>
      </x:c>
    </x:row>
    <x:row r="977" ht="22" customHeight="1">
      <x:c r="A977" s="11"/>
      <x:c r="B977" s="9"/>
      <x:c r="C977" s="9"/>
      <x:c r="D977" s="9"/>
      <x:c r="E977" s="9"/>
      <x:c r="F977" s="9"/>
      <x:c r="G977" s="9"/>
      <x:c r="H977" s="9"/>
      <x:c r="I977" s="13"/>
      <x:c r="J977" s="15"/>
      <x:c r="K977" s="15"/>
      <x:c r="L977" s="17" t="str">
        <x:f>IF(B977="","",IF(NOT(AND(ISNUMBER(J977),ISNUMBER(K977))),"",SUM(J977:K977)))</x:f>
      </x:c>
      <x:c r="M977" s="15"/>
      <x:c r="N977" s="17" t="str">
        <x:f>IF(OR(B977="",D977&lt;&gt;"pagada",NOT(ISNUMBER(J977)),NOT(ISNUMBER(M977))),"",J977-M977)</x:f>
      </x:c>
      <x:c r="O977" s="9"/>
      <x:c r="P977" s="9"/>
      <x:c r="Q977" s="1" t="str">
        <x:f>IF(B977="","",IF(COUNTIFS($B$7:$B$1006,B977,$C$7:$C$1006,C977)&gt;1,"ID duplicado",IF(OR(A977="",C977="",D977="",E977="",F977="",I977="",J977="",K977="",O977=""),"Completar datos",IF(NOT(ISNUMBER(M977)),"Falta costo histórico","Revisar soporte"))))</x:f>
      </x:c>
      <x:c r="R977" s="9" t="n">
        <x:f>IF(B977="",0,IF(AND(D977="pagada",NOT(ISNUMBER(M977))),1,0))</x:f>
        <x:v>0</x:v>
      </x:c>
    </x:row>
    <x:row r="978" ht="22" customHeight="1">
      <x:c r="A978" s="11"/>
      <x:c r="B978" s="9"/>
      <x:c r="C978" s="9"/>
      <x:c r="D978" s="9"/>
      <x:c r="E978" s="9"/>
      <x:c r="F978" s="9"/>
      <x:c r="G978" s="9"/>
      <x:c r="H978" s="9"/>
      <x:c r="I978" s="13"/>
      <x:c r="J978" s="15"/>
      <x:c r="K978" s="15"/>
      <x:c r="L978" s="17" t="str">
        <x:f>IF(B978="","",IF(NOT(AND(ISNUMBER(J978),ISNUMBER(K978))),"",SUM(J978:K978)))</x:f>
      </x:c>
      <x:c r="M978" s="15"/>
      <x:c r="N978" s="17" t="str">
        <x:f>IF(OR(B978="",D978&lt;&gt;"pagada",NOT(ISNUMBER(J978)),NOT(ISNUMBER(M978))),"",J978-M978)</x:f>
      </x:c>
      <x:c r="O978" s="9"/>
      <x:c r="P978" s="9"/>
      <x:c r="Q978" s="1" t="str">
        <x:f>IF(B978="","",IF(COUNTIFS($B$7:$B$1006,B978,$C$7:$C$1006,C978)&gt;1,"ID duplicado",IF(OR(A978="",C978="",D978="",E978="",F978="",I978="",J978="",K978="",O978=""),"Completar datos",IF(NOT(ISNUMBER(M978)),"Falta costo histórico","Revisar soporte"))))</x:f>
      </x:c>
      <x:c r="R978" s="9" t="n">
        <x:f>IF(B978="",0,IF(AND(D978="pagada",NOT(ISNUMBER(M978))),1,0))</x:f>
        <x:v>0</x:v>
      </x:c>
    </x:row>
    <x:row r="979" ht="22" customHeight="1">
      <x:c r="A979" s="11"/>
      <x:c r="B979" s="9"/>
      <x:c r="C979" s="9"/>
      <x:c r="D979" s="9"/>
      <x:c r="E979" s="9"/>
      <x:c r="F979" s="9"/>
      <x:c r="G979" s="9"/>
      <x:c r="H979" s="9"/>
      <x:c r="I979" s="13"/>
      <x:c r="J979" s="15"/>
      <x:c r="K979" s="15"/>
      <x:c r="L979" s="17" t="str">
        <x:f>IF(B979="","",IF(NOT(AND(ISNUMBER(J979),ISNUMBER(K979))),"",SUM(J979:K979)))</x:f>
      </x:c>
      <x:c r="M979" s="15"/>
      <x:c r="N979" s="17" t="str">
        <x:f>IF(OR(B979="",D979&lt;&gt;"pagada",NOT(ISNUMBER(J979)),NOT(ISNUMBER(M979))),"",J979-M979)</x:f>
      </x:c>
      <x:c r="O979" s="9"/>
      <x:c r="P979" s="9"/>
      <x:c r="Q979" s="1" t="str">
        <x:f>IF(B979="","",IF(COUNTIFS($B$7:$B$1006,B979,$C$7:$C$1006,C979)&gt;1,"ID duplicado",IF(OR(A979="",C979="",D979="",E979="",F979="",I979="",J979="",K979="",O979=""),"Completar datos",IF(NOT(ISNUMBER(M979)),"Falta costo histórico","Revisar soporte"))))</x:f>
      </x:c>
      <x:c r="R979" s="9" t="n">
        <x:f>IF(B979="",0,IF(AND(D979="pagada",NOT(ISNUMBER(M979))),1,0))</x:f>
        <x:v>0</x:v>
      </x:c>
    </x:row>
    <x:row r="980" ht="22" customHeight="1">
      <x:c r="A980" s="11"/>
      <x:c r="B980" s="9"/>
      <x:c r="C980" s="9"/>
      <x:c r="D980" s="9"/>
      <x:c r="E980" s="9"/>
      <x:c r="F980" s="9"/>
      <x:c r="G980" s="9"/>
      <x:c r="H980" s="9"/>
      <x:c r="I980" s="13"/>
      <x:c r="J980" s="15"/>
      <x:c r="K980" s="15"/>
      <x:c r="L980" s="17" t="str">
        <x:f>IF(B980="","",IF(NOT(AND(ISNUMBER(J980),ISNUMBER(K980))),"",SUM(J980:K980)))</x:f>
      </x:c>
      <x:c r="M980" s="15"/>
      <x:c r="N980" s="17" t="str">
        <x:f>IF(OR(B980="",D980&lt;&gt;"pagada",NOT(ISNUMBER(J980)),NOT(ISNUMBER(M980))),"",J980-M980)</x:f>
      </x:c>
      <x:c r="O980" s="9"/>
      <x:c r="P980" s="9"/>
      <x:c r="Q980" s="1" t="str">
        <x:f>IF(B980="","",IF(COUNTIFS($B$7:$B$1006,B980,$C$7:$C$1006,C980)&gt;1,"ID duplicado",IF(OR(A980="",C980="",D980="",E980="",F980="",I980="",J980="",K980="",O980=""),"Completar datos",IF(NOT(ISNUMBER(M980)),"Falta costo histórico","Revisar soporte"))))</x:f>
      </x:c>
      <x:c r="R980" s="9" t="n">
        <x:f>IF(B980="",0,IF(AND(D980="pagada",NOT(ISNUMBER(M980))),1,0))</x:f>
        <x:v>0</x:v>
      </x:c>
    </x:row>
    <x:row r="981" ht="22" customHeight="1">
      <x:c r="A981" s="11"/>
      <x:c r="B981" s="9"/>
      <x:c r="C981" s="9"/>
      <x:c r="D981" s="9"/>
      <x:c r="E981" s="9"/>
      <x:c r="F981" s="9"/>
      <x:c r="G981" s="9"/>
      <x:c r="H981" s="9"/>
      <x:c r="I981" s="13"/>
      <x:c r="J981" s="15"/>
      <x:c r="K981" s="15"/>
      <x:c r="L981" s="17" t="str">
        <x:f>IF(B981="","",IF(NOT(AND(ISNUMBER(J981),ISNUMBER(K981))),"",SUM(J981:K981)))</x:f>
      </x:c>
      <x:c r="M981" s="15"/>
      <x:c r="N981" s="17" t="str">
        <x:f>IF(OR(B981="",D981&lt;&gt;"pagada",NOT(ISNUMBER(J981)),NOT(ISNUMBER(M981))),"",J981-M981)</x:f>
      </x:c>
      <x:c r="O981" s="9"/>
      <x:c r="P981" s="9"/>
      <x:c r="Q981" s="1" t="str">
        <x:f>IF(B981="","",IF(COUNTIFS($B$7:$B$1006,B981,$C$7:$C$1006,C981)&gt;1,"ID duplicado",IF(OR(A981="",C981="",D981="",E981="",F981="",I981="",J981="",K981="",O981=""),"Completar datos",IF(NOT(ISNUMBER(M981)),"Falta costo histórico","Revisar soporte"))))</x:f>
      </x:c>
      <x:c r="R981" s="9" t="n">
        <x:f>IF(B981="",0,IF(AND(D981="pagada",NOT(ISNUMBER(M981))),1,0))</x:f>
        <x:v>0</x:v>
      </x:c>
    </x:row>
    <x:row r="982" ht="22" customHeight="1">
      <x:c r="A982" s="11"/>
      <x:c r="B982" s="9"/>
      <x:c r="C982" s="9"/>
      <x:c r="D982" s="9"/>
      <x:c r="E982" s="9"/>
      <x:c r="F982" s="9"/>
      <x:c r="G982" s="9"/>
      <x:c r="H982" s="9"/>
      <x:c r="I982" s="13"/>
      <x:c r="J982" s="15"/>
      <x:c r="K982" s="15"/>
      <x:c r="L982" s="17" t="str">
        <x:f>IF(B982="","",IF(NOT(AND(ISNUMBER(J982),ISNUMBER(K982))),"",SUM(J982:K982)))</x:f>
      </x:c>
      <x:c r="M982" s="15"/>
      <x:c r="N982" s="17" t="str">
        <x:f>IF(OR(B982="",D982&lt;&gt;"pagada",NOT(ISNUMBER(J982)),NOT(ISNUMBER(M982))),"",J982-M982)</x:f>
      </x:c>
      <x:c r="O982" s="9"/>
      <x:c r="P982" s="9"/>
      <x:c r="Q982" s="1" t="str">
        <x:f>IF(B982="","",IF(COUNTIFS($B$7:$B$1006,B982,$C$7:$C$1006,C982)&gt;1,"ID duplicado",IF(OR(A982="",C982="",D982="",E982="",F982="",I982="",J982="",K982="",O982=""),"Completar datos",IF(NOT(ISNUMBER(M982)),"Falta costo histórico","Revisar soporte"))))</x:f>
      </x:c>
      <x:c r="R982" s="9" t="n">
        <x:f>IF(B982="",0,IF(AND(D982="pagada",NOT(ISNUMBER(M982))),1,0))</x:f>
        <x:v>0</x:v>
      </x:c>
    </x:row>
    <x:row r="983" ht="22" customHeight="1">
      <x:c r="A983" s="11"/>
      <x:c r="B983" s="9"/>
      <x:c r="C983" s="9"/>
      <x:c r="D983" s="9"/>
      <x:c r="E983" s="9"/>
      <x:c r="F983" s="9"/>
      <x:c r="G983" s="9"/>
      <x:c r="H983" s="9"/>
      <x:c r="I983" s="13"/>
      <x:c r="J983" s="15"/>
      <x:c r="K983" s="15"/>
      <x:c r="L983" s="17" t="str">
        <x:f>IF(B983="","",IF(NOT(AND(ISNUMBER(J983),ISNUMBER(K983))),"",SUM(J983:K983)))</x:f>
      </x:c>
      <x:c r="M983" s="15"/>
      <x:c r="N983" s="17" t="str">
        <x:f>IF(OR(B983="",D983&lt;&gt;"pagada",NOT(ISNUMBER(J983)),NOT(ISNUMBER(M983))),"",J983-M983)</x:f>
      </x:c>
      <x:c r="O983" s="9"/>
      <x:c r="P983" s="9"/>
      <x:c r="Q983" s="1" t="str">
        <x:f>IF(B983="","",IF(COUNTIFS($B$7:$B$1006,B983,$C$7:$C$1006,C983)&gt;1,"ID duplicado",IF(OR(A983="",C983="",D983="",E983="",F983="",I983="",J983="",K983="",O983=""),"Completar datos",IF(NOT(ISNUMBER(M983)),"Falta costo histórico","Revisar soporte"))))</x:f>
      </x:c>
      <x:c r="R983" s="9" t="n">
        <x:f>IF(B983="",0,IF(AND(D983="pagada",NOT(ISNUMBER(M983))),1,0))</x:f>
        <x:v>0</x:v>
      </x:c>
    </x:row>
    <x:row r="984" ht="22" customHeight="1">
      <x:c r="A984" s="11"/>
      <x:c r="B984" s="9"/>
      <x:c r="C984" s="9"/>
      <x:c r="D984" s="9"/>
      <x:c r="E984" s="9"/>
      <x:c r="F984" s="9"/>
      <x:c r="G984" s="9"/>
      <x:c r="H984" s="9"/>
      <x:c r="I984" s="13"/>
      <x:c r="J984" s="15"/>
      <x:c r="K984" s="15"/>
      <x:c r="L984" s="17" t="str">
        <x:f>IF(B984="","",IF(NOT(AND(ISNUMBER(J984),ISNUMBER(K984))),"",SUM(J984:K984)))</x:f>
      </x:c>
      <x:c r="M984" s="15"/>
      <x:c r="N984" s="17" t="str">
        <x:f>IF(OR(B984="",D984&lt;&gt;"pagada",NOT(ISNUMBER(J984)),NOT(ISNUMBER(M984))),"",J984-M984)</x:f>
      </x:c>
      <x:c r="O984" s="9"/>
      <x:c r="P984" s="9"/>
      <x:c r="Q984" s="1" t="str">
        <x:f>IF(B984="","",IF(COUNTIFS($B$7:$B$1006,B984,$C$7:$C$1006,C984)&gt;1,"ID duplicado",IF(OR(A984="",C984="",D984="",E984="",F984="",I984="",J984="",K984="",O984=""),"Completar datos",IF(NOT(ISNUMBER(M984)),"Falta costo histórico","Revisar soporte"))))</x:f>
      </x:c>
      <x:c r="R984" s="9" t="n">
        <x:f>IF(B984="",0,IF(AND(D984="pagada",NOT(ISNUMBER(M984))),1,0))</x:f>
        <x:v>0</x:v>
      </x:c>
    </x:row>
    <x:row r="985" ht="22" customHeight="1">
      <x:c r="A985" s="11"/>
      <x:c r="B985" s="9"/>
      <x:c r="C985" s="9"/>
      <x:c r="D985" s="9"/>
      <x:c r="E985" s="9"/>
      <x:c r="F985" s="9"/>
      <x:c r="G985" s="9"/>
      <x:c r="H985" s="9"/>
      <x:c r="I985" s="13"/>
      <x:c r="J985" s="15"/>
      <x:c r="K985" s="15"/>
      <x:c r="L985" s="17" t="str">
        <x:f>IF(B985="","",IF(NOT(AND(ISNUMBER(J985),ISNUMBER(K985))),"",SUM(J985:K985)))</x:f>
      </x:c>
      <x:c r="M985" s="15"/>
      <x:c r="N985" s="17" t="str">
        <x:f>IF(OR(B985="",D985&lt;&gt;"pagada",NOT(ISNUMBER(J985)),NOT(ISNUMBER(M985))),"",J985-M985)</x:f>
      </x:c>
      <x:c r="O985" s="9"/>
      <x:c r="P985" s="9"/>
      <x:c r="Q985" s="1" t="str">
        <x:f>IF(B985="","",IF(COUNTIFS($B$7:$B$1006,B985,$C$7:$C$1006,C985)&gt;1,"ID duplicado",IF(OR(A985="",C985="",D985="",E985="",F985="",I985="",J985="",K985="",O985=""),"Completar datos",IF(NOT(ISNUMBER(M985)),"Falta costo histórico","Revisar soporte"))))</x:f>
      </x:c>
      <x:c r="R985" s="9" t="n">
        <x:f>IF(B985="",0,IF(AND(D985="pagada",NOT(ISNUMBER(M985))),1,0))</x:f>
        <x:v>0</x:v>
      </x:c>
    </x:row>
    <x:row r="986" ht="22" customHeight="1">
      <x:c r="A986" s="11"/>
      <x:c r="B986" s="9"/>
      <x:c r="C986" s="9"/>
      <x:c r="D986" s="9"/>
      <x:c r="E986" s="9"/>
      <x:c r="F986" s="9"/>
      <x:c r="G986" s="9"/>
      <x:c r="H986" s="9"/>
      <x:c r="I986" s="13"/>
      <x:c r="J986" s="15"/>
      <x:c r="K986" s="15"/>
      <x:c r="L986" s="17" t="str">
        <x:f>IF(B986="","",IF(NOT(AND(ISNUMBER(J986),ISNUMBER(K986))),"",SUM(J986:K986)))</x:f>
      </x:c>
      <x:c r="M986" s="15"/>
      <x:c r="N986" s="17" t="str">
        <x:f>IF(OR(B986="",D986&lt;&gt;"pagada",NOT(ISNUMBER(J986)),NOT(ISNUMBER(M986))),"",J986-M986)</x:f>
      </x:c>
      <x:c r="O986" s="9"/>
      <x:c r="P986" s="9"/>
      <x:c r="Q986" s="1" t="str">
        <x:f>IF(B986="","",IF(COUNTIFS($B$7:$B$1006,B986,$C$7:$C$1006,C986)&gt;1,"ID duplicado",IF(OR(A986="",C986="",D986="",E986="",F986="",I986="",J986="",K986="",O986=""),"Completar datos",IF(NOT(ISNUMBER(M986)),"Falta costo histórico","Revisar soporte"))))</x:f>
      </x:c>
      <x:c r="R986" s="9" t="n">
        <x:f>IF(B986="",0,IF(AND(D986="pagada",NOT(ISNUMBER(M986))),1,0))</x:f>
        <x:v>0</x:v>
      </x:c>
    </x:row>
    <x:row r="987" ht="22" customHeight="1">
      <x:c r="A987" s="11"/>
      <x:c r="B987" s="9"/>
      <x:c r="C987" s="9"/>
      <x:c r="D987" s="9"/>
      <x:c r="E987" s="9"/>
      <x:c r="F987" s="9"/>
      <x:c r="G987" s="9"/>
      <x:c r="H987" s="9"/>
      <x:c r="I987" s="13"/>
      <x:c r="J987" s="15"/>
      <x:c r="K987" s="15"/>
      <x:c r="L987" s="17" t="str">
        <x:f>IF(B987="","",IF(NOT(AND(ISNUMBER(J987),ISNUMBER(K987))),"",SUM(J987:K987)))</x:f>
      </x:c>
      <x:c r="M987" s="15"/>
      <x:c r="N987" s="17" t="str">
        <x:f>IF(OR(B987="",D987&lt;&gt;"pagada",NOT(ISNUMBER(J987)),NOT(ISNUMBER(M987))),"",J987-M987)</x:f>
      </x:c>
      <x:c r="O987" s="9"/>
      <x:c r="P987" s="9"/>
      <x:c r="Q987" s="1" t="str">
        <x:f>IF(B987="","",IF(COUNTIFS($B$7:$B$1006,B987,$C$7:$C$1006,C987)&gt;1,"ID duplicado",IF(OR(A987="",C987="",D987="",E987="",F987="",I987="",J987="",K987="",O987=""),"Completar datos",IF(NOT(ISNUMBER(M987)),"Falta costo histórico","Revisar soporte"))))</x:f>
      </x:c>
      <x:c r="R987" s="9" t="n">
        <x:f>IF(B987="",0,IF(AND(D987="pagada",NOT(ISNUMBER(M987))),1,0))</x:f>
        <x:v>0</x:v>
      </x:c>
    </x:row>
    <x:row r="988" ht="22" customHeight="1">
      <x:c r="A988" s="11"/>
      <x:c r="B988" s="9"/>
      <x:c r="C988" s="9"/>
      <x:c r="D988" s="9"/>
      <x:c r="E988" s="9"/>
      <x:c r="F988" s="9"/>
      <x:c r="G988" s="9"/>
      <x:c r="H988" s="9"/>
      <x:c r="I988" s="13"/>
      <x:c r="J988" s="15"/>
      <x:c r="K988" s="15"/>
      <x:c r="L988" s="17" t="str">
        <x:f>IF(B988="","",IF(NOT(AND(ISNUMBER(J988),ISNUMBER(K988))),"",SUM(J988:K988)))</x:f>
      </x:c>
      <x:c r="M988" s="15"/>
      <x:c r="N988" s="17" t="str">
        <x:f>IF(OR(B988="",D988&lt;&gt;"pagada",NOT(ISNUMBER(J988)),NOT(ISNUMBER(M988))),"",J988-M988)</x:f>
      </x:c>
      <x:c r="O988" s="9"/>
      <x:c r="P988" s="9"/>
      <x:c r="Q988" s="1" t="str">
        <x:f>IF(B988="","",IF(COUNTIFS($B$7:$B$1006,B988,$C$7:$C$1006,C988)&gt;1,"ID duplicado",IF(OR(A988="",C988="",D988="",E988="",F988="",I988="",J988="",K988="",O988=""),"Completar datos",IF(NOT(ISNUMBER(M988)),"Falta costo histórico","Revisar soporte"))))</x:f>
      </x:c>
      <x:c r="R988" s="9" t="n">
        <x:f>IF(B988="",0,IF(AND(D988="pagada",NOT(ISNUMBER(M988))),1,0))</x:f>
        <x:v>0</x:v>
      </x:c>
    </x:row>
    <x:row r="989" ht="22" customHeight="1">
      <x:c r="A989" s="11"/>
      <x:c r="B989" s="9"/>
      <x:c r="C989" s="9"/>
      <x:c r="D989" s="9"/>
      <x:c r="E989" s="9"/>
      <x:c r="F989" s="9"/>
      <x:c r="G989" s="9"/>
      <x:c r="H989" s="9"/>
      <x:c r="I989" s="13"/>
      <x:c r="J989" s="15"/>
      <x:c r="K989" s="15"/>
      <x:c r="L989" s="17" t="str">
        <x:f>IF(B989="","",IF(NOT(AND(ISNUMBER(J989),ISNUMBER(K989))),"",SUM(J989:K989)))</x:f>
      </x:c>
      <x:c r="M989" s="15"/>
      <x:c r="N989" s="17" t="str">
        <x:f>IF(OR(B989="",D989&lt;&gt;"pagada",NOT(ISNUMBER(J989)),NOT(ISNUMBER(M989))),"",J989-M989)</x:f>
      </x:c>
      <x:c r="O989" s="9"/>
      <x:c r="P989" s="9"/>
      <x:c r="Q989" s="1" t="str">
        <x:f>IF(B989="","",IF(COUNTIFS($B$7:$B$1006,B989,$C$7:$C$1006,C989)&gt;1,"ID duplicado",IF(OR(A989="",C989="",D989="",E989="",F989="",I989="",J989="",K989="",O989=""),"Completar datos",IF(NOT(ISNUMBER(M989)),"Falta costo histórico","Revisar soporte"))))</x:f>
      </x:c>
      <x:c r="R989" s="9" t="n">
        <x:f>IF(B989="",0,IF(AND(D989="pagada",NOT(ISNUMBER(M989))),1,0))</x:f>
        <x:v>0</x:v>
      </x:c>
    </x:row>
    <x:row r="990" ht="22" customHeight="1">
      <x:c r="A990" s="11"/>
      <x:c r="B990" s="9"/>
      <x:c r="C990" s="9"/>
      <x:c r="D990" s="9"/>
      <x:c r="E990" s="9"/>
      <x:c r="F990" s="9"/>
      <x:c r="G990" s="9"/>
      <x:c r="H990" s="9"/>
      <x:c r="I990" s="13"/>
      <x:c r="J990" s="15"/>
      <x:c r="K990" s="15"/>
      <x:c r="L990" s="17" t="str">
        <x:f>IF(B990="","",IF(NOT(AND(ISNUMBER(J990),ISNUMBER(K990))),"",SUM(J990:K990)))</x:f>
      </x:c>
      <x:c r="M990" s="15"/>
      <x:c r="N990" s="17" t="str">
        <x:f>IF(OR(B990="",D990&lt;&gt;"pagada",NOT(ISNUMBER(J990)),NOT(ISNUMBER(M990))),"",J990-M990)</x:f>
      </x:c>
      <x:c r="O990" s="9"/>
      <x:c r="P990" s="9"/>
      <x:c r="Q990" s="1" t="str">
        <x:f>IF(B990="","",IF(COUNTIFS($B$7:$B$1006,B990,$C$7:$C$1006,C990)&gt;1,"ID duplicado",IF(OR(A990="",C990="",D990="",E990="",F990="",I990="",J990="",K990="",O990=""),"Completar datos",IF(NOT(ISNUMBER(M990)),"Falta costo histórico","Revisar soporte"))))</x:f>
      </x:c>
      <x:c r="R990" s="9" t="n">
        <x:f>IF(B990="",0,IF(AND(D990="pagada",NOT(ISNUMBER(M990))),1,0))</x:f>
        <x:v>0</x:v>
      </x:c>
    </x:row>
    <x:row r="991" ht="22" customHeight="1">
      <x:c r="A991" s="11"/>
      <x:c r="B991" s="9"/>
      <x:c r="C991" s="9"/>
      <x:c r="D991" s="9"/>
      <x:c r="E991" s="9"/>
      <x:c r="F991" s="9"/>
      <x:c r="G991" s="9"/>
      <x:c r="H991" s="9"/>
      <x:c r="I991" s="13"/>
      <x:c r="J991" s="15"/>
      <x:c r="K991" s="15"/>
      <x:c r="L991" s="17" t="str">
        <x:f>IF(B991="","",IF(NOT(AND(ISNUMBER(J991),ISNUMBER(K991))),"",SUM(J991:K991)))</x:f>
      </x:c>
      <x:c r="M991" s="15"/>
      <x:c r="N991" s="17" t="str">
        <x:f>IF(OR(B991="",D991&lt;&gt;"pagada",NOT(ISNUMBER(J991)),NOT(ISNUMBER(M991))),"",J991-M991)</x:f>
      </x:c>
      <x:c r="O991" s="9"/>
      <x:c r="P991" s="9"/>
      <x:c r="Q991" s="1" t="str">
        <x:f>IF(B991="","",IF(COUNTIFS($B$7:$B$1006,B991,$C$7:$C$1006,C991)&gt;1,"ID duplicado",IF(OR(A991="",C991="",D991="",E991="",F991="",I991="",J991="",K991="",O991=""),"Completar datos",IF(NOT(ISNUMBER(M991)),"Falta costo histórico","Revisar soporte"))))</x:f>
      </x:c>
      <x:c r="R991" s="9" t="n">
        <x:f>IF(B991="",0,IF(AND(D991="pagada",NOT(ISNUMBER(M991))),1,0))</x:f>
        <x:v>0</x:v>
      </x:c>
    </x:row>
    <x:row r="992" ht="22" customHeight="1">
      <x:c r="A992" s="11"/>
      <x:c r="B992" s="9"/>
      <x:c r="C992" s="9"/>
      <x:c r="D992" s="9"/>
      <x:c r="E992" s="9"/>
      <x:c r="F992" s="9"/>
      <x:c r="G992" s="9"/>
      <x:c r="H992" s="9"/>
      <x:c r="I992" s="13"/>
      <x:c r="J992" s="15"/>
      <x:c r="K992" s="15"/>
      <x:c r="L992" s="17" t="str">
        <x:f>IF(B992="","",IF(NOT(AND(ISNUMBER(J992),ISNUMBER(K992))),"",SUM(J992:K992)))</x:f>
      </x:c>
      <x:c r="M992" s="15"/>
      <x:c r="N992" s="17" t="str">
        <x:f>IF(OR(B992="",D992&lt;&gt;"pagada",NOT(ISNUMBER(J992)),NOT(ISNUMBER(M992))),"",J992-M992)</x:f>
      </x:c>
      <x:c r="O992" s="9"/>
      <x:c r="P992" s="9"/>
      <x:c r="Q992" s="1" t="str">
        <x:f>IF(B992="","",IF(COUNTIFS($B$7:$B$1006,B992,$C$7:$C$1006,C992)&gt;1,"ID duplicado",IF(OR(A992="",C992="",D992="",E992="",F992="",I992="",J992="",K992="",O992=""),"Completar datos",IF(NOT(ISNUMBER(M992)),"Falta costo histórico","Revisar soporte"))))</x:f>
      </x:c>
      <x:c r="R992" s="9" t="n">
        <x:f>IF(B992="",0,IF(AND(D992="pagada",NOT(ISNUMBER(M992))),1,0))</x:f>
        <x:v>0</x:v>
      </x:c>
    </x:row>
    <x:row r="993" ht="22" customHeight="1">
      <x:c r="A993" s="11"/>
      <x:c r="B993" s="9"/>
      <x:c r="C993" s="9"/>
      <x:c r="D993" s="9"/>
      <x:c r="E993" s="9"/>
      <x:c r="F993" s="9"/>
      <x:c r="G993" s="9"/>
      <x:c r="H993" s="9"/>
      <x:c r="I993" s="13"/>
      <x:c r="J993" s="15"/>
      <x:c r="K993" s="15"/>
      <x:c r="L993" s="17" t="str">
        <x:f>IF(B993="","",IF(NOT(AND(ISNUMBER(J993),ISNUMBER(K993))),"",SUM(J993:K993)))</x:f>
      </x:c>
      <x:c r="M993" s="15"/>
      <x:c r="N993" s="17" t="str">
        <x:f>IF(OR(B993="",D993&lt;&gt;"pagada",NOT(ISNUMBER(J993)),NOT(ISNUMBER(M993))),"",J993-M993)</x:f>
      </x:c>
      <x:c r="O993" s="9"/>
      <x:c r="P993" s="9"/>
      <x:c r="Q993" s="1" t="str">
        <x:f>IF(B993="","",IF(COUNTIFS($B$7:$B$1006,B993,$C$7:$C$1006,C993)&gt;1,"ID duplicado",IF(OR(A993="",C993="",D993="",E993="",F993="",I993="",J993="",K993="",O993=""),"Completar datos",IF(NOT(ISNUMBER(M993)),"Falta costo histórico","Revisar soporte"))))</x:f>
      </x:c>
      <x:c r="R993" s="9" t="n">
        <x:f>IF(B993="",0,IF(AND(D993="pagada",NOT(ISNUMBER(M993))),1,0))</x:f>
        <x:v>0</x:v>
      </x:c>
    </x:row>
    <x:row r="994" ht="22" customHeight="1">
      <x:c r="A994" s="11"/>
      <x:c r="B994" s="9"/>
      <x:c r="C994" s="9"/>
      <x:c r="D994" s="9"/>
      <x:c r="E994" s="9"/>
      <x:c r="F994" s="9"/>
      <x:c r="G994" s="9"/>
      <x:c r="H994" s="9"/>
      <x:c r="I994" s="13"/>
      <x:c r="J994" s="15"/>
      <x:c r="K994" s="15"/>
      <x:c r="L994" s="17" t="str">
        <x:f>IF(B994="","",IF(NOT(AND(ISNUMBER(J994),ISNUMBER(K994))),"",SUM(J994:K994)))</x:f>
      </x:c>
      <x:c r="M994" s="15"/>
      <x:c r="N994" s="17" t="str">
        <x:f>IF(OR(B994="",D994&lt;&gt;"pagada",NOT(ISNUMBER(J994)),NOT(ISNUMBER(M994))),"",J994-M994)</x:f>
      </x:c>
      <x:c r="O994" s="9"/>
      <x:c r="P994" s="9"/>
      <x:c r="Q994" s="1" t="str">
        <x:f>IF(B994="","",IF(COUNTIFS($B$7:$B$1006,B994,$C$7:$C$1006,C994)&gt;1,"ID duplicado",IF(OR(A994="",C994="",D994="",E994="",F994="",I994="",J994="",K994="",O994=""),"Completar datos",IF(NOT(ISNUMBER(M994)),"Falta costo histórico","Revisar soporte"))))</x:f>
      </x:c>
      <x:c r="R994" s="9" t="n">
        <x:f>IF(B994="",0,IF(AND(D994="pagada",NOT(ISNUMBER(M994))),1,0))</x:f>
        <x:v>0</x:v>
      </x:c>
    </x:row>
    <x:row r="995" ht="22" customHeight="1">
      <x:c r="A995" s="11"/>
      <x:c r="B995" s="9"/>
      <x:c r="C995" s="9"/>
      <x:c r="D995" s="9"/>
      <x:c r="E995" s="9"/>
      <x:c r="F995" s="9"/>
      <x:c r="G995" s="9"/>
      <x:c r="H995" s="9"/>
      <x:c r="I995" s="13"/>
      <x:c r="J995" s="15"/>
      <x:c r="K995" s="15"/>
      <x:c r="L995" s="17" t="str">
        <x:f>IF(B995="","",IF(NOT(AND(ISNUMBER(J995),ISNUMBER(K995))),"",SUM(J995:K995)))</x:f>
      </x:c>
      <x:c r="M995" s="15"/>
      <x:c r="N995" s="17" t="str">
        <x:f>IF(OR(B995="",D995&lt;&gt;"pagada",NOT(ISNUMBER(J995)),NOT(ISNUMBER(M995))),"",J995-M995)</x:f>
      </x:c>
      <x:c r="O995" s="9"/>
      <x:c r="P995" s="9"/>
      <x:c r="Q995" s="1" t="str">
        <x:f>IF(B995="","",IF(COUNTIFS($B$7:$B$1006,B995,$C$7:$C$1006,C995)&gt;1,"ID duplicado",IF(OR(A995="",C995="",D995="",E995="",F995="",I995="",J995="",K995="",O995=""),"Completar datos",IF(NOT(ISNUMBER(M995)),"Falta costo histórico","Revisar soporte"))))</x:f>
      </x:c>
      <x:c r="R995" s="9" t="n">
        <x:f>IF(B995="",0,IF(AND(D995="pagada",NOT(ISNUMBER(M995))),1,0))</x:f>
        <x:v>0</x:v>
      </x:c>
    </x:row>
    <x:row r="996" ht="22" customHeight="1">
      <x:c r="A996" s="11"/>
      <x:c r="B996" s="9"/>
      <x:c r="C996" s="9"/>
      <x:c r="D996" s="9"/>
      <x:c r="E996" s="9"/>
      <x:c r="F996" s="9"/>
      <x:c r="G996" s="9"/>
      <x:c r="H996" s="9"/>
      <x:c r="I996" s="13"/>
      <x:c r="J996" s="15"/>
      <x:c r="K996" s="15"/>
      <x:c r="L996" s="17" t="str">
        <x:f>IF(B996="","",IF(NOT(AND(ISNUMBER(J996),ISNUMBER(K996))),"",SUM(J996:K996)))</x:f>
      </x:c>
      <x:c r="M996" s="15"/>
      <x:c r="N996" s="17" t="str">
        <x:f>IF(OR(B996="",D996&lt;&gt;"pagada",NOT(ISNUMBER(J996)),NOT(ISNUMBER(M996))),"",J996-M996)</x:f>
      </x:c>
      <x:c r="O996" s="9"/>
      <x:c r="P996" s="9"/>
      <x:c r="Q996" s="1" t="str">
        <x:f>IF(B996="","",IF(COUNTIFS($B$7:$B$1006,B996,$C$7:$C$1006,C996)&gt;1,"ID duplicado",IF(OR(A996="",C996="",D996="",E996="",F996="",I996="",J996="",K996="",O996=""),"Completar datos",IF(NOT(ISNUMBER(M996)),"Falta costo histórico","Revisar soporte"))))</x:f>
      </x:c>
      <x:c r="R996" s="9" t="n">
        <x:f>IF(B996="",0,IF(AND(D996="pagada",NOT(ISNUMBER(M996))),1,0))</x:f>
        <x:v>0</x:v>
      </x:c>
    </x:row>
    <x:row r="997" ht="22" customHeight="1">
      <x:c r="A997" s="11"/>
      <x:c r="B997" s="9"/>
      <x:c r="C997" s="9"/>
      <x:c r="D997" s="9"/>
      <x:c r="E997" s="9"/>
      <x:c r="F997" s="9"/>
      <x:c r="G997" s="9"/>
      <x:c r="H997" s="9"/>
      <x:c r="I997" s="13"/>
      <x:c r="J997" s="15"/>
      <x:c r="K997" s="15"/>
      <x:c r="L997" s="17" t="str">
        <x:f>IF(B997="","",IF(NOT(AND(ISNUMBER(J997),ISNUMBER(K997))),"",SUM(J997:K997)))</x:f>
      </x:c>
      <x:c r="M997" s="15"/>
      <x:c r="N997" s="17" t="str">
        <x:f>IF(OR(B997="",D997&lt;&gt;"pagada",NOT(ISNUMBER(J997)),NOT(ISNUMBER(M997))),"",J997-M997)</x:f>
      </x:c>
      <x:c r="O997" s="9"/>
      <x:c r="P997" s="9"/>
      <x:c r="Q997" s="1" t="str">
        <x:f>IF(B997="","",IF(COUNTIFS($B$7:$B$1006,B997,$C$7:$C$1006,C997)&gt;1,"ID duplicado",IF(OR(A997="",C997="",D997="",E997="",F997="",I997="",J997="",K997="",O997=""),"Completar datos",IF(NOT(ISNUMBER(M997)),"Falta costo histórico","Revisar soporte"))))</x:f>
      </x:c>
      <x:c r="R997" s="9" t="n">
        <x:f>IF(B997="",0,IF(AND(D997="pagada",NOT(ISNUMBER(M997))),1,0))</x:f>
        <x:v>0</x:v>
      </x:c>
    </x:row>
    <x:row r="998" ht="22" customHeight="1">
      <x:c r="A998" s="11"/>
      <x:c r="B998" s="9"/>
      <x:c r="C998" s="9"/>
      <x:c r="D998" s="9"/>
      <x:c r="E998" s="9"/>
      <x:c r="F998" s="9"/>
      <x:c r="G998" s="9"/>
      <x:c r="H998" s="9"/>
      <x:c r="I998" s="13"/>
      <x:c r="J998" s="15"/>
      <x:c r="K998" s="15"/>
      <x:c r="L998" s="17" t="str">
        <x:f>IF(B998="","",IF(NOT(AND(ISNUMBER(J998),ISNUMBER(K998))),"",SUM(J998:K998)))</x:f>
      </x:c>
      <x:c r="M998" s="15"/>
      <x:c r="N998" s="17" t="str">
        <x:f>IF(OR(B998="",D998&lt;&gt;"pagada",NOT(ISNUMBER(J998)),NOT(ISNUMBER(M998))),"",J998-M998)</x:f>
      </x:c>
      <x:c r="O998" s="9"/>
      <x:c r="P998" s="9"/>
      <x:c r="Q998" s="1" t="str">
        <x:f>IF(B998="","",IF(COUNTIFS($B$7:$B$1006,B998,$C$7:$C$1006,C998)&gt;1,"ID duplicado",IF(OR(A998="",C998="",D998="",E998="",F998="",I998="",J998="",K998="",O998=""),"Completar datos",IF(NOT(ISNUMBER(M998)),"Falta costo histórico","Revisar soporte"))))</x:f>
      </x:c>
      <x:c r="R998" s="9" t="n">
        <x:f>IF(B998="",0,IF(AND(D998="pagada",NOT(ISNUMBER(M998))),1,0))</x:f>
        <x:v>0</x:v>
      </x:c>
    </x:row>
    <x:row r="999" ht="22" customHeight="1">
      <x:c r="A999" s="11"/>
      <x:c r="B999" s="9"/>
      <x:c r="C999" s="9"/>
      <x:c r="D999" s="9"/>
      <x:c r="E999" s="9"/>
      <x:c r="F999" s="9"/>
      <x:c r="G999" s="9"/>
      <x:c r="H999" s="9"/>
      <x:c r="I999" s="13"/>
      <x:c r="J999" s="15"/>
      <x:c r="K999" s="15"/>
      <x:c r="L999" s="17" t="str">
        <x:f>IF(B999="","",IF(NOT(AND(ISNUMBER(J999),ISNUMBER(K999))),"",SUM(J999:K999)))</x:f>
      </x:c>
      <x:c r="M999" s="15"/>
      <x:c r="N999" s="17" t="str">
        <x:f>IF(OR(B999="",D999&lt;&gt;"pagada",NOT(ISNUMBER(J999)),NOT(ISNUMBER(M999))),"",J999-M999)</x:f>
      </x:c>
      <x:c r="O999" s="9"/>
      <x:c r="P999" s="9"/>
      <x:c r="Q999" s="1" t="str">
        <x:f>IF(B999="","",IF(COUNTIFS($B$7:$B$1006,B999,$C$7:$C$1006,C999)&gt;1,"ID duplicado",IF(OR(A999="",C999="",D999="",E999="",F999="",I999="",J999="",K999="",O999=""),"Completar datos",IF(NOT(ISNUMBER(M999)),"Falta costo histórico","Revisar soporte"))))</x:f>
      </x:c>
      <x:c r="R999" s="9" t="n">
        <x:f>IF(B999="",0,IF(AND(D999="pagada",NOT(ISNUMBER(M999))),1,0))</x:f>
        <x:v>0</x:v>
      </x:c>
    </x:row>
    <x:row r="1000" ht="22" customHeight="1">
      <x:c r="A1000" s="11"/>
      <x:c r="B1000" s="9"/>
      <x:c r="C1000" s="9"/>
      <x:c r="D1000" s="9"/>
      <x:c r="E1000" s="9"/>
      <x:c r="F1000" s="9"/>
      <x:c r="G1000" s="9"/>
      <x:c r="H1000" s="9"/>
      <x:c r="I1000" s="13"/>
      <x:c r="J1000" s="15"/>
      <x:c r="K1000" s="15"/>
      <x:c r="L1000" s="17" t="str">
        <x:f>IF(B1000="","",IF(NOT(AND(ISNUMBER(J1000),ISNUMBER(K1000))),"",SUM(J1000:K1000)))</x:f>
      </x:c>
      <x:c r="M1000" s="15"/>
      <x:c r="N1000" s="17" t="str">
        <x:f>IF(OR(B1000="",D1000&lt;&gt;"pagada",NOT(ISNUMBER(J1000)),NOT(ISNUMBER(M1000))),"",J1000-M1000)</x:f>
      </x:c>
      <x:c r="O1000" s="9"/>
      <x:c r="P1000" s="9"/>
      <x:c r="Q1000" s="1" t="str">
        <x:f>IF(B1000="","",IF(COUNTIFS($B$7:$B$1006,B1000,$C$7:$C$1006,C1000)&gt;1,"ID duplicado",IF(OR(A1000="",C1000="",D1000="",E1000="",F1000="",I1000="",J1000="",K1000="",O1000=""),"Completar datos",IF(NOT(ISNUMBER(M1000)),"Falta costo histórico","Revisar soporte"))))</x:f>
      </x:c>
      <x:c r="R1000" s="9" t="n">
        <x:f>IF(B1000="",0,IF(AND(D1000="pagada",NOT(ISNUMBER(M1000))),1,0))</x:f>
        <x:v>0</x:v>
      </x:c>
    </x:row>
    <x:row r="1001" ht="22" customHeight="1">
      <x:c r="A1001" s="11"/>
      <x:c r="B1001" s="9"/>
      <x:c r="C1001" s="9"/>
      <x:c r="D1001" s="9"/>
      <x:c r="E1001" s="9"/>
      <x:c r="F1001" s="9"/>
      <x:c r="G1001" s="9"/>
      <x:c r="H1001" s="9"/>
      <x:c r="I1001" s="13"/>
      <x:c r="J1001" s="15"/>
      <x:c r="K1001" s="15"/>
      <x:c r="L1001" s="17" t="str">
        <x:f>IF(B1001="","",IF(NOT(AND(ISNUMBER(J1001),ISNUMBER(K1001))),"",SUM(J1001:K1001)))</x:f>
      </x:c>
      <x:c r="M1001" s="15"/>
      <x:c r="N1001" s="17" t="str">
        <x:f>IF(OR(B1001="",D1001&lt;&gt;"pagada",NOT(ISNUMBER(J1001)),NOT(ISNUMBER(M1001))),"",J1001-M1001)</x:f>
      </x:c>
      <x:c r="O1001" s="9"/>
      <x:c r="P1001" s="9"/>
      <x:c r="Q1001" s="1" t="str">
        <x:f>IF(B1001="","",IF(COUNTIFS($B$7:$B$1006,B1001,$C$7:$C$1006,C1001)&gt;1,"ID duplicado",IF(OR(A1001="",C1001="",D1001="",E1001="",F1001="",I1001="",J1001="",K1001="",O1001=""),"Completar datos",IF(NOT(ISNUMBER(M1001)),"Falta costo histórico","Revisar soporte"))))</x:f>
      </x:c>
      <x:c r="R1001" s="9" t="n">
        <x:f>IF(B1001="",0,IF(AND(D1001="pagada",NOT(ISNUMBER(M1001))),1,0))</x:f>
        <x:v>0</x:v>
      </x:c>
    </x:row>
    <x:row r="1002" ht="22" customHeight="1">
      <x:c r="A1002" s="11"/>
      <x:c r="B1002" s="9"/>
      <x:c r="C1002" s="9"/>
      <x:c r="D1002" s="9"/>
      <x:c r="E1002" s="9"/>
      <x:c r="F1002" s="9"/>
      <x:c r="G1002" s="9"/>
      <x:c r="H1002" s="9"/>
      <x:c r="I1002" s="13"/>
      <x:c r="J1002" s="15"/>
      <x:c r="K1002" s="15"/>
      <x:c r="L1002" s="17" t="str">
        <x:f>IF(B1002="","",IF(NOT(AND(ISNUMBER(J1002),ISNUMBER(K1002))),"",SUM(J1002:K1002)))</x:f>
      </x:c>
      <x:c r="M1002" s="15"/>
      <x:c r="N1002" s="17" t="str">
        <x:f>IF(OR(B1002="",D1002&lt;&gt;"pagada",NOT(ISNUMBER(J1002)),NOT(ISNUMBER(M1002))),"",J1002-M1002)</x:f>
      </x:c>
      <x:c r="O1002" s="9"/>
      <x:c r="P1002" s="9"/>
      <x:c r="Q1002" s="1" t="str">
        <x:f>IF(B1002="","",IF(COUNTIFS($B$7:$B$1006,B1002,$C$7:$C$1006,C1002)&gt;1,"ID duplicado",IF(OR(A1002="",C1002="",D1002="",E1002="",F1002="",I1002="",J1002="",K1002="",O1002=""),"Completar datos",IF(NOT(ISNUMBER(M1002)),"Falta costo histórico","Revisar soporte"))))</x:f>
      </x:c>
      <x:c r="R1002" s="9" t="n">
        <x:f>IF(B1002="",0,IF(AND(D1002="pagada",NOT(ISNUMBER(M1002))),1,0))</x:f>
        <x:v>0</x:v>
      </x:c>
    </x:row>
    <x:row r="1003" ht="22" customHeight="1">
      <x:c r="A1003" s="11"/>
      <x:c r="B1003" s="9"/>
      <x:c r="C1003" s="9"/>
      <x:c r="D1003" s="9"/>
      <x:c r="E1003" s="9"/>
      <x:c r="F1003" s="9"/>
      <x:c r="G1003" s="9"/>
      <x:c r="H1003" s="9"/>
      <x:c r="I1003" s="13"/>
      <x:c r="J1003" s="15"/>
      <x:c r="K1003" s="15"/>
      <x:c r="L1003" s="17" t="str">
        <x:f>IF(B1003="","",IF(NOT(AND(ISNUMBER(J1003),ISNUMBER(K1003))),"",SUM(J1003:K1003)))</x:f>
      </x:c>
      <x:c r="M1003" s="15"/>
      <x:c r="N1003" s="17" t="str">
        <x:f>IF(OR(B1003="",D1003&lt;&gt;"pagada",NOT(ISNUMBER(J1003)),NOT(ISNUMBER(M1003))),"",J1003-M1003)</x:f>
      </x:c>
      <x:c r="O1003" s="9"/>
      <x:c r="P1003" s="9"/>
      <x:c r="Q1003" s="1" t="str">
        <x:f>IF(B1003="","",IF(COUNTIFS($B$7:$B$1006,B1003,$C$7:$C$1006,C1003)&gt;1,"ID duplicado",IF(OR(A1003="",C1003="",D1003="",E1003="",F1003="",I1003="",J1003="",K1003="",O1003=""),"Completar datos",IF(NOT(ISNUMBER(M1003)),"Falta costo histórico","Revisar soporte"))))</x:f>
      </x:c>
      <x:c r="R1003" s="9" t="n">
        <x:f>IF(B1003="",0,IF(AND(D1003="pagada",NOT(ISNUMBER(M1003))),1,0))</x:f>
        <x:v>0</x:v>
      </x:c>
    </x:row>
    <x:row r="1004" ht="22" customHeight="1">
      <x:c r="A1004" s="11"/>
      <x:c r="B1004" s="9"/>
      <x:c r="C1004" s="9"/>
      <x:c r="D1004" s="9"/>
      <x:c r="E1004" s="9"/>
      <x:c r="F1004" s="9"/>
      <x:c r="G1004" s="9"/>
      <x:c r="H1004" s="9"/>
      <x:c r="I1004" s="13"/>
      <x:c r="J1004" s="15"/>
      <x:c r="K1004" s="15"/>
      <x:c r="L1004" s="17" t="str">
        <x:f>IF(B1004="","",IF(NOT(AND(ISNUMBER(J1004),ISNUMBER(K1004))),"",SUM(J1004:K1004)))</x:f>
      </x:c>
      <x:c r="M1004" s="15"/>
      <x:c r="N1004" s="17" t="str">
        <x:f>IF(OR(B1004="",D1004&lt;&gt;"pagada",NOT(ISNUMBER(J1004)),NOT(ISNUMBER(M1004))),"",J1004-M1004)</x:f>
      </x:c>
      <x:c r="O1004" s="9"/>
      <x:c r="P1004" s="9"/>
      <x:c r="Q1004" s="1" t="str">
        <x:f>IF(B1004="","",IF(COUNTIFS($B$7:$B$1006,B1004,$C$7:$C$1006,C1004)&gt;1,"ID duplicado",IF(OR(A1004="",C1004="",D1004="",E1004="",F1004="",I1004="",J1004="",K1004="",O1004=""),"Completar datos",IF(NOT(ISNUMBER(M1004)),"Falta costo histórico","Revisar soporte"))))</x:f>
      </x:c>
      <x:c r="R1004" s="9" t="n">
        <x:f>IF(B1004="",0,IF(AND(D1004="pagada",NOT(ISNUMBER(M1004))),1,0))</x:f>
        <x:v>0</x:v>
      </x:c>
    </x:row>
    <x:row r="1005" ht="22" customHeight="1">
      <x:c r="A1005" s="11"/>
      <x:c r="B1005" s="9"/>
      <x:c r="C1005" s="9"/>
      <x:c r="D1005" s="9"/>
      <x:c r="E1005" s="9"/>
      <x:c r="F1005" s="9"/>
      <x:c r="G1005" s="9"/>
      <x:c r="H1005" s="9"/>
      <x:c r="I1005" s="13"/>
      <x:c r="J1005" s="15"/>
      <x:c r="K1005" s="15"/>
      <x:c r="L1005" s="17" t="str">
        <x:f>IF(B1005="","",IF(NOT(AND(ISNUMBER(J1005),ISNUMBER(K1005))),"",SUM(J1005:K1005)))</x:f>
      </x:c>
      <x:c r="M1005" s="15"/>
      <x:c r="N1005" s="17" t="str">
        <x:f>IF(OR(B1005="",D1005&lt;&gt;"pagada",NOT(ISNUMBER(J1005)),NOT(ISNUMBER(M1005))),"",J1005-M1005)</x:f>
      </x:c>
      <x:c r="O1005" s="9"/>
      <x:c r="P1005" s="9"/>
      <x:c r="Q1005" s="1" t="str">
        <x:f>IF(B1005="","",IF(COUNTIFS($B$7:$B$1006,B1005,$C$7:$C$1006,C1005)&gt;1,"ID duplicado",IF(OR(A1005="",C1005="",D1005="",E1005="",F1005="",I1005="",J1005="",K1005="",O1005=""),"Completar datos",IF(NOT(ISNUMBER(M1005)),"Falta costo histórico","Revisar soporte"))))</x:f>
      </x:c>
      <x:c r="R1005" s="9" t="n">
        <x:f>IF(B1005="",0,IF(AND(D1005="pagada",NOT(ISNUMBER(M1005))),1,0))</x:f>
        <x:v>0</x:v>
      </x:c>
    </x:row>
    <x:row r="1006" ht="22" customHeight="1">
      <x:c r="A1006" s="11"/>
      <x:c r="B1006" s="9"/>
      <x:c r="C1006" s="9"/>
      <x:c r="D1006" s="9"/>
      <x:c r="E1006" s="9"/>
      <x:c r="F1006" s="9"/>
      <x:c r="G1006" s="9"/>
      <x:c r="H1006" s="9"/>
      <x:c r="I1006" s="13"/>
      <x:c r="J1006" s="15"/>
      <x:c r="K1006" s="15"/>
      <x:c r="L1006" s="17" t="str">
        <x:f>IF(B1006="","",IF(NOT(AND(ISNUMBER(J1006),ISNUMBER(K1006))),"",SUM(J1006:K1006)))</x:f>
      </x:c>
      <x:c r="M1006" s="15"/>
      <x:c r="N1006" s="17" t="str">
        <x:f>IF(OR(B1006="",D1006&lt;&gt;"pagada",NOT(ISNUMBER(J1006)),NOT(ISNUMBER(M1006))),"",J1006-M1006)</x:f>
      </x:c>
      <x:c r="O1006" s="9"/>
      <x:c r="P1006" s="9"/>
      <x:c r="Q1006" s="1" t="str">
        <x:f>IF(B1006="","",IF(COUNTIFS($B$7:$B$1006,B1006,$C$7:$C$1006,C1006)&gt;1,"ID duplicado",IF(OR(A1006="",C1006="",D1006="",E1006="",F1006="",I1006="",J1006="",K1006="",O1006=""),"Completar datos",IF(NOT(ISNUMBER(M1006)),"Falta costo histórico","Revisar soporte"))))</x:f>
      </x:c>
      <x:c r="R1006" s="9" t="n">
        <x:f>IF(B1006="",0,IF(AND(D1006="pagada",NOT(ISNUMBER(M1006))),1,0))</x:f>
        <x:v>0</x:v>
      </x:c>
    </x:row>
  </x:sheetData>
  <x:mergeCells>
    <x:mergeCell ref="A4:K4"/>
  </x:mergeCells>
  <x:conditionalFormatting sqref="Q7:Q1006">
    <x:cfRule type="containsText" dxfId="0" priority="1" operator="containsText" text="Falta"/>
    <x:cfRule type="containsText" dxfId="1" priority="2" operator="containsText" text="duplicado"/>
  </x:conditionalFormatting>
  <x:dataValidations count="2">
    <x:dataValidation type="list" sqref="D7:D1006">
      <x:formula1>"pagada,anulada"</x:formula1>
    </x:dataValidation>
    <x:dataValidation type="list" sqref="O7:O1006">
      <x:formula1>"efectivo,transferencia"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9f2521c936346e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35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>
      <x:c r="A2" s="3" t="str">
        <x:v>Gastos operativos registrados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</x:row>
    <x:row r="4">
      <x:c r="A4" s="2" t="str">
        <x:v>No incluir compras de inventario, traslados entre cuentas, préstamos ni retiros personales como gasto operativo. La deducibilidad la revisa el contador.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 ht="34" customHeight="1">
      <x:c r="A6" s="7" t="str">
        <x:v>Fecha Bogotá</x:v>
      </x:c>
      <x:c r="B6" s="7" t="str">
        <x:v>Documento ID</x:v>
      </x:c>
      <x:c r="C6" s="7" t="str">
        <x:v>Tercero</x:v>
      </x:c>
      <x:c r="D6" s="7" t="str">
        <x:v>Concepto</x:v>
      </x:c>
      <x:c r="E6" s="7" t="str">
        <x:v>Categoría</x:v>
      </x:c>
      <x:c r="F6" s="7" t="str">
        <x:v>Gasto sin impuestos COP</x:v>
      </x:c>
      <x:c r="G6" s="7" t="str">
        <x:v>Impuesto COP</x:v>
      </x:c>
      <x:c r="H6" s="7" t="str">
        <x:v>Total COP</x:v>
      </x:c>
      <x:c r="I6" s="7" t="str">
        <x:v>Medio de pago</x:v>
      </x:c>
      <x:c r="J6" s="7" t="str">
        <x:v>Soporte</x:v>
      </x:c>
      <x:c r="K6" s="7" t="str">
        <x:v>Revisión fiscal</x:v>
      </x:c>
    </x:row>
    <x:row r="7" ht="22" customHeight="1">
      <x:c r="A7" s="10"/>
      <x:c r="B7" s="8"/>
      <x:c r="C7" s="8"/>
      <x:c r="D7" s="8"/>
      <x:c r="E7" s="8"/>
      <x:c r="F7" s="14"/>
      <x:c r="G7" s="14"/>
      <x:c r="H7" s="16" t="str">
        <x:f>IF(B7="","",IF(NOT(AND(ISNUMBER(F7),ISNUMBER(G7))),"",SUM(F7:G7)))</x:f>
      </x:c>
      <x:c r="I7" s="8"/>
      <x:c r="J7" s="8"/>
      <x:c r="K7" s="8"/>
    </x:row>
    <x:row r="8" ht="22" customHeight="1">
      <x:c r="A8" s="10"/>
      <x:c r="B8" s="8"/>
      <x:c r="C8" s="8"/>
      <x:c r="D8" s="8"/>
      <x:c r="E8" s="8"/>
      <x:c r="F8" s="14"/>
      <x:c r="G8" s="14"/>
      <x:c r="H8" s="16" t="str">
        <x:f>IF(B8="","",IF(NOT(AND(ISNUMBER(F8),ISNUMBER(G8))),"",SUM(F8:G8)))</x:f>
      </x:c>
      <x:c r="I8" s="8"/>
      <x:c r="J8" s="8"/>
      <x:c r="K8" s="8"/>
    </x:row>
    <x:row r="9" ht="22" customHeight="1">
      <x:c r="A9" s="10"/>
      <x:c r="B9" s="8"/>
      <x:c r="C9" s="8"/>
      <x:c r="D9" s="8"/>
      <x:c r="E9" s="8"/>
      <x:c r="F9" s="14"/>
      <x:c r="G9" s="14"/>
      <x:c r="H9" s="16" t="str">
        <x:f>IF(B9="","",IF(NOT(AND(ISNUMBER(F9),ISNUMBER(G9))),"",SUM(F9:G9)))</x:f>
      </x:c>
      <x:c r="I9" s="8"/>
      <x:c r="J9" s="8"/>
      <x:c r="K9" s="8"/>
    </x:row>
    <x:row r="10" ht="22" customHeight="1">
      <x:c r="A10" s="10"/>
      <x:c r="B10" s="8"/>
      <x:c r="C10" s="8"/>
      <x:c r="D10" s="8"/>
      <x:c r="E10" s="8"/>
      <x:c r="F10" s="14"/>
      <x:c r="G10" s="14"/>
      <x:c r="H10" s="16" t="str">
        <x:f>IF(B10="","",IF(NOT(AND(ISNUMBER(F10),ISNUMBER(G10))),"",SUM(F10:G10)))</x:f>
      </x:c>
      <x:c r="I10" s="8"/>
      <x:c r="J10" s="8"/>
      <x:c r="K10" s="8"/>
    </x:row>
    <x:row r="11" ht="22" customHeight="1">
      <x:c r="A11" s="10"/>
      <x:c r="B11" s="8"/>
      <x:c r="C11" s="8"/>
      <x:c r="D11" s="8"/>
      <x:c r="E11" s="8"/>
      <x:c r="F11" s="14"/>
      <x:c r="G11" s="14"/>
      <x:c r="H11" s="16" t="str">
        <x:f>IF(B11="","",IF(NOT(AND(ISNUMBER(F11),ISNUMBER(G11))),"",SUM(F11:G11)))</x:f>
      </x:c>
      <x:c r="I11" s="8"/>
      <x:c r="J11" s="8"/>
      <x:c r="K11" s="8"/>
    </x:row>
    <x:row r="12" ht="22" customHeight="1">
      <x:c r="A12" s="10"/>
      <x:c r="B12" s="8"/>
      <x:c r="C12" s="8"/>
      <x:c r="D12" s="8"/>
      <x:c r="E12" s="8"/>
      <x:c r="F12" s="14"/>
      <x:c r="G12" s="14"/>
      <x:c r="H12" s="16" t="str">
        <x:f>IF(B12="","",IF(NOT(AND(ISNUMBER(F12),ISNUMBER(G12))),"",SUM(F12:G12)))</x:f>
      </x:c>
      <x:c r="I12" s="8"/>
      <x:c r="J12" s="8"/>
      <x:c r="K12" s="8"/>
    </x:row>
    <x:row r="13" ht="22" customHeight="1">
      <x:c r="A13" s="10"/>
      <x:c r="B13" s="8"/>
      <x:c r="C13" s="8"/>
      <x:c r="D13" s="8"/>
      <x:c r="E13" s="8"/>
      <x:c r="F13" s="14"/>
      <x:c r="G13" s="14"/>
      <x:c r="H13" s="16" t="str">
        <x:f>IF(B13="","",IF(NOT(AND(ISNUMBER(F13),ISNUMBER(G13))),"",SUM(F13:G13)))</x:f>
      </x:c>
      <x:c r="I13" s="8"/>
      <x:c r="J13" s="8"/>
      <x:c r="K13" s="8"/>
    </x:row>
    <x:row r="14" ht="22" customHeight="1">
      <x:c r="A14" s="10"/>
      <x:c r="B14" s="8"/>
      <x:c r="C14" s="8"/>
      <x:c r="D14" s="8"/>
      <x:c r="E14" s="8"/>
      <x:c r="F14" s="14"/>
      <x:c r="G14" s="14"/>
      <x:c r="H14" s="16" t="str">
        <x:f>IF(B14="","",IF(NOT(AND(ISNUMBER(F14),ISNUMBER(G14))),"",SUM(F14:G14)))</x:f>
      </x:c>
      <x:c r="I14" s="8"/>
      <x:c r="J14" s="8"/>
      <x:c r="K14" s="8"/>
    </x:row>
    <x:row r="15" ht="22" customHeight="1">
      <x:c r="A15" s="10"/>
      <x:c r="B15" s="8"/>
      <x:c r="C15" s="8"/>
      <x:c r="D15" s="8"/>
      <x:c r="E15" s="8"/>
      <x:c r="F15" s="14"/>
      <x:c r="G15" s="14"/>
      <x:c r="H15" s="16" t="str">
        <x:f>IF(B15="","",IF(NOT(AND(ISNUMBER(F15),ISNUMBER(G15))),"",SUM(F15:G15)))</x:f>
      </x:c>
      <x:c r="I15" s="8"/>
      <x:c r="J15" s="8"/>
      <x:c r="K15" s="8"/>
    </x:row>
    <x:row r="16" ht="22" customHeight="1">
      <x:c r="A16" s="10"/>
      <x:c r="B16" s="8"/>
      <x:c r="C16" s="8"/>
      <x:c r="D16" s="8"/>
      <x:c r="E16" s="8"/>
      <x:c r="F16" s="14"/>
      <x:c r="G16" s="14"/>
      <x:c r="H16" s="16" t="str">
        <x:f>IF(B16="","",IF(NOT(AND(ISNUMBER(F16),ISNUMBER(G16))),"",SUM(F16:G16)))</x:f>
      </x:c>
      <x:c r="I16" s="8"/>
      <x:c r="J16" s="8"/>
      <x:c r="K16" s="8"/>
    </x:row>
    <x:row r="17" ht="22" customHeight="1">
      <x:c r="A17" s="10"/>
      <x:c r="B17" s="8"/>
      <x:c r="C17" s="8"/>
      <x:c r="D17" s="8"/>
      <x:c r="E17" s="8"/>
      <x:c r="F17" s="14"/>
      <x:c r="G17" s="14"/>
      <x:c r="H17" s="16" t="str">
        <x:f>IF(B17="","",IF(NOT(AND(ISNUMBER(F17),ISNUMBER(G17))),"",SUM(F17:G17)))</x:f>
      </x:c>
      <x:c r="I17" s="8"/>
      <x:c r="J17" s="8"/>
      <x:c r="K17" s="8"/>
    </x:row>
    <x:row r="18" ht="22" customHeight="1">
      <x:c r="A18" s="10"/>
      <x:c r="B18" s="8"/>
      <x:c r="C18" s="8"/>
      <x:c r="D18" s="8"/>
      <x:c r="E18" s="8"/>
      <x:c r="F18" s="14"/>
      <x:c r="G18" s="14"/>
      <x:c r="H18" s="16" t="str">
        <x:f>IF(B18="","",IF(NOT(AND(ISNUMBER(F18),ISNUMBER(G18))),"",SUM(F18:G18)))</x:f>
      </x:c>
      <x:c r="I18" s="8"/>
      <x:c r="J18" s="8"/>
      <x:c r="K18" s="8"/>
    </x:row>
    <x:row r="19" ht="22" customHeight="1">
      <x:c r="A19" s="10"/>
      <x:c r="B19" s="8"/>
      <x:c r="C19" s="8"/>
      <x:c r="D19" s="8"/>
      <x:c r="E19" s="8"/>
      <x:c r="F19" s="14"/>
      <x:c r="G19" s="14"/>
      <x:c r="H19" s="16" t="str">
        <x:f>IF(B19="","",IF(NOT(AND(ISNUMBER(F19),ISNUMBER(G19))),"",SUM(F19:G19)))</x:f>
      </x:c>
      <x:c r="I19" s="8"/>
      <x:c r="J19" s="8"/>
      <x:c r="K19" s="8"/>
    </x:row>
    <x:row r="20" ht="22" customHeight="1">
      <x:c r="A20" s="10"/>
      <x:c r="B20" s="8"/>
      <x:c r="C20" s="8"/>
      <x:c r="D20" s="8"/>
      <x:c r="E20" s="8"/>
      <x:c r="F20" s="14"/>
      <x:c r="G20" s="14"/>
      <x:c r="H20" s="16" t="str">
        <x:f>IF(B20="","",IF(NOT(AND(ISNUMBER(F20),ISNUMBER(G20))),"",SUM(F20:G20)))</x:f>
      </x:c>
      <x:c r="I20" s="8"/>
      <x:c r="J20" s="8"/>
      <x:c r="K20" s="8"/>
    </x:row>
    <x:row r="21" ht="22" customHeight="1">
      <x:c r="A21" s="10"/>
      <x:c r="B21" s="8"/>
      <x:c r="C21" s="8"/>
      <x:c r="D21" s="8"/>
      <x:c r="E21" s="8"/>
      <x:c r="F21" s="14"/>
      <x:c r="G21" s="14"/>
      <x:c r="H21" s="16" t="str">
        <x:f>IF(B21="","",IF(NOT(AND(ISNUMBER(F21),ISNUMBER(G21))),"",SUM(F21:G21)))</x:f>
      </x:c>
      <x:c r="I21" s="8"/>
      <x:c r="J21" s="8"/>
      <x:c r="K21" s="8"/>
    </x:row>
    <x:row r="22" ht="22" customHeight="1">
      <x:c r="A22" s="10"/>
      <x:c r="B22" s="8"/>
      <x:c r="C22" s="8"/>
      <x:c r="D22" s="8"/>
      <x:c r="E22" s="8"/>
      <x:c r="F22" s="14"/>
      <x:c r="G22" s="14"/>
      <x:c r="H22" s="16" t="str">
        <x:f>IF(B22="","",IF(NOT(AND(ISNUMBER(F22),ISNUMBER(G22))),"",SUM(F22:G22)))</x:f>
      </x:c>
      <x:c r="I22" s="8"/>
      <x:c r="J22" s="8"/>
      <x:c r="K22" s="8"/>
    </x:row>
    <x:row r="23" ht="22" customHeight="1">
      <x:c r="A23" s="10"/>
      <x:c r="B23" s="8"/>
      <x:c r="C23" s="8"/>
      <x:c r="D23" s="8"/>
      <x:c r="E23" s="8"/>
      <x:c r="F23" s="14"/>
      <x:c r="G23" s="14"/>
      <x:c r="H23" s="16" t="str">
        <x:f>IF(B23="","",IF(NOT(AND(ISNUMBER(F23),ISNUMBER(G23))),"",SUM(F23:G23)))</x:f>
      </x:c>
      <x:c r="I23" s="8"/>
      <x:c r="J23" s="8"/>
      <x:c r="K23" s="8"/>
    </x:row>
    <x:row r="24" ht="22" customHeight="1">
      <x:c r="A24" s="10"/>
      <x:c r="B24" s="8"/>
      <x:c r="C24" s="8"/>
      <x:c r="D24" s="8"/>
      <x:c r="E24" s="8"/>
      <x:c r="F24" s="14"/>
      <x:c r="G24" s="14"/>
      <x:c r="H24" s="16" t="str">
        <x:f>IF(B24="","",IF(NOT(AND(ISNUMBER(F24),ISNUMBER(G24))),"",SUM(F24:G24)))</x:f>
      </x:c>
      <x:c r="I24" s="8"/>
      <x:c r="J24" s="8"/>
      <x:c r="K24" s="8"/>
    </x:row>
    <x:row r="25" ht="22" customHeight="1">
      <x:c r="A25" s="10"/>
      <x:c r="B25" s="8"/>
      <x:c r="C25" s="8"/>
      <x:c r="D25" s="8"/>
      <x:c r="E25" s="8"/>
      <x:c r="F25" s="14"/>
      <x:c r="G25" s="14"/>
      <x:c r="H25" s="16" t="str">
        <x:f>IF(B25="","",IF(NOT(AND(ISNUMBER(F25),ISNUMBER(G25))),"",SUM(F25:G25)))</x:f>
      </x:c>
      <x:c r="I25" s="8"/>
      <x:c r="J25" s="8"/>
      <x:c r="K25" s="8"/>
    </x:row>
    <x:row r="26" ht="22" customHeight="1">
      <x:c r="A26" s="10"/>
      <x:c r="B26" s="8"/>
      <x:c r="C26" s="8"/>
      <x:c r="D26" s="8"/>
      <x:c r="E26" s="8"/>
      <x:c r="F26" s="14"/>
      <x:c r="G26" s="14"/>
      <x:c r="H26" s="16" t="str">
        <x:f>IF(B26="","",IF(NOT(AND(ISNUMBER(F26),ISNUMBER(G26))),"",SUM(F26:G26)))</x:f>
      </x:c>
      <x:c r="I26" s="8"/>
      <x:c r="J26" s="8"/>
      <x:c r="K26" s="8"/>
    </x:row>
    <x:row r="27" ht="22" customHeight="1">
      <x:c r="A27" s="10"/>
      <x:c r="B27" s="8"/>
      <x:c r="C27" s="8"/>
      <x:c r="D27" s="8"/>
      <x:c r="E27" s="8"/>
      <x:c r="F27" s="14"/>
      <x:c r="G27" s="14"/>
      <x:c r="H27" s="16" t="str">
        <x:f>IF(B27="","",IF(NOT(AND(ISNUMBER(F27),ISNUMBER(G27))),"",SUM(F27:G27)))</x:f>
      </x:c>
      <x:c r="I27" s="8"/>
      <x:c r="J27" s="8"/>
      <x:c r="K27" s="8"/>
    </x:row>
    <x:row r="28" ht="22" customHeight="1">
      <x:c r="A28" s="10"/>
      <x:c r="B28" s="8"/>
      <x:c r="C28" s="8"/>
      <x:c r="D28" s="8"/>
      <x:c r="E28" s="8"/>
      <x:c r="F28" s="14"/>
      <x:c r="G28" s="14"/>
      <x:c r="H28" s="16" t="str">
        <x:f>IF(B28="","",IF(NOT(AND(ISNUMBER(F28),ISNUMBER(G28))),"",SUM(F28:G28)))</x:f>
      </x:c>
      <x:c r="I28" s="8"/>
      <x:c r="J28" s="8"/>
      <x:c r="K28" s="8"/>
    </x:row>
    <x:row r="29" ht="22" customHeight="1">
      <x:c r="A29" s="10"/>
      <x:c r="B29" s="8"/>
      <x:c r="C29" s="8"/>
      <x:c r="D29" s="8"/>
      <x:c r="E29" s="8"/>
      <x:c r="F29" s="14"/>
      <x:c r="G29" s="14"/>
      <x:c r="H29" s="16" t="str">
        <x:f>IF(B29="","",IF(NOT(AND(ISNUMBER(F29),ISNUMBER(G29))),"",SUM(F29:G29)))</x:f>
      </x:c>
      <x:c r="I29" s="8"/>
      <x:c r="J29" s="8"/>
      <x:c r="K29" s="8"/>
    </x:row>
    <x:row r="30" ht="22" customHeight="1">
      <x:c r="A30" s="10"/>
      <x:c r="B30" s="8"/>
      <x:c r="C30" s="8"/>
      <x:c r="D30" s="8"/>
      <x:c r="E30" s="8"/>
      <x:c r="F30" s="14"/>
      <x:c r="G30" s="14"/>
      <x:c r="H30" s="16" t="str">
        <x:f>IF(B30="","",IF(NOT(AND(ISNUMBER(F30),ISNUMBER(G30))),"",SUM(F30:G30)))</x:f>
      </x:c>
      <x:c r="I30" s="8"/>
      <x:c r="J30" s="8"/>
      <x:c r="K30" s="8"/>
    </x:row>
    <x:row r="31" ht="22" customHeight="1">
      <x:c r="A31" s="10"/>
      <x:c r="B31" s="8"/>
      <x:c r="C31" s="8"/>
      <x:c r="D31" s="8"/>
      <x:c r="E31" s="8"/>
      <x:c r="F31" s="14"/>
      <x:c r="G31" s="14"/>
      <x:c r="H31" s="16" t="str">
        <x:f>IF(B31="","",IF(NOT(AND(ISNUMBER(F31),ISNUMBER(G31))),"",SUM(F31:G31)))</x:f>
      </x:c>
      <x:c r="I31" s="8"/>
      <x:c r="J31" s="8"/>
      <x:c r="K31" s="8"/>
    </x:row>
    <x:row r="32" ht="22" customHeight="1">
      <x:c r="A32" s="10"/>
      <x:c r="B32" s="8"/>
      <x:c r="C32" s="8"/>
      <x:c r="D32" s="8"/>
      <x:c r="E32" s="8"/>
      <x:c r="F32" s="14"/>
      <x:c r="G32" s="14"/>
      <x:c r="H32" s="16" t="str">
        <x:f>IF(B32="","",IF(NOT(AND(ISNUMBER(F32),ISNUMBER(G32))),"",SUM(F32:G32)))</x:f>
      </x:c>
      <x:c r="I32" s="8"/>
      <x:c r="J32" s="8"/>
      <x:c r="K32" s="8"/>
    </x:row>
    <x:row r="33" ht="22" customHeight="1">
      <x:c r="A33" s="10"/>
      <x:c r="B33" s="8"/>
      <x:c r="C33" s="8"/>
      <x:c r="D33" s="8"/>
      <x:c r="E33" s="8"/>
      <x:c r="F33" s="14"/>
      <x:c r="G33" s="14"/>
      <x:c r="H33" s="16" t="str">
        <x:f>IF(B33="","",IF(NOT(AND(ISNUMBER(F33),ISNUMBER(G33))),"",SUM(F33:G33)))</x:f>
      </x:c>
      <x:c r="I33" s="8"/>
      <x:c r="J33" s="8"/>
      <x:c r="K33" s="8"/>
    </x:row>
    <x:row r="34" ht="22" customHeight="1">
      <x:c r="A34" s="10"/>
      <x:c r="B34" s="8"/>
      <x:c r="C34" s="8"/>
      <x:c r="D34" s="8"/>
      <x:c r="E34" s="8"/>
      <x:c r="F34" s="14"/>
      <x:c r="G34" s="14"/>
      <x:c r="H34" s="16" t="str">
        <x:f>IF(B34="","",IF(NOT(AND(ISNUMBER(F34),ISNUMBER(G34))),"",SUM(F34:G34)))</x:f>
      </x:c>
      <x:c r="I34" s="8"/>
      <x:c r="J34" s="8"/>
      <x:c r="K34" s="8"/>
    </x:row>
    <x:row r="35" ht="22" customHeight="1">
      <x:c r="A35" s="10"/>
      <x:c r="B35" s="8"/>
      <x:c r="C35" s="8"/>
      <x:c r="D35" s="8"/>
      <x:c r="E35" s="8"/>
      <x:c r="F35" s="14"/>
      <x:c r="G35" s="14"/>
      <x:c r="H35" s="16" t="str">
        <x:f>IF(B35="","",IF(NOT(AND(ISNUMBER(F35),ISNUMBER(G35))),"",SUM(F35:G35)))</x:f>
      </x:c>
      <x:c r="I35" s="8"/>
      <x:c r="J35" s="8"/>
      <x:c r="K35" s="8"/>
    </x:row>
    <x:row r="36" ht="22" customHeight="1">
      <x:c r="A36" s="10"/>
      <x:c r="B36" s="8"/>
      <x:c r="C36" s="8"/>
      <x:c r="D36" s="8"/>
      <x:c r="E36" s="8"/>
      <x:c r="F36" s="14"/>
      <x:c r="G36" s="14"/>
      <x:c r="H36" s="16" t="str">
        <x:f>IF(B36="","",IF(NOT(AND(ISNUMBER(F36),ISNUMBER(G36))),"",SUM(F36:G36)))</x:f>
      </x:c>
      <x:c r="I36" s="8"/>
      <x:c r="J36" s="8"/>
      <x:c r="K36" s="8"/>
    </x:row>
    <x:row r="37" ht="22" customHeight="1">
      <x:c r="A37" s="10"/>
      <x:c r="B37" s="8"/>
      <x:c r="C37" s="8"/>
      <x:c r="D37" s="8"/>
      <x:c r="E37" s="8"/>
      <x:c r="F37" s="14"/>
      <x:c r="G37" s="14"/>
      <x:c r="H37" s="16" t="str">
        <x:f>IF(B37="","",IF(NOT(AND(ISNUMBER(F37),ISNUMBER(G37))),"",SUM(F37:G37)))</x:f>
      </x:c>
      <x:c r="I37" s="8"/>
      <x:c r="J37" s="8"/>
      <x:c r="K37" s="8"/>
    </x:row>
    <x:row r="38" ht="22" customHeight="1">
      <x:c r="A38" s="10"/>
      <x:c r="B38" s="8"/>
      <x:c r="C38" s="8"/>
      <x:c r="D38" s="8"/>
      <x:c r="E38" s="8"/>
      <x:c r="F38" s="14"/>
      <x:c r="G38" s="14"/>
      <x:c r="H38" s="16" t="str">
        <x:f>IF(B38="","",IF(NOT(AND(ISNUMBER(F38),ISNUMBER(G38))),"",SUM(F38:G38)))</x:f>
      </x:c>
      <x:c r="I38" s="8"/>
      <x:c r="J38" s="8"/>
      <x:c r="K38" s="8"/>
    </x:row>
    <x:row r="39" ht="22" customHeight="1">
      <x:c r="A39" s="10"/>
      <x:c r="B39" s="8"/>
      <x:c r="C39" s="8"/>
      <x:c r="D39" s="8"/>
      <x:c r="E39" s="8"/>
      <x:c r="F39" s="14"/>
      <x:c r="G39" s="14"/>
      <x:c r="H39" s="16" t="str">
        <x:f>IF(B39="","",IF(NOT(AND(ISNUMBER(F39),ISNUMBER(G39))),"",SUM(F39:G39)))</x:f>
      </x:c>
      <x:c r="I39" s="8"/>
      <x:c r="J39" s="8"/>
      <x:c r="K39" s="8"/>
    </x:row>
    <x:row r="40" ht="22" customHeight="1">
      <x:c r="A40" s="10"/>
      <x:c r="B40" s="8"/>
      <x:c r="C40" s="8"/>
      <x:c r="D40" s="8"/>
      <x:c r="E40" s="8"/>
      <x:c r="F40" s="14"/>
      <x:c r="G40" s="14"/>
      <x:c r="H40" s="16" t="str">
        <x:f>IF(B40="","",IF(NOT(AND(ISNUMBER(F40),ISNUMBER(G40))),"",SUM(F40:G40)))</x:f>
      </x:c>
      <x:c r="I40" s="8"/>
      <x:c r="J40" s="8"/>
      <x:c r="K40" s="8"/>
    </x:row>
    <x:row r="41" ht="22" customHeight="1">
      <x:c r="A41" s="11"/>
      <x:c r="B41" s="9"/>
      <x:c r="C41" s="9"/>
      <x:c r="D41" s="9"/>
      <x:c r="E41" s="9"/>
      <x:c r="F41" s="15"/>
      <x:c r="G41" s="15"/>
      <x:c r="H41" s="17" t="str">
        <x:f>IF(B41="","",IF(NOT(AND(ISNUMBER(F41),ISNUMBER(G41))),"",SUM(F41:G41)))</x:f>
      </x:c>
      <x:c r="I41" s="9"/>
      <x:c r="J41" s="9"/>
      <x:c r="K41" s="9"/>
    </x:row>
    <x:row r="42" ht="22" customHeight="1">
      <x:c r="A42" s="11"/>
      <x:c r="B42" s="9"/>
      <x:c r="C42" s="9"/>
      <x:c r="D42" s="9"/>
      <x:c r="E42" s="9"/>
      <x:c r="F42" s="15"/>
      <x:c r="G42" s="15"/>
      <x:c r="H42" s="17" t="str">
        <x:f>IF(B42="","",IF(NOT(AND(ISNUMBER(F42),ISNUMBER(G42))),"",SUM(F42:G42)))</x:f>
      </x:c>
      <x:c r="I42" s="9"/>
      <x:c r="J42" s="9"/>
      <x:c r="K42" s="9"/>
    </x:row>
    <x:row r="43" ht="22" customHeight="1">
      <x:c r="A43" s="11"/>
      <x:c r="B43" s="9"/>
      <x:c r="C43" s="9"/>
      <x:c r="D43" s="9"/>
      <x:c r="E43" s="9"/>
      <x:c r="F43" s="15"/>
      <x:c r="G43" s="15"/>
      <x:c r="H43" s="17" t="str">
        <x:f>IF(B43="","",IF(NOT(AND(ISNUMBER(F43),ISNUMBER(G43))),"",SUM(F43:G43)))</x:f>
      </x:c>
      <x:c r="I43" s="9"/>
      <x:c r="J43" s="9"/>
      <x:c r="K43" s="9"/>
    </x:row>
    <x:row r="44" ht="22" customHeight="1">
      <x:c r="A44" s="11"/>
      <x:c r="B44" s="9"/>
      <x:c r="C44" s="9"/>
      <x:c r="D44" s="9"/>
      <x:c r="E44" s="9"/>
      <x:c r="F44" s="15"/>
      <x:c r="G44" s="15"/>
      <x:c r="H44" s="17" t="str">
        <x:f>IF(B44="","",IF(NOT(AND(ISNUMBER(F44),ISNUMBER(G44))),"",SUM(F44:G44)))</x:f>
      </x:c>
      <x:c r="I44" s="9"/>
      <x:c r="J44" s="9"/>
      <x:c r="K44" s="9"/>
    </x:row>
    <x:row r="45" ht="22" customHeight="1">
      <x:c r="A45" s="11"/>
      <x:c r="B45" s="9"/>
      <x:c r="C45" s="9"/>
      <x:c r="D45" s="9"/>
      <x:c r="E45" s="9"/>
      <x:c r="F45" s="15"/>
      <x:c r="G45" s="15"/>
      <x:c r="H45" s="17" t="str">
        <x:f>IF(B45="","",IF(NOT(AND(ISNUMBER(F45),ISNUMBER(G45))),"",SUM(F45:G45)))</x:f>
      </x:c>
      <x:c r="I45" s="9"/>
      <x:c r="J45" s="9"/>
      <x:c r="K45" s="9"/>
    </x:row>
    <x:row r="46" ht="22" customHeight="1">
      <x:c r="A46" s="11"/>
      <x:c r="B46" s="9"/>
      <x:c r="C46" s="9"/>
      <x:c r="D46" s="9"/>
      <x:c r="E46" s="9"/>
      <x:c r="F46" s="15"/>
      <x:c r="G46" s="15"/>
      <x:c r="H46" s="17" t="str">
        <x:f>IF(B46="","",IF(NOT(AND(ISNUMBER(F46),ISNUMBER(G46))),"",SUM(F46:G46)))</x:f>
      </x:c>
      <x:c r="I46" s="9"/>
      <x:c r="J46" s="9"/>
      <x:c r="K46" s="9"/>
    </x:row>
    <x:row r="47" ht="22" customHeight="1">
      <x:c r="A47" s="11"/>
      <x:c r="B47" s="9"/>
      <x:c r="C47" s="9"/>
      <x:c r="D47" s="9"/>
      <x:c r="E47" s="9"/>
      <x:c r="F47" s="15"/>
      <x:c r="G47" s="15"/>
      <x:c r="H47" s="17" t="str">
        <x:f>IF(B47="","",IF(NOT(AND(ISNUMBER(F47),ISNUMBER(G47))),"",SUM(F47:G47)))</x:f>
      </x:c>
      <x:c r="I47" s="9"/>
      <x:c r="J47" s="9"/>
      <x:c r="K47" s="9"/>
    </x:row>
    <x:row r="48" ht="22" customHeight="1">
      <x:c r="A48" s="11"/>
      <x:c r="B48" s="9"/>
      <x:c r="C48" s="9"/>
      <x:c r="D48" s="9"/>
      <x:c r="E48" s="9"/>
      <x:c r="F48" s="15"/>
      <x:c r="G48" s="15"/>
      <x:c r="H48" s="17" t="str">
        <x:f>IF(B48="","",IF(NOT(AND(ISNUMBER(F48),ISNUMBER(G48))),"",SUM(F48:G48)))</x:f>
      </x:c>
      <x:c r="I48" s="9"/>
      <x:c r="J48" s="9"/>
      <x:c r="K48" s="9"/>
    </x:row>
    <x:row r="49" ht="22" customHeight="1">
      <x:c r="A49" s="11"/>
      <x:c r="B49" s="9"/>
      <x:c r="C49" s="9"/>
      <x:c r="D49" s="9"/>
      <x:c r="E49" s="9"/>
      <x:c r="F49" s="15"/>
      <x:c r="G49" s="15"/>
      <x:c r="H49" s="17" t="str">
        <x:f>IF(B49="","",IF(NOT(AND(ISNUMBER(F49),ISNUMBER(G49))),"",SUM(F49:G49)))</x:f>
      </x:c>
      <x:c r="I49" s="9"/>
      <x:c r="J49" s="9"/>
      <x:c r="K49" s="9"/>
    </x:row>
    <x:row r="50" ht="22" customHeight="1">
      <x:c r="A50" s="11"/>
      <x:c r="B50" s="9"/>
      <x:c r="C50" s="9"/>
      <x:c r="D50" s="9"/>
      <x:c r="E50" s="9"/>
      <x:c r="F50" s="15"/>
      <x:c r="G50" s="15"/>
      <x:c r="H50" s="17" t="str">
        <x:f>IF(B50="","",IF(NOT(AND(ISNUMBER(F50),ISNUMBER(G50))),"",SUM(F50:G50)))</x:f>
      </x:c>
      <x:c r="I50" s="9"/>
      <x:c r="J50" s="9"/>
      <x:c r="K50" s="9"/>
    </x:row>
    <x:row r="51" ht="22" customHeight="1">
      <x:c r="A51" s="11"/>
      <x:c r="B51" s="9"/>
      <x:c r="C51" s="9"/>
      <x:c r="D51" s="9"/>
      <x:c r="E51" s="9"/>
      <x:c r="F51" s="15"/>
      <x:c r="G51" s="15"/>
      <x:c r="H51" s="17" t="str">
        <x:f>IF(B51="","",IF(NOT(AND(ISNUMBER(F51),ISNUMBER(G51))),"",SUM(F51:G51)))</x:f>
      </x:c>
      <x:c r="I51" s="9"/>
      <x:c r="J51" s="9"/>
      <x:c r="K51" s="9"/>
    </x:row>
    <x:row r="52" ht="22" customHeight="1">
      <x:c r="A52" s="11"/>
      <x:c r="B52" s="9"/>
      <x:c r="C52" s="9"/>
      <x:c r="D52" s="9"/>
      <x:c r="E52" s="9"/>
      <x:c r="F52" s="15"/>
      <x:c r="G52" s="15"/>
      <x:c r="H52" s="17" t="str">
        <x:f>IF(B52="","",IF(NOT(AND(ISNUMBER(F52),ISNUMBER(G52))),"",SUM(F52:G52)))</x:f>
      </x:c>
      <x:c r="I52" s="9"/>
      <x:c r="J52" s="9"/>
      <x:c r="K52" s="9"/>
    </x:row>
    <x:row r="53" ht="22" customHeight="1">
      <x:c r="A53" s="11"/>
      <x:c r="B53" s="9"/>
      <x:c r="C53" s="9"/>
      <x:c r="D53" s="9"/>
      <x:c r="E53" s="9"/>
      <x:c r="F53" s="15"/>
      <x:c r="G53" s="15"/>
      <x:c r="H53" s="17" t="str">
        <x:f>IF(B53="","",IF(NOT(AND(ISNUMBER(F53),ISNUMBER(G53))),"",SUM(F53:G53)))</x:f>
      </x:c>
      <x:c r="I53" s="9"/>
      <x:c r="J53" s="9"/>
      <x:c r="K53" s="9"/>
    </x:row>
    <x:row r="54" ht="22" customHeight="1">
      <x:c r="A54" s="11"/>
      <x:c r="B54" s="9"/>
      <x:c r="C54" s="9"/>
      <x:c r="D54" s="9"/>
      <x:c r="E54" s="9"/>
      <x:c r="F54" s="15"/>
      <x:c r="G54" s="15"/>
      <x:c r="H54" s="17" t="str">
        <x:f>IF(B54="","",IF(NOT(AND(ISNUMBER(F54),ISNUMBER(G54))),"",SUM(F54:G54)))</x:f>
      </x:c>
      <x:c r="I54" s="9"/>
      <x:c r="J54" s="9"/>
      <x:c r="K54" s="9"/>
    </x:row>
    <x:row r="55" ht="22" customHeight="1">
      <x:c r="A55" s="11"/>
      <x:c r="B55" s="9"/>
      <x:c r="C55" s="9"/>
      <x:c r="D55" s="9"/>
      <x:c r="E55" s="9"/>
      <x:c r="F55" s="15"/>
      <x:c r="G55" s="15"/>
      <x:c r="H55" s="17" t="str">
        <x:f>IF(B55="","",IF(NOT(AND(ISNUMBER(F55),ISNUMBER(G55))),"",SUM(F55:G55)))</x:f>
      </x:c>
      <x:c r="I55" s="9"/>
      <x:c r="J55" s="9"/>
      <x:c r="K55" s="9"/>
    </x:row>
    <x:row r="56" ht="22" customHeight="1">
      <x:c r="A56" s="11"/>
      <x:c r="B56" s="9"/>
      <x:c r="C56" s="9"/>
      <x:c r="D56" s="9"/>
      <x:c r="E56" s="9"/>
      <x:c r="F56" s="15"/>
      <x:c r="G56" s="15"/>
      <x:c r="H56" s="17" t="str">
        <x:f>IF(B56="","",IF(NOT(AND(ISNUMBER(F56),ISNUMBER(G56))),"",SUM(F56:G56)))</x:f>
      </x:c>
      <x:c r="I56" s="9"/>
      <x:c r="J56" s="9"/>
      <x:c r="K56" s="9"/>
    </x:row>
    <x:row r="57" ht="22" customHeight="1">
      <x:c r="A57" s="11"/>
      <x:c r="B57" s="9"/>
      <x:c r="C57" s="9"/>
      <x:c r="D57" s="9"/>
      <x:c r="E57" s="9"/>
      <x:c r="F57" s="15"/>
      <x:c r="G57" s="15"/>
      <x:c r="H57" s="17" t="str">
        <x:f>IF(B57="","",IF(NOT(AND(ISNUMBER(F57),ISNUMBER(G57))),"",SUM(F57:G57)))</x:f>
      </x:c>
      <x:c r="I57" s="9"/>
      <x:c r="J57" s="9"/>
      <x:c r="K57" s="9"/>
    </x:row>
    <x:row r="58" ht="22" customHeight="1">
      <x:c r="A58" s="11"/>
      <x:c r="B58" s="9"/>
      <x:c r="C58" s="9"/>
      <x:c r="D58" s="9"/>
      <x:c r="E58" s="9"/>
      <x:c r="F58" s="15"/>
      <x:c r="G58" s="15"/>
      <x:c r="H58" s="17" t="str">
        <x:f>IF(B58="","",IF(NOT(AND(ISNUMBER(F58),ISNUMBER(G58))),"",SUM(F58:G58)))</x:f>
      </x:c>
      <x:c r="I58" s="9"/>
      <x:c r="J58" s="9"/>
      <x:c r="K58" s="9"/>
    </x:row>
    <x:row r="59" ht="22" customHeight="1">
      <x:c r="A59" s="11"/>
      <x:c r="B59" s="9"/>
      <x:c r="C59" s="9"/>
      <x:c r="D59" s="9"/>
      <x:c r="E59" s="9"/>
      <x:c r="F59" s="15"/>
      <x:c r="G59" s="15"/>
      <x:c r="H59" s="17" t="str">
        <x:f>IF(B59="","",IF(NOT(AND(ISNUMBER(F59),ISNUMBER(G59))),"",SUM(F59:G59)))</x:f>
      </x:c>
      <x:c r="I59" s="9"/>
      <x:c r="J59" s="9"/>
      <x:c r="K59" s="9"/>
    </x:row>
    <x:row r="60" ht="22" customHeight="1">
      <x:c r="A60" s="11"/>
      <x:c r="B60" s="9"/>
      <x:c r="C60" s="9"/>
      <x:c r="D60" s="9"/>
      <x:c r="E60" s="9"/>
      <x:c r="F60" s="15"/>
      <x:c r="G60" s="15"/>
      <x:c r="H60" s="17" t="str">
        <x:f>IF(B60="","",IF(NOT(AND(ISNUMBER(F60),ISNUMBER(G60))),"",SUM(F60:G60)))</x:f>
      </x:c>
      <x:c r="I60" s="9"/>
      <x:c r="J60" s="9"/>
      <x:c r="K60" s="9"/>
    </x:row>
    <x:row r="61" ht="22" customHeight="1">
      <x:c r="A61" s="11"/>
      <x:c r="B61" s="9"/>
      <x:c r="C61" s="9"/>
      <x:c r="D61" s="9"/>
      <x:c r="E61" s="9"/>
      <x:c r="F61" s="15"/>
      <x:c r="G61" s="15"/>
      <x:c r="H61" s="17" t="str">
        <x:f>IF(B61="","",IF(NOT(AND(ISNUMBER(F61),ISNUMBER(G61))),"",SUM(F61:G61)))</x:f>
      </x:c>
      <x:c r="I61" s="9"/>
      <x:c r="J61" s="9"/>
      <x:c r="K61" s="9"/>
    </x:row>
    <x:row r="62" ht="22" customHeight="1">
      <x:c r="A62" s="11"/>
      <x:c r="B62" s="9"/>
      <x:c r="C62" s="9"/>
      <x:c r="D62" s="9"/>
      <x:c r="E62" s="9"/>
      <x:c r="F62" s="15"/>
      <x:c r="G62" s="15"/>
      <x:c r="H62" s="17" t="str">
        <x:f>IF(B62="","",IF(NOT(AND(ISNUMBER(F62),ISNUMBER(G62))),"",SUM(F62:G62)))</x:f>
      </x:c>
      <x:c r="I62" s="9"/>
      <x:c r="J62" s="9"/>
      <x:c r="K62" s="9"/>
    </x:row>
    <x:row r="63" ht="22" customHeight="1">
      <x:c r="A63" s="11"/>
      <x:c r="B63" s="9"/>
      <x:c r="C63" s="9"/>
      <x:c r="D63" s="9"/>
      <x:c r="E63" s="9"/>
      <x:c r="F63" s="15"/>
      <x:c r="G63" s="15"/>
      <x:c r="H63" s="17" t="str">
        <x:f>IF(B63="","",IF(NOT(AND(ISNUMBER(F63),ISNUMBER(G63))),"",SUM(F63:G63)))</x:f>
      </x:c>
      <x:c r="I63" s="9"/>
      <x:c r="J63" s="9"/>
      <x:c r="K63" s="9"/>
    </x:row>
    <x:row r="64" ht="22" customHeight="1">
      <x:c r="A64" s="11"/>
      <x:c r="B64" s="9"/>
      <x:c r="C64" s="9"/>
      <x:c r="D64" s="9"/>
      <x:c r="E64" s="9"/>
      <x:c r="F64" s="15"/>
      <x:c r="G64" s="15"/>
      <x:c r="H64" s="17" t="str">
        <x:f>IF(B64="","",IF(NOT(AND(ISNUMBER(F64),ISNUMBER(G64))),"",SUM(F64:G64)))</x:f>
      </x:c>
      <x:c r="I64" s="9"/>
      <x:c r="J64" s="9"/>
      <x:c r="K64" s="9"/>
    </x:row>
    <x:row r="65" ht="22" customHeight="1">
      <x:c r="A65" s="11"/>
      <x:c r="B65" s="9"/>
      <x:c r="C65" s="9"/>
      <x:c r="D65" s="9"/>
      <x:c r="E65" s="9"/>
      <x:c r="F65" s="15"/>
      <x:c r="G65" s="15"/>
      <x:c r="H65" s="17" t="str">
        <x:f>IF(B65="","",IF(NOT(AND(ISNUMBER(F65),ISNUMBER(G65))),"",SUM(F65:G65)))</x:f>
      </x:c>
      <x:c r="I65" s="9"/>
      <x:c r="J65" s="9"/>
      <x:c r="K65" s="9"/>
    </x:row>
    <x:row r="66" ht="22" customHeight="1">
      <x:c r="A66" s="11"/>
      <x:c r="B66" s="9"/>
      <x:c r="C66" s="9"/>
      <x:c r="D66" s="9"/>
      <x:c r="E66" s="9"/>
      <x:c r="F66" s="15"/>
      <x:c r="G66" s="15"/>
      <x:c r="H66" s="17" t="str">
        <x:f>IF(B66="","",IF(NOT(AND(ISNUMBER(F66),ISNUMBER(G66))),"",SUM(F66:G66)))</x:f>
      </x:c>
      <x:c r="I66" s="9"/>
      <x:c r="J66" s="9"/>
      <x:c r="K66" s="9"/>
    </x:row>
    <x:row r="67" ht="22" customHeight="1">
      <x:c r="A67" s="11"/>
      <x:c r="B67" s="9"/>
      <x:c r="C67" s="9"/>
      <x:c r="D67" s="9"/>
      <x:c r="E67" s="9"/>
      <x:c r="F67" s="15"/>
      <x:c r="G67" s="15"/>
      <x:c r="H67" s="17" t="str">
        <x:f>IF(B67="","",IF(NOT(AND(ISNUMBER(F67),ISNUMBER(G67))),"",SUM(F67:G67)))</x:f>
      </x:c>
      <x:c r="I67" s="9"/>
      <x:c r="J67" s="9"/>
      <x:c r="K67" s="9"/>
    </x:row>
    <x:row r="68" ht="22" customHeight="1">
      <x:c r="A68" s="11"/>
      <x:c r="B68" s="9"/>
      <x:c r="C68" s="9"/>
      <x:c r="D68" s="9"/>
      <x:c r="E68" s="9"/>
      <x:c r="F68" s="15"/>
      <x:c r="G68" s="15"/>
      <x:c r="H68" s="17" t="str">
        <x:f>IF(B68="","",IF(NOT(AND(ISNUMBER(F68),ISNUMBER(G68))),"",SUM(F68:G68)))</x:f>
      </x:c>
      <x:c r="I68" s="9"/>
      <x:c r="J68" s="9"/>
      <x:c r="K68" s="9"/>
    </x:row>
    <x:row r="69" ht="22" customHeight="1">
      <x:c r="A69" s="11"/>
      <x:c r="B69" s="9"/>
      <x:c r="C69" s="9"/>
      <x:c r="D69" s="9"/>
      <x:c r="E69" s="9"/>
      <x:c r="F69" s="15"/>
      <x:c r="G69" s="15"/>
      <x:c r="H69" s="17" t="str">
        <x:f>IF(B69="","",IF(NOT(AND(ISNUMBER(F69),ISNUMBER(G69))),"",SUM(F69:G69)))</x:f>
      </x:c>
      <x:c r="I69" s="9"/>
      <x:c r="J69" s="9"/>
      <x:c r="K69" s="9"/>
    </x:row>
    <x:row r="70" ht="22" customHeight="1">
      <x:c r="A70" s="11"/>
      <x:c r="B70" s="9"/>
      <x:c r="C70" s="9"/>
      <x:c r="D70" s="9"/>
      <x:c r="E70" s="9"/>
      <x:c r="F70" s="15"/>
      <x:c r="G70" s="15"/>
      <x:c r="H70" s="17" t="str">
        <x:f>IF(B70="","",IF(NOT(AND(ISNUMBER(F70),ISNUMBER(G70))),"",SUM(F70:G70)))</x:f>
      </x:c>
      <x:c r="I70" s="9"/>
      <x:c r="J70" s="9"/>
      <x:c r="K70" s="9"/>
    </x:row>
    <x:row r="71" ht="22" customHeight="1">
      <x:c r="A71" s="11"/>
      <x:c r="B71" s="9"/>
      <x:c r="C71" s="9"/>
      <x:c r="D71" s="9"/>
      <x:c r="E71" s="9"/>
      <x:c r="F71" s="15"/>
      <x:c r="G71" s="15"/>
      <x:c r="H71" s="17" t="str">
        <x:f>IF(B71="","",IF(NOT(AND(ISNUMBER(F71),ISNUMBER(G71))),"",SUM(F71:G71)))</x:f>
      </x:c>
      <x:c r="I71" s="9"/>
      <x:c r="J71" s="9"/>
      <x:c r="K71" s="9"/>
    </x:row>
    <x:row r="72" ht="22" customHeight="1">
      <x:c r="A72" s="11"/>
      <x:c r="B72" s="9"/>
      <x:c r="C72" s="9"/>
      <x:c r="D72" s="9"/>
      <x:c r="E72" s="9"/>
      <x:c r="F72" s="15"/>
      <x:c r="G72" s="15"/>
      <x:c r="H72" s="17" t="str">
        <x:f>IF(B72="","",IF(NOT(AND(ISNUMBER(F72),ISNUMBER(G72))),"",SUM(F72:G72)))</x:f>
      </x:c>
      <x:c r="I72" s="9"/>
      <x:c r="J72" s="9"/>
      <x:c r="K72" s="9"/>
    </x:row>
    <x:row r="73" ht="22" customHeight="1">
      <x:c r="A73" s="11"/>
      <x:c r="B73" s="9"/>
      <x:c r="C73" s="9"/>
      <x:c r="D73" s="9"/>
      <x:c r="E73" s="9"/>
      <x:c r="F73" s="15"/>
      <x:c r="G73" s="15"/>
      <x:c r="H73" s="17" t="str">
        <x:f>IF(B73="","",IF(NOT(AND(ISNUMBER(F73),ISNUMBER(G73))),"",SUM(F73:G73)))</x:f>
      </x:c>
      <x:c r="I73" s="9"/>
      <x:c r="J73" s="9"/>
      <x:c r="K73" s="9"/>
    </x:row>
    <x:row r="74" ht="22" customHeight="1">
      <x:c r="A74" s="11"/>
      <x:c r="B74" s="9"/>
      <x:c r="C74" s="9"/>
      <x:c r="D74" s="9"/>
      <x:c r="E74" s="9"/>
      <x:c r="F74" s="15"/>
      <x:c r="G74" s="15"/>
      <x:c r="H74" s="17" t="str">
        <x:f>IF(B74="","",IF(NOT(AND(ISNUMBER(F74),ISNUMBER(G74))),"",SUM(F74:G74)))</x:f>
      </x:c>
      <x:c r="I74" s="9"/>
      <x:c r="J74" s="9"/>
      <x:c r="K74" s="9"/>
    </x:row>
    <x:row r="75" ht="22" customHeight="1">
      <x:c r="A75" s="11"/>
      <x:c r="B75" s="9"/>
      <x:c r="C75" s="9"/>
      <x:c r="D75" s="9"/>
      <x:c r="E75" s="9"/>
      <x:c r="F75" s="15"/>
      <x:c r="G75" s="15"/>
      <x:c r="H75" s="17" t="str">
        <x:f>IF(B75="","",IF(NOT(AND(ISNUMBER(F75),ISNUMBER(G75))),"",SUM(F75:G75)))</x:f>
      </x:c>
      <x:c r="I75" s="9"/>
      <x:c r="J75" s="9"/>
      <x:c r="K75" s="9"/>
    </x:row>
    <x:row r="76" ht="22" customHeight="1">
      <x:c r="A76" s="11"/>
      <x:c r="B76" s="9"/>
      <x:c r="C76" s="9"/>
      <x:c r="D76" s="9"/>
      <x:c r="E76" s="9"/>
      <x:c r="F76" s="15"/>
      <x:c r="G76" s="15"/>
      <x:c r="H76" s="17" t="str">
        <x:f>IF(B76="","",IF(NOT(AND(ISNUMBER(F76),ISNUMBER(G76))),"",SUM(F76:G76)))</x:f>
      </x:c>
      <x:c r="I76" s="9"/>
      <x:c r="J76" s="9"/>
      <x:c r="K76" s="9"/>
    </x:row>
    <x:row r="77" ht="22" customHeight="1">
      <x:c r="A77" s="11"/>
      <x:c r="B77" s="9"/>
      <x:c r="C77" s="9"/>
      <x:c r="D77" s="9"/>
      <x:c r="E77" s="9"/>
      <x:c r="F77" s="15"/>
      <x:c r="G77" s="15"/>
      <x:c r="H77" s="17" t="str">
        <x:f>IF(B77="","",IF(NOT(AND(ISNUMBER(F77),ISNUMBER(G77))),"",SUM(F77:G77)))</x:f>
      </x:c>
      <x:c r="I77" s="9"/>
      <x:c r="J77" s="9"/>
      <x:c r="K77" s="9"/>
    </x:row>
    <x:row r="78" ht="22" customHeight="1">
      <x:c r="A78" s="11"/>
      <x:c r="B78" s="9"/>
      <x:c r="C78" s="9"/>
      <x:c r="D78" s="9"/>
      <x:c r="E78" s="9"/>
      <x:c r="F78" s="15"/>
      <x:c r="G78" s="15"/>
      <x:c r="H78" s="17" t="str">
        <x:f>IF(B78="","",IF(NOT(AND(ISNUMBER(F78),ISNUMBER(G78))),"",SUM(F78:G78)))</x:f>
      </x:c>
      <x:c r="I78" s="9"/>
      <x:c r="J78" s="9"/>
      <x:c r="K78" s="9"/>
    </x:row>
    <x:row r="79" ht="22" customHeight="1">
      <x:c r="A79" s="11"/>
      <x:c r="B79" s="9"/>
      <x:c r="C79" s="9"/>
      <x:c r="D79" s="9"/>
      <x:c r="E79" s="9"/>
      <x:c r="F79" s="15"/>
      <x:c r="G79" s="15"/>
      <x:c r="H79" s="17" t="str">
        <x:f>IF(B79="","",IF(NOT(AND(ISNUMBER(F79),ISNUMBER(G79))),"",SUM(F79:G79)))</x:f>
      </x:c>
      <x:c r="I79" s="9"/>
      <x:c r="J79" s="9"/>
      <x:c r="K79" s="9"/>
    </x:row>
    <x:row r="80" ht="22" customHeight="1">
      <x:c r="A80" s="11"/>
      <x:c r="B80" s="9"/>
      <x:c r="C80" s="9"/>
      <x:c r="D80" s="9"/>
      <x:c r="E80" s="9"/>
      <x:c r="F80" s="15"/>
      <x:c r="G80" s="15"/>
      <x:c r="H80" s="17" t="str">
        <x:f>IF(B80="","",IF(NOT(AND(ISNUMBER(F80),ISNUMBER(G80))),"",SUM(F80:G80)))</x:f>
      </x:c>
      <x:c r="I80" s="9"/>
      <x:c r="J80" s="9"/>
      <x:c r="K80" s="9"/>
    </x:row>
    <x:row r="81" ht="22" customHeight="1">
      <x:c r="A81" s="11"/>
      <x:c r="B81" s="9"/>
      <x:c r="C81" s="9"/>
      <x:c r="D81" s="9"/>
      <x:c r="E81" s="9"/>
      <x:c r="F81" s="15"/>
      <x:c r="G81" s="15"/>
      <x:c r="H81" s="17" t="str">
        <x:f>IF(B81="","",IF(NOT(AND(ISNUMBER(F81),ISNUMBER(G81))),"",SUM(F81:G81)))</x:f>
      </x:c>
      <x:c r="I81" s="9"/>
      <x:c r="J81" s="9"/>
      <x:c r="K81" s="9"/>
    </x:row>
    <x:row r="82" ht="22" customHeight="1">
      <x:c r="A82" s="11"/>
      <x:c r="B82" s="9"/>
      <x:c r="C82" s="9"/>
      <x:c r="D82" s="9"/>
      <x:c r="E82" s="9"/>
      <x:c r="F82" s="15"/>
      <x:c r="G82" s="15"/>
      <x:c r="H82" s="17" t="str">
        <x:f>IF(B82="","",IF(NOT(AND(ISNUMBER(F82),ISNUMBER(G82))),"",SUM(F82:G82)))</x:f>
      </x:c>
      <x:c r="I82" s="9"/>
      <x:c r="J82" s="9"/>
      <x:c r="K82" s="9"/>
    </x:row>
    <x:row r="83" ht="22" customHeight="1">
      <x:c r="A83" s="11"/>
      <x:c r="B83" s="9"/>
      <x:c r="C83" s="9"/>
      <x:c r="D83" s="9"/>
      <x:c r="E83" s="9"/>
      <x:c r="F83" s="15"/>
      <x:c r="G83" s="15"/>
      <x:c r="H83" s="17" t="str">
        <x:f>IF(B83="","",IF(NOT(AND(ISNUMBER(F83),ISNUMBER(G83))),"",SUM(F83:G83)))</x:f>
      </x:c>
      <x:c r="I83" s="9"/>
      <x:c r="J83" s="9"/>
      <x:c r="K83" s="9"/>
    </x:row>
    <x:row r="84" ht="22" customHeight="1">
      <x:c r="A84" s="11"/>
      <x:c r="B84" s="9"/>
      <x:c r="C84" s="9"/>
      <x:c r="D84" s="9"/>
      <x:c r="E84" s="9"/>
      <x:c r="F84" s="15"/>
      <x:c r="G84" s="15"/>
      <x:c r="H84" s="17" t="str">
        <x:f>IF(B84="","",IF(NOT(AND(ISNUMBER(F84),ISNUMBER(G84))),"",SUM(F84:G84)))</x:f>
      </x:c>
      <x:c r="I84" s="9"/>
      <x:c r="J84" s="9"/>
      <x:c r="K84" s="9"/>
    </x:row>
    <x:row r="85" ht="22" customHeight="1">
      <x:c r="A85" s="11"/>
      <x:c r="B85" s="9"/>
      <x:c r="C85" s="9"/>
      <x:c r="D85" s="9"/>
      <x:c r="E85" s="9"/>
      <x:c r="F85" s="15"/>
      <x:c r="G85" s="15"/>
      <x:c r="H85" s="17" t="str">
        <x:f>IF(B85="","",IF(NOT(AND(ISNUMBER(F85),ISNUMBER(G85))),"",SUM(F85:G85)))</x:f>
      </x:c>
      <x:c r="I85" s="9"/>
      <x:c r="J85" s="9"/>
      <x:c r="K85" s="9"/>
    </x:row>
    <x:row r="86" ht="22" customHeight="1">
      <x:c r="A86" s="11"/>
      <x:c r="B86" s="9"/>
      <x:c r="C86" s="9"/>
      <x:c r="D86" s="9"/>
      <x:c r="E86" s="9"/>
      <x:c r="F86" s="15"/>
      <x:c r="G86" s="15"/>
      <x:c r="H86" s="17" t="str">
        <x:f>IF(B86="","",IF(NOT(AND(ISNUMBER(F86),ISNUMBER(G86))),"",SUM(F86:G86)))</x:f>
      </x:c>
      <x:c r="I86" s="9"/>
      <x:c r="J86" s="9"/>
      <x:c r="K86" s="9"/>
    </x:row>
    <x:row r="87" ht="22" customHeight="1">
      <x:c r="A87" s="11"/>
      <x:c r="B87" s="9"/>
      <x:c r="C87" s="9"/>
      <x:c r="D87" s="9"/>
      <x:c r="E87" s="9"/>
      <x:c r="F87" s="15"/>
      <x:c r="G87" s="15"/>
      <x:c r="H87" s="17" t="str">
        <x:f>IF(B87="","",IF(NOT(AND(ISNUMBER(F87),ISNUMBER(G87))),"",SUM(F87:G87)))</x:f>
      </x:c>
      <x:c r="I87" s="9"/>
      <x:c r="J87" s="9"/>
      <x:c r="K87" s="9"/>
    </x:row>
    <x:row r="88" ht="22" customHeight="1">
      <x:c r="A88" s="11"/>
      <x:c r="B88" s="9"/>
      <x:c r="C88" s="9"/>
      <x:c r="D88" s="9"/>
      <x:c r="E88" s="9"/>
      <x:c r="F88" s="15"/>
      <x:c r="G88" s="15"/>
      <x:c r="H88" s="17" t="str">
        <x:f>IF(B88="","",IF(NOT(AND(ISNUMBER(F88),ISNUMBER(G88))),"",SUM(F88:G88)))</x:f>
      </x:c>
      <x:c r="I88" s="9"/>
      <x:c r="J88" s="9"/>
      <x:c r="K88" s="9"/>
    </x:row>
    <x:row r="89" ht="22" customHeight="1">
      <x:c r="A89" s="11"/>
      <x:c r="B89" s="9"/>
      <x:c r="C89" s="9"/>
      <x:c r="D89" s="9"/>
      <x:c r="E89" s="9"/>
      <x:c r="F89" s="15"/>
      <x:c r="G89" s="15"/>
      <x:c r="H89" s="17" t="str">
        <x:f>IF(B89="","",IF(NOT(AND(ISNUMBER(F89),ISNUMBER(G89))),"",SUM(F89:G89)))</x:f>
      </x:c>
      <x:c r="I89" s="9"/>
      <x:c r="J89" s="9"/>
      <x:c r="K89" s="9"/>
    </x:row>
    <x:row r="90" ht="22" customHeight="1">
      <x:c r="A90" s="11"/>
      <x:c r="B90" s="9"/>
      <x:c r="C90" s="9"/>
      <x:c r="D90" s="9"/>
      <x:c r="E90" s="9"/>
      <x:c r="F90" s="15"/>
      <x:c r="G90" s="15"/>
      <x:c r="H90" s="17" t="str">
        <x:f>IF(B90="","",IF(NOT(AND(ISNUMBER(F90),ISNUMBER(G90))),"",SUM(F90:G90)))</x:f>
      </x:c>
      <x:c r="I90" s="9"/>
      <x:c r="J90" s="9"/>
      <x:c r="K90" s="9"/>
    </x:row>
    <x:row r="91" ht="22" customHeight="1">
      <x:c r="A91" s="11"/>
      <x:c r="B91" s="9"/>
      <x:c r="C91" s="9"/>
      <x:c r="D91" s="9"/>
      <x:c r="E91" s="9"/>
      <x:c r="F91" s="15"/>
      <x:c r="G91" s="15"/>
      <x:c r="H91" s="17" t="str">
        <x:f>IF(B91="","",IF(NOT(AND(ISNUMBER(F91),ISNUMBER(G91))),"",SUM(F91:G91)))</x:f>
      </x:c>
      <x:c r="I91" s="9"/>
      <x:c r="J91" s="9"/>
      <x:c r="K91" s="9"/>
    </x:row>
    <x:row r="92" ht="22" customHeight="1">
      <x:c r="A92" s="11"/>
      <x:c r="B92" s="9"/>
      <x:c r="C92" s="9"/>
      <x:c r="D92" s="9"/>
      <x:c r="E92" s="9"/>
      <x:c r="F92" s="15"/>
      <x:c r="G92" s="15"/>
      <x:c r="H92" s="17" t="str">
        <x:f>IF(B92="","",IF(NOT(AND(ISNUMBER(F92),ISNUMBER(G92))),"",SUM(F92:G92)))</x:f>
      </x:c>
      <x:c r="I92" s="9"/>
      <x:c r="J92" s="9"/>
      <x:c r="K92" s="9"/>
    </x:row>
    <x:row r="93" ht="22" customHeight="1">
      <x:c r="A93" s="11"/>
      <x:c r="B93" s="9"/>
      <x:c r="C93" s="9"/>
      <x:c r="D93" s="9"/>
      <x:c r="E93" s="9"/>
      <x:c r="F93" s="15"/>
      <x:c r="G93" s="15"/>
      <x:c r="H93" s="17" t="str">
        <x:f>IF(B93="","",IF(NOT(AND(ISNUMBER(F93),ISNUMBER(G93))),"",SUM(F93:G93)))</x:f>
      </x:c>
      <x:c r="I93" s="9"/>
      <x:c r="J93" s="9"/>
      <x:c r="K93" s="9"/>
    </x:row>
    <x:row r="94" ht="22" customHeight="1">
      <x:c r="A94" s="11"/>
      <x:c r="B94" s="9"/>
      <x:c r="C94" s="9"/>
      <x:c r="D94" s="9"/>
      <x:c r="E94" s="9"/>
      <x:c r="F94" s="15"/>
      <x:c r="G94" s="15"/>
      <x:c r="H94" s="17" t="str">
        <x:f>IF(B94="","",IF(NOT(AND(ISNUMBER(F94),ISNUMBER(G94))),"",SUM(F94:G94)))</x:f>
      </x:c>
      <x:c r="I94" s="9"/>
      <x:c r="J94" s="9"/>
      <x:c r="K94" s="9"/>
    </x:row>
    <x:row r="95" ht="22" customHeight="1">
      <x:c r="A95" s="11"/>
      <x:c r="B95" s="9"/>
      <x:c r="C95" s="9"/>
      <x:c r="D95" s="9"/>
      <x:c r="E95" s="9"/>
      <x:c r="F95" s="15"/>
      <x:c r="G95" s="15"/>
      <x:c r="H95" s="17" t="str">
        <x:f>IF(B95="","",IF(NOT(AND(ISNUMBER(F95),ISNUMBER(G95))),"",SUM(F95:G95)))</x:f>
      </x:c>
      <x:c r="I95" s="9"/>
      <x:c r="J95" s="9"/>
      <x:c r="K95" s="9"/>
    </x:row>
    <x:row r="96" ht="22" customHeight="1">
      <x:c r="A96" s="11"/>
      <x:c r="B96" s="9"/>
      <x:c r="C96" s="9"/>
      <x:c r="D96" s="9"/>
      <x:c r="E96" s="9"/>
      <x:c r="F96" s="15"/>
      <x:c r="G96" s="15"/>
      <x:c r="H96" s="17" t="str">
        <x:f>IF(B96="","",IF(NOT(AND(ISNUMBER(F96),ISNUMBER(G96))),"",SUM(F96:G96)))</x:f>
      </x:c>
      <x:c r="I96" s="9"/>
      <x:c r="J96" s="9"/>
      <x:c r="K96" s="9"/>
    </x:row>
    <x:row r="97" ht="22" customHeight="1">
      <x:c r="A97" s="11"/>
      <x:c r="B97" s="9"/>
      <x:c r="C97" s="9"/>
      <x:c r="D97" s="9"/>
      <x:c r="E97" s="9"/>
      <x:c r="F97" s="15"/>
      <x:c r="G97" s="15"/>
      <x:c r="H97" s="17" t="str">
        <x:f>IF(B97="","",IF(NOT(AND(ISNUMBER(F97),ISNUMBER(G97))),"",SUM(F97:G97)))</x:f>
      </x:c>
      <x:c r="I97" s="9"/>
      <x:c r="J97" s="9"/>
      <x:c r="K97" s="9"/>
    </x:row>
    <x:row r="98" ht="22" customHeight="1">
      <x:c r="A98" s="11"/>
      <x:c r="B98" s="9"/>
      <x:c r="C98" s="9"/>
      <x:c r="D98" s="9"/>
      <x:c r="E98" s="9"/>
      <x:c r="F98" s="15"/>
      <x:c r="G98" s="15"/>
      <x:c r="H98" s="17" t="str">
        <x:f>IF(B98="","",IF(NOT(AND(ISNUMBER(F98),ISNUMBER(G98))),"",SUM(F98:G98)))</x:f>
      </x:c>
      <x:c r="I98" s="9"/>
      <x:c r="J98" s="9"/>
      <x:c r="K98" s="9"/>
    </x:row>
    <x:row r="99" ht="22" customHeight="1">
      <x:c r="A99" s="11"/>
      <x:c r="B99" s="9"/>
      <x:c r="C99" s="9"/>
      <x:c r="D99" s="9"/>
      <x:c r="E99" s="9"/>
      <x:c r="F99" s="15"/>
      <x:c r="G99" s="15"/>
      <x:c r="H99" s="17" t="str">
        <x:f>IF(B99="","",IF(NOT(AND(ISNUMBER(F99),ISNUMBER(G99))),"",SUM(F99:G99)))</x:f>
      </x:c>
      <x:c r="I99" s="9"/>
      <x:c r="J99" s="9"/>
      <x:c r="K99" s="9"/>
    </x:row>
    <x:row r="100" ht="22" customHeight="1">
      <x:c r="A100" s="11"/>
      <x:c r="B100" s="9"/>
      <x:c r="C100" s="9"/>
      <x:c r="D100" s="9"/>
      <x:c r="E100" s="9"/>
      <x:c r="F100" s="15"/>
      <x:c r="G100" s="15"/>
      <x:c r="H100" s="17" t="str">
        <x:f>IF(B100="","",IF(NOT(AND(ISNUMBER(F100),ISNUMBER(G100))),"",SUM(F100:G100)))</x:f>
      </x:c>
      <x:c r="I100" s="9"/>
      <x:c r="J100" s="9"/>
      <x:c r="K100" s="9"/>
    </x:row>
    <x:row r="101" ht="22" customHeight="1">
      <x:c r="A101" s="11"/>
      <x:c r="B101" s="9"/>
      <x:c r="C101" s="9"/>
      <x:c r="D101" s="9"/>
      <x:c r="E101" s="9"/>
      <x:c r="F101" s="15"/>
      <x:c r="G101" s="15"/>
      <x:c r="H101" s="17" t="str">
        <x:f>IF(B101="","",IF(NOT(AND(ISNUMBER(F101),ISNUMBER(G101))),"",SUM(F101:G101)))</x:f>
      </x:c>
      <x:c r="I101" s="9"/>
      <x:c r="J101" s="9"/>
      <x:c r="K101" s="9"/>
    </x:row>
    <x:row r="102" ht="22" customHeight="1">
      <x:c r="A102" s="11"/>
      <x:c r="B102" s="9"/>
      <x:c r="C102" s="9"/>
      <x:c r="D102" s="9"/>
      <x:c r="E102" s="9"/>
      <x:c r="F102" s="15"/>
      <x:c r="G102" s="15"/>
      <x:c r="H102" s="17" t="str">
        <x:f>IF(B102="","",IF(NOT(AND(ISNUMBER(F102),ISNUMBER(G102))),"",SUM(F102:G102)))</x:f>
      </x:c>
      <x:c r="I102" s="9"/>
      <x:c r="J102" s="9"/>
      <x:c r="K102" s="9"/>
    </x:row>
    <x:row r="103" ht="22" customHeight="1">
      <x:c r="A103" s="11"/>
      <x:c r="B103" s="9"/>
      <x:c r="C103" s="9"/>
      <x:c r="D103" s="9"/>
      <x:c r="E103" s="9"/>
      <x:c r="F103" s="15"/>
      <x:c r="G103" s="15"/>
      <x:c r="H103" s="17" t="str">
        <x:f>IF(B103="","",IF(NOT(AND(ISNUMBER(F103),ISNUMBER(G103))),"",SUM(F103:G103)))</x:f>
      </x:c>
      <x:c r="I103" s="9"/>
      <x:c r="J103" s="9"/>
      <x:c r="K103" s="9"/>
    </x:row>
    <x:row r="104" ht="22" customHeight="1">
      <x:c r="A104" s="11"/>
      <x:c r="B104" s="9"/>
      <x:c r="C104" s="9"/>
      <x:c r="D104" s="9"/>
      <x:c r="E104" s="9"/>
      <x:c r="F104" s="15"/>
      <x:c r="G104" s="15"/>
      <x:c r="H104" s="17" t="str">
        <x:f>IF(B104="","",IF(NOT(AND(ISNUMBER(F104),ISNUMBER(G104))),"",SUM(F104:G104)))</x:f>
      </x:c>
      <x:c r="I104" s="9"/>
      <x:c r="J104" s="9"/>
      <x:c r="K104" s="9"/>
    </x:row>
    <x:row r="105" ht="22" customHeight="1">
      <x:c r="A105" s="11"/>
      <x:c r="B105" s="9"/>
      <x:c r="C105" s="9"/>
      <x:c r="D105" s="9"/>
      <x:c r="E105" s="9"/>
      <x:c r="F105" s="15"/>
      <x:c r="G105" s="15"/>
      <x:c r="H105" s="17" t="str">
        <x:f>IF(B105="","",IF(NOT(AND(ISNUMBER(F105),ISNUMBER(G105))),"",SUM(F105:G105)))</x:f>
      </x:c>
      <x:c r="I105" s="9"/>
      <x:c r="J105" s="9"/>
      <x:c r="K105" s="9"/>
    </x:row>
    <x:row r="106" ht="22" customHeight="1">
      <x:c r="A106" s="11"/>
      <x:c r="B106" s="9"/>
      <x:c r="C106" s="9"/>
      <x:c r="D106" s="9"/>
      <x:c r="E106" s="9"/>
      <x:c r="F106" s="15"/>
      <x:c r="G106" s="15"/>
      <x:c r="H106" s="17" t="str">
        <x:f>IF(B106="","",IF(NOT(AND(ISNUMBER(F106),ISNUMBER(G106))),"",SUM(F106:G106)))</x:f>
      </x:c>
      <x:c r="I106" s="9"/>
      <x:c r="J106" s="9"/>
      <x:c r="K106" s="9"/>
    </x:row>
    <x:row r="107" ht="22" customHeight="1">
      <x:c r="A107" s="11"/>
      <x:c r="B107" s="9"/>
      <x:c r="C107" s="9"/>
      <x:c r="D107" s="9"/>
      <x:c r="E107" s="9"/>
      <x:c r="F107" s="15"/>
      <x:c r="G107" s="15"/>
      <x:c r="H107" s="17" t="str">
        <x:f>IF(B107="","",IF(NOT(AND(ISNUMBER(F107),ISNUMBER(G107))),"",SUM(F107:G107)))</x:f>
      </x:c>
      <x:c r="I107" s="9"/>
      <x:c r="J107" s="9"/>
      <x:c r="K107" s="9"/>
    </x:row>
    <x:row r="108" ht="22" customHeight="1">
      <x:c r="A108" s="11"/>
      <x:c r="B108" s="9"/>
      <x:c r="C108" s="9"/>
      <x:c r="D108" s="9"/>
      <x:c r="E108" s="9"/>
      <x:c r="F108" s="15"/>
      <x:c r="G108" s="15"/>
      <x:c r="H108" s="17" t="str">
        <x:f>IF(B108="","",IF(NOT(AND(ISNUMBER(F108),ISNUMBER(G108))),"",SUM(F108:G108)))</x:f>
      </x:c>
      <x:c r="I108" s="9"/>
      <x:c r="J108" s="9"/>
      <x:c r="K108" s="9"/>
    </x:row>
    <x:row r="109" ht="22" customHeight="1">
      <x:c r="A109" s="11"/>
      <x:c r="B109" s="9"/>
      <x:c r="C109" s="9"/>
      <x:c r="D109" s="9"/>
      <x:c r="E109" s="9"/>
      <x:c r="F109" s="15"/>
      <x:c r="G109" s="15"/>
      <x:c r="H109" s="17" t="str">
        <x:f>IF(B109="","",IF(NOT(AND(ISNUMBER(F109),ISNUMBER(G109))),"",SUM(F109:G109)))</x:f>
      </x:c>
      <x:c r="I109" s="9"/>
      <x:c r="J109" s="9"/>
      <x:c r="K109" s="9"/>
    </x:row>
    <x:row r="110" ht="22" customHeight="1">
      <x:c r="A110" s="11"/>
      <x:c r="B110" s="9"/>
      <x:c r="C110" s="9"/>
      <x:c r="D110" s="9"/>
      <x:c r="E110" s="9"/>
      <x:c r="F110" s="15"/>
      <x:c r="G110" s="15"/>
      <x:c r="H110" s="17" t="str">
        <x:f>IF(B110="","",IF(NOT(AND(ISNUMBER(F110),ISNUMBER(G110))),"",SUM(F110:G110)))</x:f>
      </x:c>
      <x:c r="I110" s="9"/>
      <x:c r="J110" s="9"/>
      <x:c r="K110" s="9"/>
    </x:row>
    <x:row r="111" ht="22" customHeight="1">
      <x:c r="A111" s="11"/>
      <x:c r="B111" s="9"/>
      <x:c r="C111" s="9"/>
      <x:c r="D111" s="9"/>
      <x:c r="E111" s="9"/>
      <x:c r="F111" s="15"/>
      <x:c r="G111" s="15"/>
      <x:c r="H111" s="17" t="str">
        <x:f>IF(B111="","",IF(NOT(AND(ISNUMBER(F111),ISNUMBER(G111))),"",SUM(F111:G111)))</x:f>
      </x:c>
      <x:c r="I111" s="9"/>
      <x:c r="J111" s="9"/>
      <x:c r="K111" s="9"/>
    </x:row>
    <x:row r="112" ht="22" customHeight="1">
      <x:c r="A112" s="11"/>
      <x:c r="B112" s="9"/>
      <x:c r="C112" s="9"/>
      <x:c r="D112" s="9"/>
      <x:c r="E112" s="9"/>
      <x:c r="F112" s="15"/>
      <x:c r="G112" s="15"/>
      <x:c r="H112" s="17" t="str">
        <x:f>IF(B112="","",IF(NOT(AND(ISNUMBER(F112),ISNUMBER(G112))),"",SUM(F112:G112)))</x:f>
      </x:c>
      <x:c r="I112" s="9"/>
      <x:c r="J112" s="9"/>
      <x:c r="K112" s="9"/>
    </x:row>
    <x:row r="113" ht="22" customHeight="1">
      <x:c r="A113" s="11"/>
      <x:c r="B113" s="9"/>
      <x:c r="C113" s="9"/>
      <x:c r="D113" s="9"/>
      <x:c r="E113" s="9"/>
      <x:c r="F113" s="15"/>
      <x:c r="G113" s="15"/>
      <x:c r="H113" s="17" t="str">
        <x:f>IF(B113="","",IF(NOT(AND(ISNUMBER(F113),ISNUMBER(G113))),"",SUM(F113:G113)))</x:f>
      </x:c>
      <x:c r="I113" s="9"/>
      <x:c r="J113" s="9"/>
      <x:c r="K113" s="9"/>
    </x:row>
    <x:row r="114" ht="22" customHeight="1">
      <x:c r="A114" s="11"/>
      <x:c r="B114" s="9"/>
      <x:c r="C114" s="9"/>
      <x:c r="D114" s="9"/>
      <x:c r="E114" s="9"/>
      <x:c r="F114" s="15"/>
      <x:c r="G114" s="15"/>
      <x:c r="H114" s="17" t="str">
        <x:f>IF(B114="","",IF(NOT(AND(ISNUMBER(F114),ISNUMBER(G114))),"",SUM(F114:G114)))</x:f>
      </x:c>
      <x:c r="I114" s="9"/>
      <x:c r="J114" s="9"/>
      <x:c r="K114" s="9"/>
    </x:row>
    <x:row r="115" ht="22" customHeight="1">
      <x:c r="A115" s="11"/>
      <x:c r="B115" s="9"/>
      <x:c r="C115" s="9"/>
      <x:c r="D115" s="9"/>
      <x:c r="E115" s="9"/>
      <x:c r="F115" s="15"/>
      <x:c r="G115" s="15"/>
      <x:c r="H115" s="17" t="str">
        <x:f>IF(B115="","",IF(NOT(AND(ISNUMBER(F115),ISNUMBER(G115))),"",SUM(F115:G115)))</x:f>
      </x:c>
      <x:c r="I115" s="9"/>
      <x:c r="J115" s="9"/>
      <x:c r="K115" s="9"/>
    </x:row>
    <x:row r="116" ht="22" customHeight="1">
      <x:c r="A116" s="11"/>
      <x:c r="B116" s="9"/>
      <x:c r="C116" s="9"/>
      <x:c r="D116" s="9"/>
      <x:c r="E116" s="9"/>
      <x:c r="F116" s="15"/>
      <x:c r="G116" s="15"/>
      <x:c r="H116" s="17" t="str">
        <x:f>IF(B116="","",IF(NOT(AND(ISNUMBER(F116),ISNUMBER(G116))),"",SUM(F116:G116)))</x:f>
      </x:c>
      <x:c r="I116" s="9"/>
      <x:c r="J116" s="9"/>
      <x:c r="K116" s="9"/>
    </x:row>
    <x:row r="117" ht="22" customHeight="1">
      <x:c r="A117" s="11"/>
      <x:c r="B117" s="9"/>
      <x:c r="C117" s="9"/>
      <x:c r="D117" s="9"/>
      <x:c r="E117" s="9"/>
      <x:c r="F117" s="15"/>
      <x:c r="G117" s="15"/>
      <x:c r="H117" s="17" t="str">
        <x:f>IF(B117="","",IF(NOT(AND(ISNUMBER(F117),ISNUMBER(G117))),"",SUM(F117:G117)))</x:f>
      </x:c>
      <x:c r="I117" s="9"/>
      <x:c r="J117" s="9"/>
      <x:c r="K117" s="9"/>
    </x:row>
    <x:row r="118" ht="22" customHeight="1">
      <x:c r="A118" s="11"/>
      <x:c r="B118" s="9"/>
      <x:c r="C118" s="9"/>
      <x:c r="D118" s="9"/>
      <x:c r="E118" s="9"/>
      <x:c r="F118" s="15"/>
      <x:c r="G118" s="15"/>
      <x:c r="H118" s="17" t="str">
        <x:f>IF(B118="","",IF(NOT(AND(ISNUMBER(F118),ISNUMBER(G118))),"",SUM(F118:G118)))</x:f>
      </x:c>
      <x:c r="I118" s="9"/>
      <x:c r="J118" s="9"/>
      <x:c r="K118" s="9"/>
    </x:row>
    <x:row r="119" ht="22" customHeight="1">
      <x:c r="A119" s="11"/>
      <x:c r="B119" s="9"/>
      <x:c r="C119" s="9"/>
      <x:c r="D119" s="9"/>
      <x:c r="E119" s="9"/>
      <x:c r="F119" s="15"/>
      <x:c r="G119" s="15"/>
      <x:c r="H119" s="17" t="str">
        <x:f>IF(B119="","",IF(NOT(AND(ISNUMBER(F119),ISNUMBER(G119))),"",SUM(F119:G119)))</x:f>
      </x:c>
      <x:c r="I119" s="9"/>
      <x:c r="J119" s="9"/>
      <x:c r="K119" s="9"/>
    </x:row>
    <x:row r="120" ht="22" customHeight="1">
      <x:c r="A120" s="11"/>
      <x:c r="B120" s="9"/>
      <x:c r="C120" s="9"/>
      <x:c r="D120" s="9"/>
      <x:c r="E120" s="9"/>
      <x:c r="F120" s="15"/>
      <x:c r="G120" s="15"/>
      <x:c r="H120" s="17" t="str">
        <x:f>IF(B120="","",IF(NOT(AND(ISNUMBER(F120),ISNUMBER(G120))),"",SUM(F120:G120)))</x:f>
      </x:c>
      <x:c r="I120" s="9"/>
      <x:c r="J120" s="9"/>
      <x:c r="K120" s="9"/>
    </x:row>
    <x:row r="121" ht="22" customHeight="1">
      <x:c r="A121" s="11"/>
      <x:c r="B121" s="9"/>
      <x:c r="C121" s="9"/>
      <x:c r="D121" s="9"/>
      <x:c r="E121" s="9"/>
      <x:c r="F121" s="15"/>
      <x:c r="G121" s="15"/>
      <x:c r="H121" s="17" t="str">
        <x:f>IF(B121="","",IF(NOT(AND(ISNUMBER(F121),ISNUMBER(G121))),"",SUM(F121:G121)))</x:f>
      </x:c>
      <x:c r="I121" s="9"/>
      <x:c r="J121" s="9"/>
      <x:c r="K121" s="9"/>
    </x:row>
    <x:row r="122" ht="22" customHeight="1">
      <x:c r="A122" s="11"/>
      <x:c r="B122" s="9"/>
      <x:c r="C122" s="9"/>
      <x:c r="D122" s="9"/>
      <x:c r="E122" s="9"/>
      <x:c r="F122" s="15"/>
      <x:c r="G122" s="15"/>
      <x:c r="H122" s="17" t="str">
        <x:f>IF(B122="","",IF(NOT(AND(ISNUMBER(F122),ISNUMBER(G122))),"",SUM(F122:G122)))</x:f>
      </x:c>
      <x:c r="I122" s="9"/>
      <x:c r="J122" s="9"/>
      <x:c r="K122" s="9"/>
    </x:row>
    <x:row r="123" ht="22" customHeight="1">
      <x:c r="A123" s="11"/>
      <x:c r="B123" s="9"/>
      <x:c r="C123" s="9"/>
      <x:c r="D123" s="9"/>
      <x:c r="E123" s="9"/>
      <x:c r="F123" s="15"/>
      <x:c r="G123" s="15"/>
      <x:c r="H123" s="17" t="str">
        <x:f>IF(B123="","",IF(NOT(AND(ISNUMBER(F123),ISNUMBER(G123))),"",SUM(F123:G123)))</x:f>
      </x:c>
      <x:c r="I123" s="9"/>
      <x:c r="J123" s="9"/>
      <x:c r="K123" s="9"/>
    </x:row>
    <x:row r="124" ht="22" customHeight="1">
      <x:c r="A124" s="11"/>
      <x:c r="B124" s="9"/>
      <x:c r="C124" s="9"/>
      <x:c r="D124" s="9"/>
      <x:c r="E124" s="9"/>
      <x:c r="F124" s="15"/>
      <x:c r="G124" s="15"/>
      <x:c r="H124" s="17" t="str">
        <x:f>IF(B124="","",IF(NOT(AND(ISNUMBER(F124),ISNUMBER(G124))),"",SUM(F124:G124)))</x:f>
      </x:c>
      <x:c r="I124" s="9"/>
      <x:c r="J124" s="9"/>
      <x:c r="K124" s="9"/>
    </x:row>
    <x:row r="125" ht="22" customHeight="1">
      <x:c r="A125" s="11"/>
      <x:c r="B125" s="9"/>
      <x:c r="C125" s="9"/>
      <x:c r="D125" s="9"/>
      <x:c r="E125" s="9"/>
      <x:c r="F125" s="15"/>
      <x:c r="G125" s="15"/>
      <x:c r="H125" s="17" t="str">
        <x:f>IF(B125="","",IF(NOT(AND(ISNUMBER(F125),ISNUMBER(G125))),"",SUM(F125:G125)))</x:f>
      </x:c>
      <x:c r="I125" s="9"/>
      <x:c r="J125" s="9"/>
      <x:c r="K125" s="9"/>
    </x:row>
    <x:row r="126" ht="22" customHeight="1">
      <x:c r="A126" s="11"/>
      <x:c r="B126" s="9"/>
      <x:c r="C126" s="9"/>
      <x:c r="D126" s="9"/>
      <x:c r="E126" s="9"/>
      <x:c r="F126" s="15"/>
      <x:c r="G126" s="15"/>
      <x:c r="H126" s="17" t="str">
        <x:f>IF(B126="","",IF(NOT(AND(ISNUMBER(F126),ISNUMBER(G126))),"",SUM(F126:G126)))</x:f>
      </x:c>
      <x:c r="I126" s="9"/>
      <x:c r="J126" s="9"/>
      <x:c r="K126" s="9"/>
    </x:row>
    <x:row r="127" ht="22" customHeight="1">
      <x:c r="A127" s="11"/>
      <x:c r="B127" s="9"/>
      <x:c r="C127" s="9"/>
      <x:c r="D127" s="9"/>
      <x:c r="E127" s="9"/>
      <x:c r="F127" s="15"/>
      <x:c r="G127" s="15"/>
      <x:c r="H127" s="17" t="str">
        <x:f>IF(B127="","",IF(NOT(AND(ISNUMBER(F127),ISNUMBER(G127))),"",SUM(F127:G127)))</x:f>
      </x:c>
      <x:c r="I127" s="9"/>
      <x:c r="J127" s="9"/>
      <x:c r="K127" s="9"/>
    </x:row>
    <x:row r="128" ht="22" customHeight="1">
      <x:c r="A128" s="11"/>
      <x:c r="B128" s="9"/>
      <x:c r="C128" s="9"/>
      <x:c r="D128" s="9"/>
      <x:c r="E128" s="9"/>
      <x:c r="F128" s="15"/>
      <x:c r="G128" s="15"/>
      <x:c r="H128" s="17" t="str">
        <x:f>IF(B128="","",IF(NOT(AND(ISNUMBER(F128),ISNUMBER(G128))),"",SUM(F128:G128)))</x:f>
      </x:c>
      <x:c r="I128" s="9"/>
      <x:c r="J128" s="9"/>
      <x:c r="K128" s="9"/>
    </x:row>
    <x:row r="129" ht="22" customHeight="1">
      <x:c r="A129" s="11"/>
      <x:c r="B129" s="9"/>
      <x:c r="C129" s="9"/>
      <x:c r="D129" s="9"/>
      <x:c r="E129" s="9"/>
      <x:c r="F129" s="15"/>
      <x:c r="G129" s="15"/>
      <x:c r="H129" s="17" t="str">
        <x:f>IF(B129="","",IF(NOT(AND(ISNUMBER(F129),ISNUMBER(G129))),"",SUM(F129:G129)))</x:f>
      </x:c>
      <x:c r="I129" s="9"/>
      <x:c r="J129" s="9"/>
      <x:c r="K129" s="9"/>
    </x:row>
    <x:row r="130" ht="22" customHeight="1">
      <x:c r="A130" s="11"/>
      <x:c r="B130" s="9"/>
      <x:c r="C130" s="9"/>
      <x:c r="D130" s="9"/>
      <x:c r="E130" s="9"/>
      <x:c r="F130" s="15"/>
      <x:c r="G130" s="15"/>
      <x:c r="H130" s="17" t="str">
        <x:f>IF(B130="","",IF(NOT(AND(ISNUMBER(F130),ISNUMBER(G130))),"",SUM(F130:G130)))</x:f>
      </x:c>
      <x:c r="I130" s="9"/>
      <x:c r="J130" s="9"/>
      <x:c r="K130" s="9"/>
    </x:row>
    <x:row r="131" ht="22" customHeight="1">
      <x:c r="A131" s="11"/>
      <x:c r="B131" s="9"/>
      <x:c r="C131" s="9"/>
      <x:c r="D131" s="9"/>
      <x:c r="E131" s="9"/>
      <x:c r="F131" s="15"/>
      <x:c r="G131" s="15"/>
      <x:c r="H131" s="17" t="str">
        <x:f>IF(B131="","",IF(NOT(AND(ISNUMBER(F131),ISNUMBER(G131))),"",SUM(F131:G131)))</x:f>
      </x:c>
      <x:c r="I131" s="9"/>
      <x:c r="J131" s="9"/>
      <x:c r="K131" s="9"/>
    </x:row>
    <x:row r="132" ht="22" customHeight="1">
      <x:c r="A132" s="11"/>
      <x:c r="B132" s="9"/>
      <x:c r="C132" s="9"/>
      <x:c r="D132" s="9"/>
      <x:c r="E132" s="9"/>
      <x:c r="F132" s="15"/>
      <x:c r="G132" s="15"/>
      <x:c r="H132" s="17" t="str">
        <x:f>IF(B132="","",IF(NOT(AND(ISNUMBER(F132),ISNUMBER(G132))),"",SUM(F132:G132)))</x:f>
      </x:c>
      <x:c r="I132" s="9"/>
      <x:c r="J132" s="9"/>
      <x:c r="K132" s="9"/>
    </x:row>
    <x:row r="133" ht="22" customHeight="1">
      <x:c r="A133" s="11"/>
      <x:c r="B133" s="9"/>
      <x:c r="C133" s="9"/>
      <x:c r="D133" s="9"/>
      <x:c r="E133" s="9"/>
      <x:c r="F133" s="15"/>
      <x:c r="G133" s="15"/>
      <x:c r="H133" s="17" t="str">
        <x:f>IF(B133="","",IF(NOT(AND(ISNUMBER(F133),ISNUMBER(G133))),"",SUM(F133:G133)))</x:f>
      </x:c>
      <x:c r="I133" s="9"/>
      <x:c r="J133" s="9"/>
      <x:c r="K133" s="9"/>
    </x:row>
    <x:row r="134" ht="22" customHeight="1">
      <x:c r="A134" s="11"/>
      <x:c r="B134" s="9"/>
      <x:c r="C134" s="9"/>
      <x:c r="D134" s="9"/>
      <x:c r="E134" s="9"/>
      <x:c r="F134" s="15"/>
      <x:c r="G134" s="15"/>
      <x:c r="H134" s="17" t="str">
        <x:f>IF(B134="","",IF(NOT(AND(ISNUMBER(F134),ISNUMBER(G134))),"",SUM(F134:G134)))</x:f>
      </x:c>
      <x:c r="I134" s="9"/>
      <x:c r="J134" s="9"/>
      <x:c r="K134" s="9"/>
    </x:row>
    <x:row r="135" ht="22" customHeight="1">
      <x:c r="A135" s="11"/>
      <x:c r="B135" s="9"/>
      <x:c r="C135" s="9"/>
      <x:c r="D135" s="9"/>
      <x:c r="E135" s="9"/>
      <x:c r="F135" s="15"/>
      <x:c r="G135" s="15"/>
      <x:c r="H135" s="17" t="str">
        <x:f>IF(B135="","",IF(NOT(AND(ISNUMBER(F135),ISNUMBER(G135))),"",SUM(F135:G135)))</x:f>
      </x:c>
      <x:c r="I135" s="9"/>
      <x:c r="J135" s="9"/>
      <x:c r="K135" s="9"/>
    </x:row>
    <x:row r="136" ht="22" customHeight="1">
      <x:c r="A136" s="11"/>
      <x:c r="B136" s="9"/>
      <x:c r="C136" s="9"/>
      <x:c r="D136" s="9"/>
      <x:c r="E136" s="9"/>
      <x:c r="F136" s="15"/>
      <x:c r="G136" s="15"/>
      <x:c r="H136" s="17" t="str">
        <x:f>IF(B136="","",IF(NOT(AND(ISNUMBER(F136),ISNUMBER(G136))),"",SUM(F136:G136)))</x:f>
      </x:c>
      <x:c r="I136" s="9"/>
      <x:c r="J136" s="9"/>
      <x:c r="K136" s="9"/>
    </x:row>
    <x:row r="137" ht="22" customHeight="1">
      <x:c r="A137" s="11"/>
      <x:c r="B137" s="9"/>
      <x:c r="C137" s="9"/>
      <x:c r="D137" s="9"/>
      <x:c r="E137" s="9"/>
      <x:c r="F137" s="15"/>
      <x:c r="G137" s="15"/>
      <x:c r="H137" s="17" t="str">
        <x:f>IF(B137="","",IF(NOT(AND(ISNUMBER(F137),ISNUMBER(G137))),"",SUM(F137:G137)))</x:f>
      </x:c>
      <x:c r="I137" s="9"/>
      <x:c r="J137" s="9"/>
      <x:c r="K137" s="9"/>
    </x:row>
    <x:row r="138" ht="22" customHeight="1">
      <x:c r="A138" s="11"/>
      <x:c r="B138" s="9"/>
      <x:c r="C138" s="9"/>
      <x:c r="D138" s="9"/>
      <x:c r="E138" s="9"/>
      <x:c r="F138" s="15"/>
      <x:c r="G138" s="15"/>
      <x:c r="H138" s="17" t="str">
        <x:f>IF(B138="","",IF(NOT(AND(ISNUMBER(F138),ISNUMBER(G138))),"",SUM(F138:G138)))</x:f>
      </x:c>
      <x:c r="I138" s="9"/>
      <x:c r="J138" s="9"/>
      <x:c r="K138" s="9"/>
    </x:row>
    <x:row r="139" ht="22" customHeight="1">
      <x:c r="A139" s="11"/>
      <x:c r="B139" s="9"/>
      <x:c r="C139" s="9"/>
      <x:c r="D139" s="9"/>
      <x:c r="E139" s="9"/>
      <x:c r="F139" s="15"/>
      <x:c r="G139" s="15"/>
      <x:c r="H139" s="17" t="str">
        <x:f>IF(B139="","",IF(NOT(AND(ISNUMBER(F139),ISNUMBER(G139))),"",SUM(F139:G139)))</x:f>
      </x:c>
      <x:c r="I139" s="9"/>
      <x:c r="J139" s="9"/>
      <x:c r="K139" s="9"/>
    </x:row>
    <x:row r="140" ht="22" customHeight="1">
      <x:c r="A140" s="11"/>
      <x:c r="B140" s="9"/>
      <x:c r="C140" s="9"/>
      <x:c r="D140" s="9"/>
      <x:c r="E140" s="9"/>
      <x:c r="F140" s="15"/>
      <x:c r="G140" s="15"/>
      <x:c r="H140" s="17" t="str">
        <x:f>IF(B140="","",IF(NOT(AND(ISNUMBER(F140),ISNUMBER(G140))),"",SUM(F140:G140)))</x:f>
      </x:c>
      <x:c r="I140" s="9"/>
      <x:c r="J140" s="9"/>
      <x:c r="K140" s="9"/>
    </x:row>
    <x:row r="141" ht="22" customHeight="1">
      <x:c r="A141" s="11"/>
      <x:c r="B141" s="9"/>
      <x:c r="C141" s="9"/>
      <x:c r="D141" s="9"/>
      <x:c r="E141" s="9"/>
      <x:c r="F141" s="15"/>
      <x:c r="G141" s="15"/>
      <x:c r="H141" s="17" t="str">
        <x:f>IF(B141="","",IF(NOT(AND(ISNUMBER(F141),ISNUMBER(G141))),"",SUM(F141:G141)))</x:f>
      </x:c>
      <x:c r="I141" s="9"/>
      <x:c r="J141" s="9"/>
      <x:c r="K141" s="9"/>
    </x:row>
    <x:row r="142" ht="22" customHeight="1">
      <x:c r="A142" s="11"/>
      <x:c r="B142" s="9"/>
      <x:c r="C142" s="9"/>
      <x:c r="D142" s="9"/>
      <x:c r="E142" s="9"/>
      <x:c r="F142" s="15"/>
      <x:c r="G142" s="15"/>
      <x:c r="H142" s="17" t="str">
        <x:f>IF(B142="","",IF(NOT(AND(ISNUMBER(F142),ISNUMBER(G142))),"",SUM(F142:G142)))</x:f>
      </x:c>
      <x:c r="I142" s="9"/>
      <x:c r="J142" s="9"/>
      <x:c r="K142" s="9"/>
    </x:row>
    <x:row r="143" ht="22" customHeight="1">
      <x:c r="A143" s="11"/>
      <x:c r="B143" s="9"/>
      <x:c r="C143" s="9"/>
      <x:c r="D143" s="9"/>
      <x:c r="E143" s="9"/>
      <x:c r="F143" s="15"/>
      <x:c r="G143" s="15"/>
      <x:c r="H143" s="17" t="str">
        <x:f>IF(B143="","",IF(NOT(AND(ISNUMBER(F143),ISNUMBER(G143))),"",SUM(F143:G143)))</x:f>
      </x:c>
      <x:c r="I143" s="9"/>
      <x:c r="J143" s="9"/>
      <x:c r="K143" s="9"/>
    </x:row>
    <x:row r="144" ht="22" customHeight="1">
      <x:c r="A144" s="11"/>
      <x:c r="B144" s="9"/>
      <x:c r="C144" s="9"/>
      <x:c r="D144" s="9"/>
      <x:c r="E144" s="9"/>
      <x:c r="F144" s="15"/>
      <x:c r="G144" s="15"/>
      <x:c r="H144" s="17" t="str">
        <x:f>IF(B144="","",IF(NOT(AND(ISNUMBER(F144),ISNUMBER(G144))),"",SUM(F144:G144)))</x:f>
      </x:c>
      <x:c r="I144" s="9"/>
      <x:c r="J144" s="9"/>
      <x:c r="K144" s="9"/>
    </x:row>
    <x:row r="145" ht="22" customHeight="1">
      <x:c r="A145" s="11"/>
      <x:c r="B145" s="9"/>
      <x:c r="C145" s="9"/>
      <x:c r="D145" s="9"/>
      <x:c r="E145" s="9"/>
      <x:c r="F145" s="15"/>
      <x:c r="G145" s="15"/>
      <x:c r="H145" s="17" t="str">
        <x:f>IF(B145="","",IF(NOT(AND(ISNUMBER(F145),ISNUMBER(G145))),"",SUM(F145:G145)))</x:f>
      </x:c>
      <x:c r="I145" s="9"/>
      <x:c r="J145" s="9"/>
      <x:c r="K145" s="9"/>
    </x:row>
    <x:row r="146" ht="22" customHeight="1">
      <x:c r="A146" s="11"/>
      <x:c r="B146" s="9"/>
      <x:c r="C146" s="9"/>
      <x:c r="D146" s="9"/>
      <x:c r="E146" s="9"/>
      <x:c r="F146" s="15"/>
      <x:c r="G146" s="15"/>
      <x:c r="H146" s="17" t="str">
        <x:f>IF(B146="","",IF(NOT(AND(ISNUMBER(F146),ISNUMBER(G146))),"",SUM(F146:G146)))</x:f>
      </x:c>
      <x:c r="I146" s="9"/>
      <x:c r="J146" s="9"/>
      <x:c r="K146" s="9"/>
    </x:row>
    <x:row r="147" ht="22" customHeight="1">
      <x:c r="A147" s="11"/>
      <x:c r="B147" s="9"/>
      <x:c r="C147" s="9"/>
      <x:c r="D147" s="9"/>
      <x:c r="E147" s="9"/>
      <x:c r="F147" s="15"/>
      <x:c r="G147" s="15"/>
      <x:c r="H147" s="17" t="str">
        <x:f>IF(B147="","",IF(NOT(AND(ISNUMBER(F147),ISNUMBER(G147))),"",SUM(F147:G147)))</x:f>
      </x:c>
      <x:c r="I147" s="9"/>
      <x:c r="J147" s="9"/>
      <x:c r="K147" s="9"/>
    </x:row>
    <x:row r="148" ht="22" customHeight="1">
      <x:c r="A148" s="11"/>
      <x:c r="B148" s="9"/>
      <x:c r="C148" s="9"/>
      <x:c r="D148" s="9"/>
      <x:c r="E148" s="9"/>
      <x:c r="F148" s="15"/>
      <x:c r="G148" s="15"/>
      <x:c r="H148" s="17" t="str">
        <x:f>IF(B148="","",IF(NOT(AND(ISNUMBER(F148),ISNUMBER(G148))),"",SUM(F148:G148)))</x:f>
      </x:c>
      <x:c r="I148" s="9"/>
      <x:c r="J148" s="9"/>
      <x:c r="K148" s="9"/>
    </x:row>
    <x:row r="149" ht="22" customHeight="1">
      <x:c r="A149" s="11"/>
      <x:c r="B149" s="9"/>
      <x:c r="C149" s="9"/>
      <x:c r="D149" s="9"/>
      <x:c r="E149" s="9"/>
      <x:c r="F149" s="15"/>
      <x:c r="G149" s="15"/>
      <x:c r="H149" s="17" t="str">
        <x:f>IF(B149="","",IF(NOT(AND(ISNUMBER(F149),ISNUMBER(G149))),"",SUM(F149:G149)))</x:f>
      </x:c>
      <x:c r="I149" s="9"/>
      <x:c r="J149" s="9"/>
      <x:c r="K149" s="9"/>
    </x:row>
    <x:row r="150" ht="22" customHeight="1">
      <x:c r="A150" s="11"/>
      <x:c r="B150" s="9"/>
      <x:c r="C150" s="9"/>
      <x:c r="D150" s="9"/>
      <x:c r="E150" s="9"/>
      <x:c r="F150" s="15"/>
      <x:c r="G150" s="15"/>
      <x:c r="H150" s="17" t="str">
        <x:f>IF(B150="","",IF(NOT(AND(ISNUMBER(F150),ISNUMBER(G150))),"",SUM(F150:G150)))</x:f>
      </x:c>
      <x:c r="I150" s="9"/>
      <x:c r="J150" s="9"/>
      <x:c r="K150" s="9"/>
    </x:row>
    <x:row r="151" ht="22" customHeight="1">
      <x:c r="A151" s="11"/>
      <x:c r="B151" s="9"/>
      <x:c r="C151" s="9"/>
      <x:c r="D151" s="9"/>
      <x:c r="E151" s="9"/>
      <x:c r="F151" s="15"/>
      <x:c r="G151" s="15"/>
      <x:c r="H151" s="17" t="str">
        <x:f>IF(B151="","",IF(NOT(AND(ISNUMBER(F151),ISNUMBER(G151))),"",SUM(F151:G151)))</x:f>
      </x:c>
      <x:c r="I151" s="9"/>
      <x:c r="J151" s="9"/>
      <x:c r="K151" s="9"/>
    </x:row>
    <x:row r="152" ht="22" customHeight="1">
      <x:c r="A152" s="11"/>
      <x:c r="B152" s="9"/>
      <x:c r="C152" s="9"/>
      <x:c r="D152" s="9"/>
      <x:c r="E152" s="9"/>
      <x:c r="F152" s="15"/>
      <x:c r="G152" s="15"/>
      <x:c r="H152" s="17" t="str">
        <x:f>IF(B152="","",IF(NOT(AND(ISNUMBER(F152),ISNUMBER(G152))),"",SUM(F152:G152)))</x:f>
      </x:c>
      <x:c r="I152" s="9"/>
      <x:c r="J152" s="9"/>
      <x:c r="K152" s="9"/>
    </x:row>
    <x:row r="153" ht="22" customHeight="1">
      <x:c r="A153" s="11"/>
      <x:c r="B153" s="9"/>
      <x:c r="C153" s="9"/>
      <x:c r="D153" s="9"/>
      <x:c r="E153" s="9"/>
      <x:c r="F153" s="15"/>
      <x:c r="G153" s="15"/>
      <x:c r="H153" s="17" t="str">
        <x:f>IF(B153="","",IF(NOT(AND(ISNUMBER(F153),ISNUMBER(G153))),"",SUM(F153:G153)))</x:f>
      </x:c>
      <x:c r="I153" s="9"/>
      <x:c r="J153" s="9"/>
      <x:c r="K153" s="9"/>
    </x:row>
    <x:row r="154" ht="22" customHeight="1">
      <x:c r="A154" s="11"/>
      <x:c r="B154" s="9"/>
      <x:c r="C154" s="9"/>
      <x:c r="D154" s="9"/>
      <x:c r="E154" s="9"/>
      <x:c r="F154" s="15"/>
      <x:c r="G154" s="15"/>
      <x:c r="H154" s="17" t="str">
        <x:f>IF(B154="","",IF(NOT(AND(ISNUMBER(F154),ISNUMBER(G154))),"",SUM(F154:G154)))</x:f>
      </x:c>
      <x:c r="I154" s="9"/>
      <x:c r="J154" s="9"/>
      <x:c r="K154" s="9"/>
    </x:row>
    <x:row r="155" ht="22" customHeight="1">
      <x:c r="A155" s="11"/>
      <x:c r="B155" s="9"/>
      <x:c r="C155" s="9"/>
      <x:c r="D155" s="9"/>
      <x:c r="E155" s="9"/>
      <x:c r="F155" s="15"/>
      <x:c r="G155" s="15"/>
      <x:c r="H155" s="17" t="str">
        <x:f>IF(B155="","",IF(NOT(AND(ISNUMBER(F155),ISNUMBER(G155))),"",SUM(F155:G155)))</x:f>
      </x:c>
      <x:c r="I155" s="9"/>
      <x:c r="J155" s="9"/>
      <x:c r="K155" s="9"/>
    </x:row>
    <x:row r="156" ht="22" customHeight="1">
      <x:c r="A156" s="11"/>
      <x:c r="B156" s="9"/>
      <x:c r="C156" s="9"/>
      <x:c r="D156" s="9"/>
      <x:c r="E156" s="9"/>
      <x:c r="F156" s="15"/>
      <x:c r="G156" s="15"/>
      <x:c r="H156" s="17" t="str">
        <x:f>IF(B156="","",IF(NOT(AND(ISNUMBER(F156),ISNUMBER(G156))),"",SUM(F156:G156)))</x:f>
      </x:c>
      <x:c r="I156" s="9"/>
      <x:c r="J156" s="9"/>
      <x:c r="K156" s="9"/>
    </x:row>
    <x:row r="157" ht="22" customHeight="1">
      <x:c r="A157" s="11"/>
      <x:c r="B157" s="9"/>
      <x:c r="C157" s="9"/>
      <x:c r="D157" s="9"/>
      <x:c r="E157" s="9"/>
      <x:c r="F157" s="15"/>
      <x:c r="G157" s="15"/>
      <x:c r="H157" s="17" t="str">
        <x:f>IF(B157="","",IF(NOT(AND(ISNUMBER(F157),ISNUMBER(G157))),"",SUM(F157:G157)))</x:f>
      </x:c>
      <x:c r="I157" s="9"/>
      <x:c r="J157" s="9"/>
      <x:c r="K157" s="9"/>
    </x:row>
    <x:row r="158" ht="22" customHeight="1">
      <x:c r="A158" s="11"/>
      <x:c r="B158" s="9"/>
      <x:c r="C158" s="9"/>
      <x:c r="D158" s="9"/>
      <x:c r="E158" s="9"/>
      <x:c r="F158" s="15"/>
      <x:c r="G158" s="15"/>
      <x:c r="H158" s="17" t="str">
        <x:f>IF(B158="","",IF(NOT(AND(ISNUMBER(F158),ISNUMBER(G158))),"",SUM(F158:G158)))</x:f>
      </x:c>
      <x:c r="I158" s="9"/>
      <x:c r="J158" s="9"/>
      <x:c r="K158" s="9"/>
    </x:row>
    <x:row r="159" ht="22" customHeight="1">
      <x:c r="A159" s="11"/>
      <x:c r="B159" s="9"/>
      <x:c r="C159" s="9"/>
      <x:c r="D159" s="9"/>
      <x:c r="E159" s="9"/>
      <x:c r="F159" s="15"/>
      <x:c r="G159" s="15"/>
      <x:c r="H159" s="17" t="str">
        <x:f>IF(B159="","",IF(NOT(AND(ISNUMBER(F159),ISNUMBER(G159))),"",SUM(F159:G159)))</x:f>
      </x:c>
      <x:c r="I159" s="9"/>
      <x:c r="J159" s="9"/>
      <x:c r="K159" s="9"/>
    </x:row>
    <x:row r="160" ht="22" customHeight="1">
      <x:c r="A160" s="11"/>
      <x:c r="B160" s="9"/>
      <x:c r="C160" s="9"/>
      <x:c r="D160" s="9"/>
      <x:c r="E160" s="9"/>
      <x:c r="F160" s="15"/>
      <x:c r="G160" s="15"/>
      <x:c r="H160" s="17" t="str">
        <x:f>IF(B160="","",IF(NOT(AND(ISNUMBER(F160),ISNUMBER(G160))),"",SUM(F160:G160)))</x:f>
      </x:c>
      <x:c r="I160" s="9"/>
      <x:c r="J160" s="9"/>
      <x:c r="K160" s="9"/>
    </x:row>
    <x:row r="161" ht="22" customHeight="1">
      <x:c r="A161" s="11"/>
      <x:c r="B161" s="9"/>
      <x:c r="C161" s="9"/>
      <x:c r="D161" s="9"/>
      <x:c r="E161" s="9"/>
      <x:c r="F161" s="15"/>
      <x:c r="G161" s="15"/>
      <x:c r="H161" s="17" t="str">
        <x:f>IF(B161="","",IF(NOT(AND(ISNUMBER(F161),ISNUMBER(G161))),"",SUM(F161:G161)))</x:f>
      </x:c>
      <x:c r="I161" s="9"/>
      <x:c r="J161" s="9"/>
      <x:c r="K161" s="9"/>
    </x:row>
    <x:row r="162" ht="22" customHeight="1">
      <x:c r="A162" s="11"/>
      <x:c r="B162" s="9"/>
      <x:c r="C162" s="9"/>
      <x:c r="D162" s="9"/>
      <x:c r="E162" s="9"/>
      <x:c r="F162" s="15"/>
      <x:c r="G162" s="15"/>
      <x:c r="H162" s="17" t="str">
        <x:f>IF(B162="","",IF(NOT(AND(ISNUMBER(F162),ISNUMBER(G162))),"",SUM(F162:G162)))</x:f>
      </x:c>
      <x:c r="I162" s="9"/>
      <x:c r="J162" s="9"/>
      <x:c r="K162" s="9"/>
    </x:row>
    <x:row r="163" ht="22" customHeight="1">
      <x:c r="A163" s="11"/>
      <x:c r="B163" s="9"/>
      <x:c r="C163" s="9"/>
      <x:c r="D163" s="9"/>
      <x:c r="E163" s="9"/>
      <x:c r="F163" s="15"/>
      <x:c r="G163" s="15"/>
      <x:c r="H163" s="17" t="str">
        <x:f>IF(B163="","",IF(NOT(AND(ISNUMBER(F163),ISNUMBER(G163))),"",SUM(F163:G163)))</x:f>
      </x:c>
      <x:c r="I163" s="9"/>
      <x:c r="J163" s="9"/>
      <x:c r="K163" s="9"/>
    </x:row>
    <x:row r="164" ht="22" customHeight="1">
      <x:c r="A164" s="11"/>
      <x:c r="B164" s="9"/>
      <x:c r="C164" s="9"/>
      <x:c r="D164" s="9"/>
      <x:c r="E164" s="9"/>
      <x:c r="F164" s="15"/>
      <x:c r="G164" s="15"/>
      <x:c r="H164" s="17" t="str">
        <x:f>IF(B164="","",IF(NOT(AND(ISNUMBER(F164),ISNUMBER(G164))),"",SUM(F164:G164)))</x:f>
      </x:c>
      <x:c r="I164" s="9"/>
      <x:c r="J164" s="9"/>
      <x:c r="K164" s="9"/>
    </x:row>
    <x:row r="165" ht="22" customHeight="1">
      <x:c r="A165" s="11"/>
      <x:c r="B165" s="9"/>
      <x:c r="C165" s="9"/>
      <x:c r="D165" s="9"/>
      <x:c r="E165" s="9"/>
      <x:c r="F165" s="15"/>
      <x:c r="G165" s="15"/>
      <x:c r="H165" s="17" t="str">
        <x:f>IF(B165="","",IF(NOT(AND(ISNUMBER(F165),ISNUMBER(G165))),"",SUM(F165:G165)))</x:f>
      </x:c>
      <x:c r="I165" s="9"/>
      <x:c r="J165" s="9"/>
      <x:c r="K165" s="9"/>
    </x:row>
    <x:row r="166" ht="22" customHeight="1">
      <x:c r="A166" s="11"/>
      <x:c r="B166" s="9"/>
      <x:c r="C166" s="9"/>
      <x:c r="D166" s="9"/>
      <x:c r="E166" s="9"/>
      <x:c r="F166" s="15"/>
      <x:c r="G166" s="15"/>
      <x:c r="H166" s="17" t="str">
        <x:f>IF(B166="","",IF(NOT(AND(ISNUMBER(F166),ISNUMBER(G166))),"",SUM(F166:G166)))</x:f>
      </x:c>
      <x:c r="I166" s="9"/>
      <x:c r="J166" s="9"/>
      <x:c r="K166" s="9"/>
    </x:row>
    <x:row r="167" ht="22" customHeight="1">
      <x:c r="A167" s="11"/>
      <x:c r="B167" s="9"/>
      <x:c r="C167" s="9"/>
      <x:c r="D167" s="9"/>
      <x:c r="E167" s="9"/>
      <x:c r="F167" s="15"/>
      <x:c r="G167" s="15"/>
      <x:c r="H167" s="17" t="str">
        <x:f>IF(B167="","",IF(NOT(AND(ISNUMBER(F167),ISNUMBER(G167))),"",SUM(F167:G167)))</x:f>
      </x:c>
      <x:c r="I167" s="9"/>
      <x:c r="J167" s="9"/>
      <x:c r="K167" s="9"/>
    </x:row>
    <x:row r="168" ht="22" customHeight="1">
      <x:c r="A168" s="11"/>
      <x:c r="B168" s="9"/>
      <x:c r="C168" s="9"/>
      <x:c r="D168" s="9"/>
      <x:c r="E168" s="9"/>
      <x:c r="F168" s="15"/>
      <x:c r="G168" s="15"/>
      <x:c r="H168" s="17" t="str">
        <x:f>IF(B168="","",IF(NOT(AND(ISNUMBER(F168),ISNUMBER(G168))),"",SUM(F168:G168)))</x:f>
      </x:c>
      <x:c r="I168" s="9"/>
      <x:c r="J168" s="9"/>
      <x:c r="K168" s="9"/>
    </x:row>
    <x:row r="169" ht="22" customHeight="1">
      <x:c r="A169" s="11"/>
      <x:c r="B169" s="9"/>
      <x:c r="C169" s="9"/>
      <x:c r="D169" s="9"/>
      <x:c r="E169" s="9"/>
      <x:c r="F169" s="15"/>
      <x:c r="G169" s="15"/>
      <x:c r="H169" s="17" t="str">
        <x:f>IF(B169="","",IF(NOT(AND(ISNUMBER(F169),ISNUMBER(G169))),"",SUM(F169:G169)))</x:f>
      </x:c>
      <x:c r="I169" s="9"/>
      <x:c r="J169" s="9"/>
      <x:c r="K169" s="9"/>
    </x:row>
    <x:row r="170" ht="22" customHeight="1">
      <x:c r="A170" s="11"/>
      <x:c r="B170" s="9"/>
      <x:c r="C170" s="9"/>
      <x:c r="D170" s="9"/>
      <x:c r="E170" s="9"/>
      <x:c r="F170" s="15"/>
      <x:c r="G170" s="15"/>
      <x:c r="H170" s="17" t="str">
        <x:f>IF(B170="","",IF(NOT(AND(ISNUMBER(F170),ISNUMBER(G170))),"",SUM(F170:G170)))</x:f>
      </x:c>
      <x:c r="I170" s="9"/>
      <x:c r="J170" s="9"/>
      <x:c r="K170" s="9"/>
    </x:row>
    <x:row r="171" ht="22" customHeight="1">
      <x:c r="A171" s="11"/>
      <x:c r="B171" s="9"/>
      <x:c r="C171" s="9"/>
      <x:c r="D171" s="9"/>
      <x:c r="E171" s="9"/>
      <x:c r="F171" s="15"/>
      <x:c r="G171" s="15"/>
      <x:c r="H171" s="17" t="str">
        <x:f>IF(B171="","",IF(NOT(AND(ISNUMBER(F171),ISNUMBER(G171))),"",SUM(F171:G171)))</x:f>
      </x:c>
      <x:c r="I171" s="9"/>
      <x:c r="J171" s="9"/>
      <x:c r="K171" s="9"/>
    </x:row>
    <x:row r="172" ht="22" customHeight="1">
      <x:c r="A172" s="11"/>
      <x:c r="B172" s="9"/>
      <x:c r="C172" s="9"/>
      <x:c r="D172" s="9"/>
      <x:c r="E172" s="9"/>
      <x:c r="F172" s="15"/>
      <x:c r="G172" s="15"/>
      <x:c r="H172" s="17" t="str">
        <x:f>IF(B172="","",IF(NOT(AND(ISNUMBER(F172),ISNUMBER(G172))),"",SUM(F172:G172)))</x:f>
      </x:c>
      <x:c r="I172" s="9"/>
      <x:c r="J172" s="9"/>
      <x:c r="K172" s="9"/>
    </x:row>
    <x:row r="173" ht="22" customHeight="1">
      <x:c r="A173" s="11"/>
      <x:c r="B173" s="9"/>
      <x:c r="C173" s="9"/>
      <x:c r="D173" s="9"/>
      <x:c r="E173" s="9"/>
      <x:c r="F173" s="15"/>
      <x:c r="G173" s="15"/>
      <x:c r="H173" s="17" t="str">
        <x:f>IF(B173="","",IF(NOT(AND(ISNUMBER(F173),ISNUMBER(G173))),"",SUM(F173:G173)))</x:f>
      </x:c>
      <x:c r="I173" s="9"/>
      <x:c r="J173" s="9"/>
      <x:c r="K173" s="9"/>
    </x:row>
    <x:row r="174" ht="22" customHeight="1">
      <x:c r="A174" s="11"/>
      <x:c r="B174" s="9"/>
      <x:c r="C174" s="9"/>
      <x:c r="D174" s="9"/>
      <x:c r="E174" s="9"/>
      <x:c r="F174" s="15"/>
      <x:c r="G174" s="15"/>
      <x:c r="H174" s="17" t="str">
        <x:f>IF(B174="","",IF(NOT(AND(ISNUMBER(F174),ISNUMBER(G174))),"",SUM(F174:G174)))</x:f>
      </x:c>
      <x:c r="I174" s="9"/>
      <x:c r="J174" s="9"/>
      <x:c r="K174" s="9"/>
    </x:row>
    <x:row r="175" ht="22" customHeight="1">
      <x:c r="A175" s="11"/>
      <x:c r="B175" s="9"/>
      <x:c r="C175" s="9"/>
      <x:c r="D175" s="9"/>
      <x:c r="E175" s="9"/>
      <x:c r="F175" s="15"/>
      <x:c r="G175" s="15"/>
      <x:c r="H175" s="17" t="str">
        <x:f>IF(B175="","",IF(NOT(AND(ISNUMBER(F175),ISNUMBER(G175))),"",SUM(F175:G175)))</x:f>
      </x:c>
      <x:c r="I175" s="9"/>
      <x:c r="J175" s="9"/>
      <x:c r="K175" s="9"/>
    </x:row>
    <x:row r="176" ht="22" customHeight="1">
      <x:c r="A176" s="11"/>
      <x:c r="B176" s="9"/>
      <x:c r="C176" s="9"/>
      <x:c r="D176" s="9"/>
      <x:c r="E176" s="9"/>
      <x:c r="F176" s="15"/>
      <x:c r="G176" s="15"/>
      <x:c r="H176" s="17" t="str">
        <x:f>IF(B176="","",IF(NOT(AND(ISNUMBER(F176),ISNUMBER(G176))),"",SUM(F176:G176)))</x:f>
      </x:c>
      <x:c r="I176" s="9"/>
      <x:c r="J176" s="9"/>
      <x:c r="K176" s="9"/>
    </x:row>
    <x:row r="177" ht="22" customHeight="1">
      <x:c r="A177" s="11"/>
      <x:c r="B177" s="9"/>
      <x:c r="C177" s="9"/>
      <x:c r="D177" s="9"/>
      <x:c r="E177" s="9"/>
      <x:c r="F177" s="15"/>
      <x:c r="G177" s="15"/>
      <x:c r="H177" s="17" t="str">
        <x:f>IF(B177="","",IF(NOT(AND(ISNUMBER(F177),ISNUMBER(G177))),"",SUM(F177:G177)))</x:f>
      </x:c>
      <x:c r="I177" s="9"/>
      <x:c r="J177" s="9"/>
      <x:c r="K177" s="9"/>
    </x:row>
    <x:row r="178" ht="22" customHeight="1">
      <x:c r="A178" s="11"/>
      <x:c r="B178" s="9"/>
      <x:c r="C178" s="9"/>
      <x:c r="D178" s="9"/>
      <x:c r="E178" s="9"/>
      <x:c r="F178" s="15"/>
      <x:c r="G178" s="15"/>
      <x:c r="H178" s="17" t="str">
        <x:f>IF(B178="","",IF(NOT(AND(ISNUMBER(F178),ISNUMBER(G178))),"",SUM(F178:G178)))</x:f>
      </x:c>
      <x:c r="I178" s="9"/>
      <x:c r="J178" s="9"/>
      <x:c r="K178" s="9"/>
    </x:row>
    <x:row r="179" ht="22" customHeight="1">
      <x:c r="A179" s="11"/>
      <x:c r="B179" s="9"/>
      <x:c r="C179" s="9"/>
      <x:c r="D179" s="9"/>
      <x:c r="E179" s="9"/>
      <x:c r="F179" s="15"/>
      <x:c r="G179" s="15"/>
      <x:c r="H179" s="17" t="str">
        <x:f>IF(B179="","",IF(NOT(AND(ISNUMBER(F179),ISNUMBER(G179))),"",SUM(F179:G179)))</x:f>
      </x:c>
      <x:c r="I179" s="9"/>
      <x:c r="J179" s="9"/>
      <x:c r="K179" s="9"/>
    </x:row>
    <x:row r="180" ht="22" customHeight="1">
      <x:c r="A180" s="11"/>
      <x:c r="B180" s="9"/>
      <x:c r="C180" s="9"/>
      <x:c r="D180" s="9"/>
      <x:c r="E180" s="9"/>
      <x:c r="F180" s="15"/>
      <x:c r="G180" s="15"/>
      <x:c r="H180" s="17" t="str">
        <x:f>IF(B180="","",IF(NOT(AND(ISNUMBER(F180),ISNUMBER(G180))),"",SUM(F180:G180)))</x:f>
      </x:c>
      <x:c r="I180" s="9"/>
      <x:c r="J180" s="9"/>
      <x:c r="K180" s="9"/>
    </x:row>
    <x:row r="181" ht="22" customHeight="1">
      <x:c r="A181" s="11"/>
      <x:c r="B181" s="9"/>
      <x:c r="C181" s="9"/>
      <x:c r="D181" s="9"/>
      <x:c r="E181" s="9"/>
      <x:c r="F181" s="15"/>
      <x:c r="G181" s="15"/>
      <x:c r="H181" s="17" t="str">
        <x:f>IF(B181="","",IF(NOT(AND(ISNUMBER(F181),ISNUMBER(G181))),"",SUM(F181:G181)))</x:f>
      </x:c>
      <x:c r="I181" s="9"/>
      <x:c r="J181" s="9"/>
      <x:c r="K181" s="9"/>
    </x:row>
    <x:row r="182" ht="22" customHeight="1">
      <x:c r="A182" s="11"/>
      <x:c r="B182" s="9"/>
      <x:c r="C182" s="9"/>
      <x:c r="D182" s="9"/>
      <x:c r="E182" s="9"/>
      <x:c r="F182" s="15"/>
      <x:c r="G182" s="15"/>
      <x:c r="H182" s="17" t="str">
        <x:f>IF(B182="","",IF(NOT(AND(ISNUMBER(F182),ISNUMBER(G182))),"",SUM(F182:G182)))</x:f>
      </x:c>
      <x:c r="I182" s="9"/>
      <x:c r="J182" s="9"/>
      <x:c r="K182" s="9"/>
    </x:row>
    <x:row r="183" ht="22" customHeight="1">
      <x:c r="A183" s="11"/>
      <x:c r="B183" s="9"/>
      <x:c r="C183" s="9"/>
      <x:c r="D183" s="9"/>
      <x:c r="E183" s="9"/>
      <x:c r="F183" s="15"/>
      <x:c r="G183" s="15"/>
      <x:c r="H183" s="17" t="str">
        <x:f>IF(B183="","",IF(NOT(AND(ISNUMBER(F183),ISNUMBER(G183))),"",SUM(F183:G183)))</x:f>
      </x:c>
      <x:c r="I183" s="9"/>
      <x:c r="J183" s="9"/>
      <x:c r="K183" s="9"/>
    </x:row>
    <x:row r="184" ht="22" customHeight="1">
      <x:c r="A184" s="11"/>
      <x:c r="B184" s="9"/>
      <x:c r="C184" s="9"/>
      <x:c r="D184" s="9"/>
      <x:c r="E184" s="9"/>
      <x:c r="F184" s="15"/>
      <x:c r="G184" s="15"/>
      <x:c r="H184" s="17" t="str">
        <x:f>IF(B184="","",IF(NOT(AND(ISNUMBER(F184),ISNUMBER(G184))),"",SUM(F184:G184)))</x:f>
      </x:c>
      <x:c r="I184" s="9"/>
      <x:c r="J184" s="9"/>
      <x:c r="K184" s="9"/>
    </x:row>
    <x:row r="185" ht="22" customHeight="1">
      <x:c r="A185" s="11"/>
      <x:c r="B185" s="9"/>
      <x:c r="C185" s="9"/>
      <x:c r="D185" s="9"/>
      <x:c r="E185" s="9"/>
      <x:c r="F185" s="15"/>
      <x:c r="G185" s="15"/>
      <x:c r="H185" s="17" t="str">
        <x:f>IF(B185="","",IF(NOT(AND(ISNUMBER(F185),ISNUMBER(G185))),"",SUM(F185:G185)))</x:f>
      </x:c>
      <x:c r="I185" s="9"/>
      <x:c r="J185" s="9"/>
      <x:c r="K185" s="9"/>
    </x:row>
    <x:row r="186" ht="22" customHeight="1">
      <x:c r="A186" s="11"/>
      <x:c r="B186" s="9"/>
      <x:c r="C186" s="9"/>
      <x:c r="D186" s="9"/>
      <x:c r="E186" s="9"/>
      <x:c r="F186" s="15"/>
      <x:c r="G186" s="15"/>
      <x:c r="H186" s="17" t="str">
        <x:f>IF(B186="","",IF(NOT(AND(ISNUMBER(F186),ISNUMBER(G186))),"",SUM(F186:G186)))</x:f>
      </x:c>
      <x:c r="I186" s="9"/>
      <x:c r="J186" s="9"/>
      <x:c r="K186" s="9"/>
    </x:row>
    <x:row r="187" ht="22" customHeight="1">
      <x:c r="A187" s="11"/>
      <x:c r="B187" s="9"/>
      <x:c r="C187" s="9"/>
      <x:c r="D187" s="9"/>
      <x:c r="E187" s="9"/>
      <x:c r="F187" s="15"/>
      <x:c r="G187" s="15"/>
      <x:c r="H187" s="17" t="str">
        <x:f>IF(B187="","",IF(NOT(AND(ISNUMBER(F187),ISNUMBER(G187))),"",SUM(F187:G187)))</x:f>
      </x:c>
      <x:c r="I187" s="9"/>
      <x:c r="J187" s="9"/>
      <x:c r="K187" s="9"/>
    </x:row>
    <x:row r="188" ht="22" customHeight="1">
      <x:c r="A188" s="11"/>
      <x:c r="B188" s="9"/>
      <x:c r="C188" s="9"/>
      <x:c r="D188" s="9"/>
      <x:c r="E188" s="9"/>
      <x:c r="F188" s="15"/>
      <x:c r="G188" s="15"/>
      <x:c r="H188" s="17" t="str">
        <x:f>IF(B188="","",IF(NOT(AND(ISNUMBER(F188),ISNUMBER(G188))),"",SUM(F188:G188)))</x:f>
      </x:c>
      <x:c r="I188" s="9"/>
      <x:c r="J188" s="9"/>
      <x:c r="K188" s="9"/>
    </x:row>
    <x:row r="189" ht="22" customHeight="1">
      <x:c r="A189" s="11"/>
      <x:c r="B189" s="9"/>
      <x:c r="C189" s="9"/>
      <x:c r="D189" s="9"/>
      <x:c r="E189" s="9"/>
      <x:c r="F189" s="15"/>
      <x:c r="G189" s="15"/>
      <x:c r="H189" s="17" t="str">
        <x:f>IF(B189="","",IF(NOT(AND(ISNUMBER(F189),ISNUMBER(G189))),"",SUM(F189:G189)))</x:f>
      </x:c>
      <x:c r="I189" s="9"/>
      <x:c r="J189" s="9"/>
      <x:c r="K189" s="9"/>
    </x:row>
    <x:row r="190" ht="22" customHeight="1">
      <x:c r="A190" s="11"/>
      <x:c r="B190" s="9"/>
      <x:c r="C190" s="9"/>
      <x:c r="D190" s="9"/>
      <x:c r="E190" s="9"/>
      <x:c r="F190" s="15"/>
      <x:c r="G190" s="15"/>
      <x:c r="H190" s="17" t="str">
        <x:f>IF(B190="","",IF(NOT(AND(ISNUMBER(F190),ISNUMBER(G190))),"",SUM(F190:G190)))</x:f>
      </x:c>
      <x:c r="I190" s="9"/>
      <x:c r="J190" s="9"/>
      <x:c r="K190" s="9"/>
    </x:row>
    <x:row r="191" ht="22" customHeight="1">
      <x:c r="A191" s="11"/>
      <x:c r="B191" s="9"/>
      <x:c r="C191" s="9"/>
      <x:c r="D191" s="9"/>
      <x:c r="E191" s="9"/>
      <x:c r="F191" s="15"/>
      <x:c r="G191" s="15"/>
      <x:c r="H191" s="17" t="str">
        <x:f>IF(B191="","",IF(NOT(AND(ISNUMBER(F191),ISNUMBER(G191))),"",SUM(F191:G191)))</x:f>
      </x:c>
      <x:c r="I191" s="9"/>
      <x:c r="J191" s="9"/>
      <x:c r="K191" s="9"/>
    </x:row>
    <x:row r="192" ht="22" customHeight="1">
      <x:c r="A192" s="11"/>
      <x:c r="B192" s="9"/>
      <x:c r="C192" s="9"/>
      <x:c r="D192" s="9"/>
      <x:c r="E192" s="9"/>
      <x:c r="F192" s="15"/>
      <x:c r="G192" s="15"/>
      <x:c r="H192" s="17" t="str">
        <x:f>IF(B192="","",IF(NOT(AND(ISNUMBER(F192),ISNUMBER(G192))),"",SUM(F192:G192)))</x:f>
      </x:c>
      <x:c r="I192" s="9"/>
      <x:c r="J192" s="9"/>
      <x:c r="K192" s="9"/>
    </x:row>
    <x:row r="193" ht="22" customHeight="1">
      <x:c r="A193" s="11"/>
      <x:c r="B193" s="9"/>
      <x:c r="C193" s="9"/>
      <x:c r="D193" s="9"/>
      <x:c r="E193" s="9"/>
      <x:c r="F193" s="15"/>
      <x:c r="G193" s="15"/>
      <x:c r="H193" s="17" t="str">
        <x:f>IF(B193="","",IF(NOT(AND(ISNUMBER(F193),ISNUMBER(G193))),"",SUM(F193:G193)))</x:f>
      </x:c>
      <x:c r="I193" s="9"/>
      <x:c r="J193" s="9"/>
      <x:c r="K193" s="9"/>
    </x:row>
    <x:row r="194" ht="22" customHeight="1">
      <x:c r="A194" s="11"/>
      <x:c r="B194" s="9"/>
      <x:c r="C194" s="9"/>
      <x:c r="D194" s="9"/>
      <x:c r="E194" s="9"/>
      <x:c r="F194" s="15"/>
      <x:c r="G194" s="15"/>
      <x:c r="H194" s="17" t="str">
        <x:f>IF(B194="","",IF(NOT(AND(ISNUMBER(F194),ISNUMBER(G194))),"",SUM(F194:G194)))</x:f>
      </x:c>
      <x:c r="I194" s="9"/>
      <x:c r="J194" s="9"/>
      <x:c r="K194" s="9"/>
    </x:row>
    <x:row r="195" ht="22" customHeight="1">
      <x:c r="A195" s="11"/>
      <x:c r="B195" s="9"/>
      <x:c r="C195" s="9"/>
      <x:c r="D195" s="9"/>
      <x:c r="E195" s="9"/>
      <x:c r="F195" s="15"/>
      <x:c r="G195" s="15"/>
      <x:c r="H195" s="17" t="str">
        <x:f>IF(B195="","",IF(NOT(AND(ISNUMBER(F195),ISNUMBER(G195))),"",SUM(F195:G195)))</x:f>
      </x:c>
      <x:c r="I195" s="9"/>
      <x:c r="J195" s="9"/>
      <x:c r="K195" s="9"/>
    </x:row>
    <x:row r="196" ht="22" customHeight="1">
      <x:c r="A196" s="11"/>
      <x:c r="B196" s="9"/>
      <x:c r="C196" s="9"/>
      <x:c r="D196" s="9"/>
      <x:c r="E196" s="9"/>
      <x:c r="F196" s="15"/>
      <x:c r="G196" s="15"/>
      <x:c r="H196" s="17" t="str">
        <x:f>IF(B196="","",IF(NOT(AND(ISNUMBER(F196),ISNUMBER(G196))),"",SUM(F196:G196)))</x:f>
      </x:c>
      <x:c r="I196" s="9"/>
      <x:c r="J196" s="9"/>
      <x:c r="K196" s="9"/>
    </x:row>
    <x:row r="197" ht="22" customHeight="1">
      <x:c r="A197" s="11"/>
      <x:c r="B197" s="9"/>
      <x:c r="C197" s="9"/>
      <x:c r="D197" s="9"/>
      <x:c r="E197" s="9"/>
      <x:c r="F197" s="15"/>
      <x:c r="G197" s="15"/>
      <x:c r="H197" s="17" t="str">
        <x:f>IF(B197="","",IF(NOT(AND(ISNUMBER(F197),ISNUMBER(G197))),"",SUM(F197:G197)))</x:f>
      </x:c>
      <x:c r="I197" s="9"/>
      <x:c r="J197" s="9"/>
      <x:c r="K197" s="9"/>
    </x:row>
    <x:row r="198" ht="22" customHeight="1">
      <x:c r="A198" s="11"/>
      <x:c r="B198" s="9"/>
      <x:c r="C198" s="9"/>
      <x:c r="D198" s="9"/>
      <x:c r="E198" s="9"/>
      <x:c r="F198" s="15"/>
      <x:c r="G198" s="15"/>
      <x:c r="H198" s="17" t="str">
        <x:f>IF(B198="","",IF(NOT(AND(ISNUMBER(F198),ISNUMBER(G198))),"",SUM(F198:G198)))</x:f>
      </x:c>
      <x:c r="I198" s="9"/>
      <x:c r="J198" s="9"/>
      <x:c r="K198" s="9"/>
    </x:row>
    <x:row r="199" ht="22" customHeight="1">
      <x:c r="A199" s="11"/>
      <x:c r="B199" s="9"/>
      <x:c r="C199" s="9"/>
      <x:c r="D199" s="9"/>
      <x:c r="E199" s="9"/>
      <x:c r="F199" s="15"/>
      <x:c r="G199" s="15"/>
      <x:c r="H199" s="17" t="str">
        <x:f>IF(B199="","",IF(NOT(AND(ISNUMBER(F199),ISNUMBER(G199))),"",SUM(F199:G199)))</x:f>
      </x:c>
      <x:c r="I199" s="9"/>
      <x:c r="J199" s="9"/>
      <x:c r="K199" s="9"/>
    </x:row>
    <x:row r="200" ht="22" customHeight="1">
      <x:c r="A200" s="11"/>
      <x:c r="B200" s="9"/>
      <x:c r="C200" s="9"/>
      <x:c r="D200" s="9"/>
      <x:c r="E200" s="9"/>
      <x:c r="F200" s="15"/>
      <x:c r="G200" s="15"/>
      <x:c r="H200" s="17" t="str">
        <x:f>IF(B200="","",IF(NOT(AND(ISNUMBER(F200),ISNUMBER(G200))),"",SUM(F200:G200)))</x:f>
      </x:c>
      <x:c r="I200" s="9"/>
      <x:c r="J200" s="9"/>
      <x:c r="K200" s="9"/>
    </x:row>
    <x:row r="201" ht="22" customHeight="1">
      <x:c r="A201" s="11"/>
      <x:c r="B201" s="9"/>
      <x:c r="C201" s="9"/>
      <x:c r="D201" s="9"/>
      <x:c r="E201" s="9"/>
      <x:c r="F201" s="15"/>
      <x:c r="G201" s="15"/>
      <x:c r="H201" s="17" t="str">
        <x:f>IF(B201="","",IF(NOT(AND(ISNUMBER(F201),ISNUMBER(G201))),"",SUM(F201:G201)))</x:f>
      </x:c>
      <x:c r="I201" s="9"/>
      <x:c r="J201" s="9"/>
      <x:c r="K201" s="9"/>
    </x:row>
    <x:row r="202" ht="22" customHeight="1">
      <x:c r="A202" s="11"/>
      <x:c r="B202" s="9"/>
      <x:c r="C202" s="9"/>
      <x:c r="D202" s="9"/>
      <x:c r="E202" s="9"/>
      <x:c r="F202" s="15"/>
      <x:c r="G202" s="15"/>
      <x:c r="H202" s="17" t="str">
        <x:f>IF(B202="","",IF(NOT(AND(ISNUMBER(F202),ISNUMBER(G202))),"",SUM(F202:G202)))</x:f>
      </x:c>
      <x:c r="I202" s="9"/>
      <x:c r="J202" s="9"/>
      <x:c r="K202" s="9"/>
    </x:row>
    <x:row r="203" ht="22" customHeight="1">
      <x:c r="A203" s="11"/>
      <x:c r="B203" s="9"/>
      <x:c r="C203" s="9"/>
      <x:c r="D203" s="9"/>
      <x:c r="E203" s="9"/>
      <x:c r="F203" s="15"/>
      <x:c r="G203" s="15"/>
      <x:c r="H203" s="17" t="str">
        <x:f>IF(B203="","",IF(NOT(AND(ISNUMBER(F203),ISNUMBER(G203))),"",SUM(F203:G203)))</x:f>
      </x:c>
      <x:c r="I203" s="9"/>
      <x:c r="J203" s="9"/>
      <x:c r="K203" s="9"/>
    </x:row>
    <x:row r="204" ht="22" customHeight="1">
      <x:c r="A204" s="11"/>
      <x:c r="B204" s="9"/>
      <x:c r="C204" s="9"/>
      <x:c r="D204" s="9"/>
      <x:c r="E204" s="9"/>
      <x:c r="F204" s="15"/>
      <x:c r="G204" s="15"/>
      <x:c r="H204" s="17" t="str">
        <x:f>IF(B204="","",IF(NOT(AND(ISNUMBER(F204),ISNUMBER(G204))),"",SUM(F204:G204)))</x:f>
      </x:c>
      <x:c r="I204" s="9"/>
      <x:c r="J204" s="9"/>
      <x:c r="K204" s="9"/>
    </x:row>
    <x:row r="205" ht="22" customHeight="1">
      <x:c r="A205" s="11"/>
      <x:c r="B205" s="9"/>
      <x:c r="C205" s="9"/>
      <x:c r="D205" s="9"/>
      <x:c r="E205" s="9"/>
      <x:c r="F205" s="15"/>
      <x:c r="G205" s="15"/>
      <x:c r="H205" s="17" t="str">
        <x:f>IF(B205="","",IF(NOT(AND(ISNUMBER(F205),ISNUMBER(G205))),"",SUM(F205:G205)))</x:f>
      </x:c>
      <x:c r="I205" s="9"/>
      <x:c r="J205" s="9"/>
      <x:c r="K205" s="9"/>
    </x:row>
    <x:row r="206" ht="22" customHeight="1">
      <x:c r="A206" s="11"/>
      <x:c r="B206" s="9"/>
      <x:c r="C206" s="9"/>
      <x:c r="D206" s="9"/>
      <x:c r="E206" s="9"/>
      <x:c r="F206" s="15"/>
      <x:c r="G206" s="15"/>
      <x:c r="H206" s="17" t="str">
        <x:f>IF(B206="","",IF(NOT(AND(ISNUMBER(F206),ISNUMBER(G206))),"",SUM(F206:G206)))</x:f>
      </x:c>
      <x:c r="I206" s="9"/>
      <x:c r="J206" s="9"/>
      <x:c r="K206" s="9"/>
    </x:row>
    <x:row r="207" ht="22" customHeight="1">
      <x:c r="A207" s="11"/>
      <x:c r="B207" s="9"/>
      <x:c r="C207" s="9"/>
      <x:c r="D207" s="9"/>
      <x:c r="E207" s="9"/>
      <x:c r="F207" s="15"/>
      <x:c r="G207" s="15"/>
      <x:c r="H207" s="17" t="str">
        <x:f>IF(B207="","",IF(NOT(AND(ISNUMBER(F207),ISNUMBER(G207))),"",SUM(F207:G207)))</x:f>
      </x:c>
      <x:c r="I207" s="9"/>
      <x:c r="J207" s="9"/>
      <x:c r="K207" s="9"/>
    </x:row>
    <x:row r="208" ht="22" customHeight="1">
      <x:c r="A208" s="11"/>
      <x:c r="B208" s="9"/>
      <x:c r="C208" s="9"/>
      <x:c r="D208" s="9"/>
      <x:c r="E208" s="9"/>
      <x:c r="F208" s="15"/>
      <x:c r="G208" s="15"/>
      <x:c r="H208" s="17" t="str">
        <x:f>IF(B208="","",IF(NOT(AND(ISNUMBER(F208),ISNUMBER(G208))),"",SUM(F208:G208)))</x:f>
      </x:c>
      <x:c r="I208" s="9"/>
      <x:c r="J208" s="9"/>
      <x:c r="K208" s="9"/>
    </x:row>
    <x:row r="209" ht="22" customHeight="1">
      <x:c r="A209" s="11"/>
      <x:c r="B209" s="9"/>
      <x:c r="C209" s="9"/>
      <x:c r="D209" s="9"/>
      <x:c r="E209" s="9"/>
      <x:c r="F209" s="15"/>
      <x:c r="G209" s="15"/>
      <x:c r="H209" s="17" t="str">
        <x:f>IF(B209="","",IF(NOT(AND(ISNUMBER(F209),ISNUMBER(G209))),"",SUM(F209:G209)))</x:f>
      </x:c>
      <x:c r="I209" s="9"/>
      <x:c r="J209" s="9"/>
      <x:c r="K209" s="9"/>
    </x:row>
    <x:row r="210" ht="22" customHeight="1">
      <x:c r="A210" s="11"/>
      <x:c r="B210" s="9"/>
      <x:c r="C210" s="9"/>
      <x:c r="D210" s="9"/>
      <x:c r="E210" s="9"/>
      <x:c r="F210" s="15"/>
      <x:c r="G210" s="15"/>
      <x:c r="H210" s="17" t="str">
        <x:f>IF(B210="","",IF(NOT(AND(ISNUMBER(F210),ISNUMBER(G210))),"",SUM(F210:G210)))</x:f>
      </x:c>
      <x:c r="I210" s="9"/>
      <x:c r="J210" s="9"/>
      <x:c r="K210" s="9"/>
    </x:row>
    <x:row r="211" ht="22" customHeight="1">
      <x:c r="A211" s="11"/>
      <x:c r="B211" s="9"/>
      <x:c r="C211" s="9"/>
      <x:c r="D211" s="9"/>
      <x:c r="E211" s="9"/>
      <x:c r="F211" s="15"/>
      <x:c r="G211" s="15"/>
      <x:c r="H211" s="17" t="str">
        <x:f>IF(B211="","",IF(NOT(AND(ISNUMBER(F211),ISNUMBER(G211))),"",SUM(F211:G211)))</x:f>
      </x:c>
      <x:c r="I211" s="9"/>
      <x:c r="J211" s="9"/>
      <x:c r="K211" s="9"/>
    </x:row>
    <x:row r="212" ht="22" customHeight="1">
      <x:c r="A212" s="11"/>
      <x:c r="B212" s="9"/>
      <x:c r="C212" s="9"/>
      <x:c r="D212" s="9"/>
      <x:c r="E212" s="9"/>
      <x:c r="F212" s="15"/>
      <x:c r="G212" s="15"/>
      <x:c r="H212" s="17" t="str">
        <x:f>IF(B212="","",IF(NOT(AND(ISNUMBER(F212),ISNUMBER(G212))),"",SUM(F212:G212)))</x:f>
      </x:c>
      <x:c r="I212" s="9"/>
      <x:c r="J212" s="9"/>
      <x:c r="K212" s="9"/>
    </x:row>
    <x:row r="213" ht="22" customHeight="1">
      <x:c r="A213" s="11"/>
      <x:c r="B213" s="9"/>
      <x:c r="C213" s="9"/>
      <x:c r="D213" s="9"/>
      <x:c r="E213" s="9"/>
      <x:c r="F213" s="15"/>
      <x:c r="G213" s="15"/>
      <x:c r="H213" s="17" t="str">
        <x:f>IF(B213="","",IF(NOT(AND(ISNUMBER(F213),ISNUMBER(G213))),"",SUM(F213:G213)))</x:f>
      </x:c>
      <x:c r="I213" s="9"/>
      <x:c r="J213" s="9"/>
      <x:c r="K213" s="9"/>
    </x:row>
    <x:row r="214" ht="22" customHeight="1">
      <x:c r="A214" s="11"/>
      <x:c r="B214" s="9"/>
      <x:c r="C214" s="9"/>
      <x:c r="D214" s="9"/>
      <x:c r="E214" s="9"/>
      <x:c r="F214" s="15"/>
      <x:c r="G214" s="15"/>
      <x:c r="H214" s="17" t="str">
        <x:f>IF(B214="","",IF(NOT(AND(ISNUMBER(F214),ISNUMBER(G214))),"",SUM(F214:G214)))</x:f>
      </x:c>
      <x:c r="I214" s="9"/>
      <x:c r="J214" s="9"/>
      <x:c r="K214" s="9"/>
    </x:row>
    <x:row r="215" ht="22" customHeight="1">
      <x:c r="A215" s="11"/>
      <x:c r="B215" s="9"/>
      <x:c r="C215" s="9"/>
      <x:c r="D215" s="9"/>
      <x:c r="E215" s="9"/>
      <x:c r="F215" s="15"/>
      <x:c r="G215" s="15"/>
      <x:c r="H215" s="17" t="str">
        <x:f>IF(B215="","",IF(NOT(AND(ISNUMBER(F215),ISNUMBER(G215))),"",SUM(F215:G215)))</x:f>
      </x:c>
      <x:c r="I215" s="9"/>
      <x:c r="J215" s="9"/>
      <x:c r="K215" s="9"/>
    </x:row>
    <x:row r="216" ht="22" customHeight="1">
      <x:c r="A216" s="11"/>
      <x:c r="B216" s="9"/>
      <x:c r="C216" s="9"/>
      <x:c r="D216" s="9"/>
      <x:c r="E216" s="9"/>
      <x:c r="F216" s="15"/>
      <x:c r="G216" s="15"/>
      <x:c r="H216" s="17" t="str">
        <x:f>IF(B216="","",IF(NOT(AND(ISNUMBER(F216),ISNUMBER(G216))),"",SUM(F216:G216)))</x:f>
      </x:c>
      <x:c r="I216" s="9"/>
      <x:c r="J216" s="9"/>
      <x:c r="K216" s="9"/>
    </x:row>
    <x:row r="217" ht="22" customHeight="1">
      <x:c r="A217" s="11"/>
      <x:c r="B217" s="9"/>
      <x:c r="C217" s="9"/>
      <x:c r="D217" s="9"/>
      <x:c r="E217" s="9"/>
      <x:c r="F217" s="15"/>
      <x:c r="G217" s="15"/>
      <x:c r="H217" s="17" t="str">
        <x:f>IF(B217="","",IF(NOT(AND(ISNUMBER(F217),ISNUMBER(G217))),"",SUM(F217:G217)))</x:f>
      </x:c>
      <x:c r="I217" s="9"/>
      <x:c r="J217" s="9"/>
      <x:c r="K217" s="9"/>
    </x:row>
    <x:row r="218" ht="22" customHeight="1">
      <x:c r="A218" s="11"/>
      <x:c r="B218" s="9"/>
      <x:c r="C218" s="9"/>
      <x:c r="D218" s="9"/>
      <x:c r="E218" s="9"/>
      <x:c r="F218" s="15"/>
      <x:c r="G218" s="15"/>
      <x:c r="H218" s="17" t="str">
        <x:f>IF(B218="","",IF(NOT(AND(ISNUMBER(F218),ISNUMBER(G218))),"",SUM(F218:G218)))</x:f>
      </x:c>
      <x:c r="I218" s="9"/>
      <x:c r="J218" s="9"/>
      <x:c r="K218" s="9"/>
    </x:row>
    <x:row r="219" ht="22" customHeight="1">
      <x:c r="A219" s="11"/>
      <x:c r="B219" s="9"/>
      <x:c r="C219" s="9"/>
      <x:c r="D219" s="9"/>
      <x:c r="E219" s="9"/>
      <x:c r="F219" s="15"/>
      <x:c r="G219" s="15"/>
      <x:c r="H219" s="17" t="str">
        <x:f>IF(B219="","",IF(NOT(AND(ISNUMBER(F219),ISNUMBER(G219))),"",SUM(F219:G219)))</x:f>
      </x:c>
      <x:c r="I219" s="9"/>
      <x:c r="J219" s="9"/>
      <x:c r="K219" s="9"/>
    </x:row>
    <x:row r="220" ht="22" customHeight="1">
      <x:c r="A220" s="11"/>
      <x:c r="B220" s="9"/>
      <x:c r="C220" s="9"/>
      <x:c r="D220" s="9"/>
      <x:c r="E220" s="9"/>
      <x:c r="F220" s="15"/>
      <x:c r="G220" s="15"/>
      <x:c r="H220" s="17" t="str">
        <x:f>IF(B220="","",IF(NOT(AND(ISNUMBER(F220),ISNUMBER(G220))),"",SUM(F220:G220)))</x:f>
      </x:c>
      <x:c r="I220" s="9"/>
      <x:c r="J220" s="9"/>
      <x:c r="K220" s="9"/>
    </x:row>
    <x:row r="221" ht="22" customHeight="1">
      <x:c r="A221" s="11"/>
      <x:c r="B221" s="9"/>
      <x:c r="C221" s="9"/>
      <x:c r="D221" s="9"/>
      <x:c r="E221" s="9"/>
      <x:c r="F221" s="15"/>
      <x:c r="G221" s="15"/>
      <x:c r="H221" s="17" t="str">
        <x:f>IF(B221="","",IF(NOT(AND(ISNUMBER(F221),ISNUMBER(G221))),"",SUM(F221:G221)))</x:f>
      </x:c>
      <x:c r="I221" s="9"/>
      <x:c r="J221" s="9"/>
      <x:c r="K221" s="9"/>
    </x:row>
    <x:row r="222" ht="22" customHeight="1">
      <x:c r="A222" s="11"/>
      <x:c r="B222" s="9"/>
      <x:c r="C222" s="9"/>
      <x:c r="D222" s="9"/>
      <x:c r="E222" s="9"/>
      <x:c r="F222" s="15"/>
      <x:c r="G222" s="15"/>
      <x:c r="H222" s="17" t="str">
        <x:f>IF(B222="","",IF(NOT(AND(ISNUMBER(F222),ISNUMBER(G222))),"",SUM(F222:G222)))</x:f>
      </x:c>
      <x:c r="I222" s="9"/>
      <x:c r="J222" s="9"/>
      <x:c r="K222" s="9"/>
    </x:row>
    <x:row r="223" ht="22" customHeight="1">
      <x:c r="A223" s="11"/>
      <x:c r="B223" s="9"/>
      <x:c r="C223" s="9"/>
      <x:c r="D223" s="9"/>
      <x:c r="E223" s="9"/>
      <x:c r="F223" s="15"/>
      <x:c r="G223" s="15"/>
      <x:c r="H223" s="17" t="str">
        <x:f>IF(B223="","",IF(NOT(AND(ISNUMBER(F223),ISNUMBER(G223))),"",SUM(F223:G223)))</x:f>
      </x:c>
      <x:c r="I223" s="9"/>
      <x:c r="J223" s="9"/>
      <x:c r="K223" s="9"/>
    </x:row>
    <x:row r="224" ht="22" customHeight="1">
      <x:c r="A224" s="11"/>
      <x:c r="B224" s="9"/>
      <x:c r="C224" s="9"/>
      <x:c r="D224" s="9"/>
      <x:c r="E224" s="9"/>
      <x:c r="F224" s="15"/>
      <x:c r="G224" s="15"/>
      <x:c r="H224" s="17" t="str">
        <x:f>IF(B224="","",IF(NOT(AND(ISNUMBER(F224),ISNUMBER(G224))),"",SUM(F224:G224)))</x:f>
      </x:c>
      <x:c r="I224" s="9"/>
      <x:c r="J224" s="9"/>
      <x:c r="K224" s="9"/>
    </x:row>
    <x:row r="225" ht="22" customHeight="1">
      <x:c r="A225" s="11"/>
      <x:c r="B225" s="9"/>
      <x:c r="C225" s="9"/>
      <x:c r="D225" s="9"/>
      <x:c r="E225" s="9"/>
      <x:c r="F225" s="15"/>
      <x:c r="G225" s="15"/>
      <x:c r="H225" s="17" t="str">
        <x:f>IF(B225="","",IF(NOT(AND(ISNUMBER(F225),ISNUMBER(G225))),"",SUM(F225:G225)))</x:f>
      </x:c>
      <x:c r="I225" s="9"/>
      <x:c r="J225" s="9"/>
      <x:c r="K225" s="9"/>
    </x:row>
    <x:row r="226" ht="22" customHeight="1">
      <x:c r="A226" s="11"/>
      <x:c r="B226" s="9"/>
      <x:c r="C226" s="9"/>
      <x:c r="D226" s="9"/>
      <x:c r="E226" s="9"/>
      <x:c r="F226" s="15"/>
      <x:c r="G226" s="15"/>
      <x:c r="H226" s="17" t="str">
        <x:f>IF(B226="","",IF(NOT(AND(ISNUMBER(F226),ISNUMBER(G226))),"",SUM(F226:G226)))</x:f>
      </x:c>
      <x:c r="I226" s="9"/>
      <x:c r="J226" s="9"/>
      <x:c r="K226" s="9"/>
    </x:row>
    <x:row r="227" ht="22" customHeight="1">
      <x:c r="A227" s="11"/>
      <x:c r="B227" s="9"/>
      <x:c r="C227" s="9"/>
      <x:c r="D227" s="9"/>
      <x:c r="E227" s="9"/>
      <x:c r="F227" s="15"/>
      <x:c r="G227" s="15"/>
      <x:c r="H227" s="17" t="str">
        <x:f>IF(B227="","",IF(NOT(AND(ISNUMBER(F227),ISNUMBER(G227))),"",SUM(F227:G227)))</x:f>
      </x:c>
      <x:c r="I227" s="9"/>
      <x:c r="J227" s="9"/>
      <x:c r="K227" s="9"/>
    </x:row>
    <x:row r="228" ht="22" customHeight="1">
      <x:c r="A228" s="11"/>
      <x:c r="B228" s="9"/>
      <x:c r="C228" s="9"/>
      <x:c r="D228" s="9"/>
      <x:c r="E228" s="9"/>
      <x:c r="F228" s="15"/>
      <x:c r="G228" s="15"/>
      <x:c r="H228" s="17" t="str">
        <x:f>IF(B228="","",IF(NOT(AND(ISNUMBER(F228),ISNUMBER(G228))),"",SUM(F228:G228)))</x:f>
      </x:c>
      <x:c r="I228" s="9"/>
      <x:c r="J228" s="9"/>
      <x:c r="K228" s="9"/>
    </x:row>
    <x:row r="229" ht="22" customHeight="1">
      <x:c r="A229" s="11"/>
      <x:c r="B229" s="9"/>
      <x:c r="C229" s="9"/>
      <x:c r="D229" s="9"/>
      <x:c r="E229" s="9"/>
      <x:c r="F229" s="15"/>
      <x:c r="G229" s="15"/>
      <x:c r="H229" s="17" t="str">
        <x:f>IF(B229="","",IF(NOT(AND(ISNUMBER(F229),ISNUMBER(G229))),"",SUM(F229:G229)))</x:f>
      </x:c>
      <x:c r="I229" s="9"/>
      <x:c r="J229" s="9"/>
      <x:c r="K229" s="9"/>
    </x:row>
    <x:row r="230" ht="22" customHeight="1">
      <x:c r="A230" s="11"/>
      <x:c r="B230" s="9"/>
      <x:c r="C230" s="9"/>
      <x:c r="D230" s="9"/>
      <x:c r="E230" s="9"/>
      <x:c r="F230" s="15"/>
      <x:c r="G230" s="15"/>
      <x:c r="H230" s="17" t="str">
        <x:f>IF(B230="","",IF(NOT(AND(ISNUMBER(F230),ISNUMBER(G230))),"",SUM(F230:G230)))</x:f>
      </x:c>
      <x:c r="I230" s="9"/>
      <x:c r="J230" s="9"/>
      <x:c r="K230" s="9"/>
    </x:row>
    <x:row r="231" ht="22" customHeight="1">
      <x:c r="A231" s="11"/>
      <x:c r="B231" s="9"/>
      <x:c r="C231" s="9"/>
      <x:c r="D231" s="9"/>
      <x:c r="E231" s="9"/>
      <x:c r="F231" s="15"/>
      <x:c r="G231" s="15"/>
      <x:c r="H231" s="17" t="str">
        <x:f>IF(B231="","",IF(NOT(AND(ISNUMBER(F231),ISNUMBER(G231))),"",SUM(F231:G231)))</x:f>
      </x:c>
      <x:c r="I231" s="9"/>
      <x:c r="J231" s="9"/>
      <x:c r="K231" s="9"/>
    </x:row>
    <x:row r="232" ht="22" customHeight="1">
      <x:c r="A232" s="11"/>
      <x:c r="B232" s="9"/>
      <x:c r="C232" s="9"/>
      <x:c r="D232" s="9"/>
      <x:c r="E232" s="9"/>
      <x:c r="F232" s="15"/>
      <x:c r="G232" s="15"/>
      <x:c r="H232" s="17" t="str">
        <x:f>IF(B232="","",IF(NOT(AND(ISNUMBER(F232),ISNUMBER(G232))),"",SUM(F232:G232)))</x:f>
      </x:c>
      <x:c r="I232" s="9"/>
      <x:c r="J232" s="9"/>
      <x:c r="K232" s="9"/>
    </x:row>
    <x:row r="233" ht="22" customHeight="1">
      <x:c r="A233" s="11"/>
      <x:c r="B233" s="9"/>
      <x:c r="C233" s="9"/>
      <x:c r="D233" s="9"/>
      <x:c r="E233" s="9"/>
      <x:c r="F233" s="15"/>
      <x:c r="G233" s="15"/>
      <x:c r="H233" s="17" t="str">
        <x:f>IF(B233="","",IF(NOT(AND(ISNUMBER(F233),ISNUMBER(G233))),"",SUM(F233:G233)))</x:f>
      </x:c>
      <x:c r="I233" s="9"/>
      <x:c r="J233" s="9"/>
      <x:c r="K233" s="9"/>
    </x:row>
    <x:row r="234" ht="22" customHeight="1">
      <x:c r="A234" s="11"/>
      <x:c r="B234" s="9"/>
      <x:c r="C234" s="9"/>
      <x:c r="D234" s="9"/>
      <x:c r="E234" s="9"/>
      <x:c r="F234" s="15"/>
      <x:c r="G234" s="15"/>
      <x:c r="H234" s="17" t="str">
        <x:f>IF(B234="","",IF(NOT(AND(ISNUMBER(F234),ISNUMBER(G234))),"",SUM(F234:G234)))</x:f>
      </x:c>
      <x:c r="I234" s="9"/>
      <x:c r="J234" s="9"/>
      <x:c r="K234" s="9"/>
    </x:row>
    <x:row r="235" ht="22" customHeight="1">
      <x:c r="A235" s="11"/>
      <x:c r="B235" s="9"/>
      <x:c r="C235" s="9"/>
      <x:c r="D235" s="9"/>
      <x:c r="E235" s="9"/>
      <x:c r="F235" s="15"/>
      <x:c r="G235" s="15"/>
      <x:c r="H235" s="17" t="str">
        <x:f>IF(B235="","",IF(NOT(AND(ISNUMBER(F235),ISNUMBER(G235))),"",SUM(F235:G235)))</x:f>
      </x:c>
      <x:c r="I235" s="9"/>
      <x:c r="J235" s="9"/>
      <x:c r="K235" s="9"/>
    </x:row>
    <x:row r="236" ht="22" customHeight="1">
      <x:c r="A236" s="11"/>
      <x:c r="B236" s="9"/>
      <x:c r="C236" s="9"/>
      <x:c r="D236" s="9"/>
      <x:c r="E236" s="9"/>
      <x:c r="F236" s="15"/>
      <x:c r="G236" s="15"/>
      <x:c r="H236" s="17" t="str">
        <x:f>IF(B236="","",IF(NOT(AND(ISNUMBER(F236),ISNUMBER(G236))),"",SUM(F236:G236)))</x:f>
      </x:c>
      <x:c r="I236" s="9"/>
      <x:c r="J236" s="9"/>
      <x:c r="K236" s="9"/>
    </x:row>
    <x:row r="237" ht="22" customHeight="1">
      <x:c r="A237" s="11"/>
      <x:c r="B237" s="9"/>
      <x:c r="C237" s="9"/>
      <x:c r="D237" s="9"/>
      <x:c r="E237" s="9"/>
      <x:c r="F237" s="15"/>
      <x:c r="G237" s="15"/>
      <x:c r="H237" s="17" t="str">
        <x:f>IF(B237="","",IF(NOT(AND(ISNUMBER(F237),ISNUMBER(G237))),"",SUM(F237:G237)))</x:f>
      </x:c>
      <x:c r="I237" s="9"/>
      <x:c r="J237" s="9"/>
      <x:c r="K237" s="9"/>
    </x:row>
    <x:row r="238" ht="22" customHeight="1">
      <x:c r="A238" s="11"/>
      <x:c r="B238" s="9"/>
      <x:c r="C238" s="9"/>
      <x:c r="D238" s="9"/>
      <x:c r="E238" s="9"/>
      <x:c r="F238" s="15"/>
      <x:c r="G238" s="15"/>
      <x:c r="H238" s="17" t="str">
        <x:f>IF(B238="","",IF(NOT(AND(ISNUMBER(F238),ISNUMBER(G238))),"",SUM(F238:G238)))</x:f>
      </x:c>
      <x:c r="I238" s="9"/>
      <x:c r="J238" s="9"/>
      <x:c r="K238" s="9"/>
    </x:row>
    <x:row r="239" ht="22" customHeight="1">
      <x:c r="A239" s="11"/>
      <x:c r="B239" s="9"/>
      <x:c r="C239" s="9"/>
      <x:c r="D239" s="9"/>
      <x:c r="E239" s="9"/>
      <x:c r="F239" s="15"/>
      <x:c r="G239" s="15"/>
      <x:c r="H239" s="17" t="str">
        <x:f>IF(B239="","",IF(NOT(AND(ISNUMBER(F239),ISNUMBER(G239))),"",SUM(F239:G239)))</x:f>
      </x:c>
      <x:c r="I239" s="9"/>
      <x:c r="J239" s="9"/>
      <x:c r="K239" s="9"/>
    </x:row>
    <x:row r="240" ht="22" customHeight="1">
      <x:c r="A240" s="11"/>
      <x:c r="B240" s="9"/>
      <x:c r="C240" s="9"/>
      <x:c r="D240" s="9"/>
      <x:c r="E240" s="9"/>
      <x:c r="F240" s="15"/>
      <x:c r="G240" s="15"/>
      <x:c r="H240" s="17" t="str">
        <x:f>IF(B240="","",IF(NOT(AND(ISNUMBER(F240),ISNUMBER(G240))),"",SUM(F240:G240)))</x:f>
      </x:c>
      <x:c r="I240" s="9"/>
      <x:c r="J240" s="9"/>
      <x:c r="K240" s="9"/>
    </x:row>
    <x:row r="241" ht="22" customHeight="1">
      <x:c r="A241" s="11"/>
      <x:c r="B241" s="9"/>
      <x:c r="C241" s="9"/>
      <x:c r="D241" s="9"/>
      <x:c r="E241" s="9"/>
      <x:c r="F241" s="15"/>
      <x:c r="G241" s="15"/>
      <x:c r="H241" s="17" t="str">
        <x:f>IF(B241="","",IF(NOT(AND(ISNUMBER(F241),ISNUMBER(G241))),"",SUM(F241:G241)))</x:f>
      </x:c>
      <x:c r="I241" s="9"/>
      <x:c r="J241" s="9"/>
      <x:c r="K241" s="9"/>
    </x:row>
    <x:row r="242" ht="22" customHeight="1">
      <x:c r="A242" s="11"/>
      <x:c r="B242" s="9"/>
      <x:c r="C242" s="9"/>
      <x:c r="D242" s="9"/>
      <x:c r="E242" s="9"/>
      <x:c r="F242" s="15"/>
      <x:c r="G242" s="15"/>
      <x:c r="H242" s="17" t="str">
        <x:f>IF(B242="","",IF(NOT(AND(ISNUMBER(F242),ISNUMBER(G242))),"",SUM(F242:G242)))</x:f>
      </x:c>
      <x:c r="I242" s="9"/>
      <x:c r="J242" s="9"/>
      <x:c r="K242" s="9"/>
    </x:row>
    <x:row r="243" ht="22" customHeight="1">
      <x:c r="A243" s="11"/>
      <x:c r="B243" s="9"/>
      <x:c r="C243" s="9"/>
      <x:c r="D243" s="9"/>
      <x:c r="E243" s="9"/>
      <x:c r="F243" s="15"/>
      <x:c r="G243" s="15"/>
      <x:c r="H243" s="17" t="str">
        <x:f>IF(B243="","",IF(NOT(AND(ISNUMBER(F243),ISNUMBER(G243))),"",SUM(F243:G243)))</x:f>
      </x:c>
      <x:c r="I243" s="9"/>
      <x:c r="J243" s="9"/>
      <x:c r="K243" s="9"/>
    </x:row>
    <x:row r="244" ht="22" customHeight="1">
      <x:c r="A244" s="11"/>
      <x:c r="B244" s="9"/>
      <x:c r="C244" s="9"/>
      <x:c r="D244" s="9"/>
      <x:c r="E244" s="9"/>
      <x:c r="F244" s="15"/>
      <x:c r="G244" s="15"/>
      <x:c r="H244" s="17" t="str">
        <x:f>IF(B244="","",IF(NOT(AND(ISNUMBER(F244),ISNUMBER(G244))),"",SUM(F244:G244)))</x:f>
      </x:c>
      <x:c r="I244" s="9"/>
      <x:c r="J244" s="9"/>
      <x:c r="K244" s="9"/>
    </x:row>
    <x:row r="245" ht="22" customHeight="1">
      <x:c r="A245" s="11"/>
      <x:c r="B245" s="9"/>
      <x:c r="C245" s="9"/>
      <x:c r="D245" s="9"/>
      <x:c r="E245" s="9"/>
      <x:c r="F245" s="15"/>
      <x:c r="G245" s="15"/>
      <x:c r="H245" s="17" t="str">
        <x:f>IF(B245="","",IF(NOT(AND(ISNUMBER(F245),ISNUMBER(G245))),"",SUM(F245:G245)))</x:f>
      </x:c>
      <x:c r="I245" s="9"/>
      <x:c r="J245" s="9"/>
      <x:c r="K245" s="9"/>
    </x:row>
    <x:row r="246" ht="22" customHeight="1">
      <x:c r="A246" s="11"/>
      <x:c r="B246" s="9"/>
      <x:c r="C246" s="9"/>
      <x:c r="D246" s="9"/>
      <x:c r="E246" s="9"/>
      <x:c r="F246" s="15"/>
      <x:c r="G246" s="15"/>
      <x:c r="H246" s="17" t="str">
        <x:f>IF(B246="","",IF(NOT(AND(ISNUMBER(F246),ISNUMBER(G246))),"",SUM(F246:G246)))</x:f>
      </x:c>
      <x:c r="I246" s="9"/>
      <x:c r="J246" s="9"/>
      <x:c r="K246" s="9"/>
    </x:row>
    <x:row r="247" ht="22" customHeight="1">
      <x:c r="A247" s="11"/>
      <x:c r="B247" s="9"/>
      <x:c r="C247" s="9"/>
      <x:c r="D247" s="9"/>
      <x:c r="E247" s="9"/>
      <x:c r="F247" s="15"/>
      <x:c r="G247" s="15"/>
      <x:c r="H247" s="17" t="str">
        <x:f>IF(B247="","",IF(NOT(AND(ISNUMBER(F247),ISNUMBER(G247))),"",SUM(F247:G247)))</x:f>
      </x:c>
      <x:c r="I247" s="9"/>
      <x:c r="J247" s="9"/>
      <x:c r="K247" s="9"/>
    </x:row>
    <x:row r="248" ht="22" customHeight="1">
      <x:c r="A248" s="11"/>
      <x:c r="B248" s="9"/>
      <x:c r="C248" s="9"/>
      <x:c r="D248" s="9"/>
      <x:c r="E248" s="9"/>
      <x:c r="F248" s="15"/>
      <x:c r="G248" s="15"/>
      <x:c r="H248" s="17" t="str">
        <x:f>IF(B248="","",IF(NOT(AND(ISNUMBER(F248),ISNUMBER(G248))),"",SUM(F248:G248)))</x:f>
      </x:c>
      <x:c r="I248" s="9"/>
      <x:c r="J248" s="9"/>
      <x:c r="K248" s="9"/>
    </x:row>
    <x:row r="249" ht="22" customHeight="1">
      <x:c r="A249" s="11"/>
      <x:c r="B249" s="9"/>
      <x:c r="C249" s="9"/>
      <x:c r="D249" s="9"/>
      <x:c r="E249" s="9"/>
      <x:c r="F249" s="15"/>
      <x:c r="G249" s="15"/>
      <x:c r="H249" s="17" t="str">
        <x:f>IF(B249="","",IF(NOT(AND(ISNUMBER(F249),ISNUMBER(G249))),"",SUM(F249:G249)))</x:f>
      </x:c>
      <x:c r="I249" s="9"/>
      <x:c r="J249" s="9"/>
      <x:c r="K249" s="9"/>
    </x:row>
    <x:row r="250" ht="22" customHeight="1">
      <x:c r="A250" s="11"/>
      <x:c r="B250" s="9"/>
      <x:c r="C250" s="9"/>
      <x:c r="D250" s="9"/>
      <x:c r="E250" s="9"/>
      <x:c r="F250" s="15"/>
      <x:c r="G250" s="15"/>
      <x:c r="H250" s="17" t="str">
        <x:f>IF(B250="","",IF(NOT(AND(ISNUMBER(F250),ISNUMBER(G250))),"",SUM(F250:G250)))</x:f>
      </x:c>
      <x:c r="I250" s="9"/>
      <x:c r="J250" s="9"/>
      <x:c r="K250" s="9"/>
    </x:row>
    <x:row r="251" ht="22" customHeight="1">
      <x:c r="A251" s="11"/>
      <x:c r="B251" s="9"/>
      <x:c r="C251" s="9"/>
      <x:c r="D251" s="9"/>
      <x:c r="E251" s="9"/>
      <x:c r="F251" s="15"/>
      <x:c r="G251" s="15"/>
      <x:c r="H251" s="17" t="str">
        <x:f>IF(B251="","",IF(NOT(AND(ISNUMBER(F251),ISNUMBER(G251))),"",SUM(F251:G251)))</x:f>
      </x:c>
      <x:c r="I251" s="9"/>
      <x:c r="J251" s="9"/>
      <x:c r="K251" s="9"/>
    </x:row>
    <x:row r="252" ht="22" customHeight="1">
      <x:c r="A252" s="11"/>
      <x:c r="B252" s="9"/>
      <x:c r="C252" s="9"/>
      <x:c r="D252" s="9"/>
      <x:c r="E252" s="9"/>
      <x:c r="F252" s="15"/>
      <x:c r="G252" s="15"/>
      <x:c r="H252" s="17" t="str">
        <x:f>IF(B252="","",IF(NOT(AND(ISNUMBER(F252),ISNUMBER(G252))),"",SUM(F252:G252)))</x:f>
      </x:c>
      <x:c r="I252" s="9"/>
      <x:c r="J252" s="9"/>
      <x:c r="K252" s="9"/>
    </x:row>
    <x:row r="253" ht="22" customHeight="1">
      <x:c r="A253" s="11"/>
      <x:c r="B253" s="9"/>
      <x:c r="C253" s="9"/>
      <x:c r="D253" s="9"/>
      <x:c r="E253" s="9"/>
      <x:c r="F253" s="15"/>
      <x:c r="G253" s="15"/>
      <x:c r="H253" s="17" t="str">
        <x:f>IF(B253="","",IF(NOT(AND(ISNUMBER(F253),ISNUMBER(G253))),"",SUM(F253:G253)))</x:f>
      </x:c>
      <x:c r="I253" s="9"/>
      <x:c r="J253" s="9"/>
      <x:c r="K253" s="9"/>
    </x:row>
    <x:row r="254" ht="22" customHeight="1">
      <x:c r="A254" s="11"/>
      <x:c r="B254" s="9"/>
      <x:c r="C254" s="9"/>
      <x:c r="D254" s="9"/>
      <x:c r="E254" s="9"/>
      <x:c r="F254" s="15"/>
      <x:c r="G254" s="15"/>
      <x:c r="H254" s="17" t="str">
        <x:f>IF(B254="","",IF(NOT(AND(ISNUMBER(F254),ISNUMBER(G254))),"",SUM(F254:G254)))</x:f>
      </x:c>
      <x:c r="I254" s="9"/>
      <x:c r="J254" s="9"/>
      <x:c r="K254" s="9"/>
    </x:row>
    <x:row r="255" ht="22" customHeight="1">
      <x:c r="A255" s="11"/>
      <x:c r="B255" s="9"/>
      <x:c r="C255" s="9"/>
      <x:c r="D255" s="9"/>
      <x:c r="E255" s="9"/>
      <x:c r="F255" s="15"/>
      <x:c r="G255" s="15"/>
      <x:c r="H255" s="17" t="str">
        <x:f>IF(B255="","",IF(NOT(AND(ISNUMBER(F255),ISNUMBER(G255))),"",SUM(F255:G255)))</x:f>
      </x:c>
      <x:c r="I255" s="9"/>
      <x:c r="J255" s="9"/>
      <x:c r="K255" s="9"/>
    </x:row>
    <x:row r="256" ht="22" customHeight="1">
      <x:c r="A256" s="11"/>
      <x:c r="B256" s="9"/>
      <x:c r="C256" s="9"/>
      <x:c r="D256" s="9"/>
      <x:c r="E256" s="9"/>
      <x:c r="F256" s="15"/>
      <x:c r="G256" s="15"/>
      <x:c r="H256" s="17" t="str">
        <x:f>IF(B256="","",IF(NOT(AND(ISNUMBER(F256),ISNUMBER(G256))),"",SUM(F256:G256)))</x:f>
      </x:c>
      <x:c r="I256" s="9"/>
      <x:c r="J256" s="9"/>
      <x:c r="K256" s="9"/>
    </x:row>
    <x:row r="257" ht="22" customHeight="1">
      <x:c r="A257" s="11"/>
      <x:c r="B257" s="9"/>
      <x:c r="C257" s="9"/>
      <x:c r="D257" s="9"/>
      <x:c r="E257" s="9"/>
      <x:c r="F257" s="15"/>
      <x:c r="G257" s="15"/>
      <x:c r="H257" s="17" t="str">
        <x:f>IF(B257="","",IF(NOT(AND(ISNUMBER(F257),ISNUMBER(G257))),"",SUM(F257:G257)))</x:f>
      </x:c>
      <x:c r="I257" s="9"/>
      <x:c r="J257" s="9"/>
      <x:c r="K257" s="9"/>
    </x:row>
    <x:row r="258" ht="22" customHeight="1">
      <x:c r="A258" s="11"/>
      <x:c r="B258" s="9"/>
      <x:c r="C258" s="9"/>
      <x:c r="D258" s="9"/>
      <x:c r="E258" s="9"/>
      <x:c r="F258" s="15"/>
      <x:c r="G258" s="15"/>
      <x:c r="H258" s="17" t="str">
        <x:f>IF(B258="","",IF(NOT(AND(ISNUMBER(F258),ISNUMBER(G258))),"",SUM(F258:G258)))</x:f>
      </x:c>
      <x:c r="I258" s="9"/>
      <x:c r="J258" s="9"/>
      <x:c r="K258" s="9"/>
    </x:row>
    <x:row r="259" ht="22" customHeight="1">
      <x:c r="A259" s="11"/>
      <x:c r="B259" s="9"/>
      <x:c r="C259" s="9"/>
      <x:c r="D259" s="9"/>
      <x:c r="E259" s="9"/>
      <x:c r="F259" s="15"/>
      <x:c r="G259" s="15"/>
      <x:c r="H259" s="17" t="str">
        <x:f>IF(B259="","",IF(NOT(AND(ISNUMBER(F259),ISNUMBER(G259))),"",SUM(F259:G259)))</x:f>
      </x:c>
      <x:c r="I259" s="9"/>
      <x:c r="J259" s="9"/>
      <x:c r="K259" s="9"/>
    </x:row>
    <x:row r="260" ht="22" customHeight="1">
      <x:c r="A260" s="11"/>
      <x:c r="B260" s="9"/>
      <x:c r="C260" s="9"/>
      <x:c r="D260" s="9"/>
      <x:c r="E260" s="9"/>
      <x:c r="F260" s="15"/>
      <x:c r="G260" s="15"/>
      <x:c r="H260" s="17" t="str">
        <x:f>IF(B260="","",IF(NOT(AND(ISNUMBER(F260),ISNUMBER(G260))),"",SUM(F260:G260)))</x:f>
      </x:c>
      <x:c r="I260" s="9"/>
      <x:c r="J260" s="9"/>
      <x:c r="K260" s="9"/>
    </x:row>
    <x:row r="261" ht="22" customHeight="1">
      <x:c r="A261" s="11"/>
      <x:c r="B261" s="9"/>
      <x:c r="C261" s="9"/>
      <x:c r="D261" s="9"/>
      <x:c r="E261" s="9"/>
      <x:c r="F261" s="15"/>
      <x:c r="G261" s="15"/>
      <x:c r="H261" s="17" t="str">
        <x:f>IF(B261="","",IF(NOT(AND(ISNUMBER(F261),ISNUMBER(G261))),"",SUM(F261:G261)))</x:f>
      </x:c>
      <x:c r="I261" s="9"/>
      <x:c r="J261" s="9"/>
      <x:c r="K261" s="9"/>
    </x:row>
    <x:row r="262" ht="22" customHeight="1">
      <x:c r="A262" s="11"/>
      <x:c r="B262" s="9"/>
      <x:c r="C262" s="9"/>
      <x:c r="D262" s="9"/>
      <x:c r="E262" s="9"/>
      <x:c r="F262" s="15"/>
      <x:c r="G262" s="15"/>
      <x:c r="H262" s="17" t="str">
        <x:f>IF(B262="","",IF(NOT(AND(ISNUMBER(F262),ISNUMBER(G262))),"",SUM(F262:G262)))</x:f>
      </x:c>
      <x:c r="I262" s="9"/>
      <x:c r="J262" s="9"/>
      <x:c r="K262" s="9"/>
    </x:row>
    <x:row r="263" ht="22" customHeight="1">
      <x:c r="A263" s="11"/>
      <x:c r="B263" s="9"/>
      <x:c r="C263" s="9"/>
      <x:c r="D263" s="9"/>
      <x:c r="E263" s="9"/>
      <x:c r="F263" s="15"/>
      <x:c r="G263" s="15"/>
      <x:c r="H263" s="17" t="str">
        <x:f>IF(B263="","",IF(NOT(AND(ISNUMBER(F263),ISNUMBER(G263))),"",SUM(F263:G263)))</x:f>
      </x:c>
      <x:c r="I263" s="9"/>
      <x:c r="J263" s="9"/>
      <x:c r="K263" s="9"/>
    </x:row>
    <x:row r="264" ht="22" customHeight="1">
      <x:c r="A264" s="11"/>
      <x:c r="B264" s="9"/>
      <x:c r="C264" s="9"/>
      <x:c r="D264" s="9"/>
      <x:c r="E264" s="9"/>
      <x:c r="F264" s="15"/>
      <x:c r="G264" s="15"/>
      <x:c r="H264" s="17" t="str">
        <x:f>IF(B264="","",IF(NOT(AND(ISNUMBER(F264),ISNUMBER(G264))),"",SUM(F264:G264)))</x:f>
      </x:c>
      <x:c r="I264" s="9"/>
      <x:c r="J264" s="9"/>
      <x:c r="K264" s="9"/>
    </x:row>
    <x:row r="265" ht="22" customHeight="1">
      <x:c r="A265" s="11"/>
      <x:c r="B265" s="9"/>
      <x:c r="C265" s="9"/>
      <x:c r="D265" s="9"/>
      <x:c r="E265" s="9"/>
      <x:c r="F265" s="15"/>
      <x:c r="G265" s="15"/>
      <x:c r="H265" s="17" t="str">
        <x:f>IF(B265="","",IF(NOT(AND(ISNUMBER(F265),ISNUMBER(G265))),"",SUM(F265:G265)))</x:f>
      </x:c>
      <x:c r="I265" s="9"/>
      <x:c r="J265" s="9"/>
      <x:c r="K265" s="9"/>
    </x:row>
    <x:row r="266" ht="22" customHeight="1">
      <x:c r="A266" s="11"/>
      <x:c r="B266" s="9"/>
      <x:c r="C266" s="9"/>
      <x:c r="D266" s="9"/>
      <x:c r="E266" s="9"/>
      <x:c r="F266" s="15"/>
      <x:c r="G266" s="15"/>
      <x:c r="H266" s="17" t="str">
        <x:f>IF(B266="","",IF(NOT(AND(ISNUMBER(F266),ISNUMBER(G266))),"",SUM(F266:G266)))</x:f>
      </x:c>
      <x:c r="I266" s="9"/>
      <x:c r="J266" s="9"/>
      <x:c r="K266" s="9"/>
    </x:row>
    <x:row r="267" ht="22" customHeight="1">
      <x:c r="A267" s="11"/>
      <x:c r="B267" s="9"/>
      <x:c r="C267" s="9"/>
      <x:c r="D267" s="9"/>
      <x:c r="E267" s="9"/>
      <x:c r="F267" s="15"/>
      <x:c r="G267" s="15"/>
      <x:c r="H267" s="17" t="str">
        <x:f>IF(B267="","",IF(NOT(AND(ISNUMBER(F267),ISNUMBER(G267))),"",SUM(F267:G267)))</x:f>
      </x:c>
      <x:c r="I267" s="9"/>
      <x:c r="J267" s="9"/>
      <x:c r="K267" s="9"/>
    </x:row>
    <x:row r="268" ht="22" customHeight="1">
      <x:c r="A268" s="11"/>
      <x:c r="B268" s="9"/>
      <x:c r="C268" s="9"/>
      <x:c r="D268" s="9"/>
      <x:c r="E268" s="9"/>
      <x:c r="F268" s="15"/>
      <x:c r="G268" s="15"/>
      <x:c r="H268" s="17" t="str">
        <x:f>IF(B268="","",IF(NOT(AND(ISNUMBER(F268),ISNUMBER(G268))),"",SUM(F268:G268)))</x:f>
      </x:c>
      <x:c r="I268" s="9"/>
      <x:c r="J268" s="9"/>
      <x:c r="K268" s="9"/>
    </x:row>
    <x:row r="269" ht="22" customHeight="1">
      <x:c r="A269" s="11"/>
      <x:c r="B269" s="9"/>
      <x:c r="C269" s="9"/>
      <x:c r="D269" s="9"/>
      <x:c r="E269" s="9"/>
      <x:c r="F269" s="15"/>
      <x:c r="G269" s="15"/>
      <x:c r="H269" s="17" t="str">
        <x:f>IF(B269="","",IF(NOT(AND(ISNUMBER(F269),ISNUMBER(G269))),"",SUM(F269:G269)))</x:f>
      </x:c>
      <x:c r="I269" s="9"/>
      <x:c r="J269" s="9"/>
      <x:c r="K269" s="9"/>
    </x:row>
    <x:row r="270" ht="22" customHeight="1">
      <x:c r="A270" s="11"/>
      <x:c r="B270" s="9"/>
      <x:c r="C270" s="9"/>
      <x:c r="D270" s="9"/>
      <x:c r="E270" s="9"/>
      <x:c r="F270" s="15"/>
      <x:c r="G270" s="15"/>
      <x:c r="H270" s="17" t="str">
        <x:f>IF(B270="","",IF(NOT(AND(ISNUMBER(F270),ISNUMBER(G270))),"",SUM(F270:G270)))</x:f>
      </x:c>
      <x:c r="I270" s="9"/>
      <x:c r="J270" s="9"/>
      <x:c r="K270" s="9"/>
    </x:row>
    <x:row r="271" ht="22" customHeight="1">
      <x:c r="A271" s="11"/>
      <x:c r="B271" s="9"/>
      <x:c r="C271" s="9"/>
      <x:c r="D271" s="9"/>
      <x:c r="E271" s="9"/>
      <x:c r="F271" s="15"/>
      <x:c r="G271" s="15"/>
      <x:c r="H271" s="17" t="str">
        <x:f>IF(B271="","",IF(NOT(AND(ISNUMBER(F271),ISNUMBER(G271))),"",SUM(F271:G271)))</x:f>
      </x:c>
      <x:c r="I271" s="9"/>
      <x:c r="J271" s="9"/>
      <x:c r="K271" s="9"/>
    </x:row>
    <x:row r="272" ht="22" customHeight="1">
      <x:c r="A272" s="11"/>
      <x:c r="B272" s="9"/>
      <x:c r="C272" s="9"/>
      <x:c r="D272" s="9"/>
      <x:c r="E272" s="9"/>
      <x:c r="F272" s="15"/>
      <x:c r="G272" s="15"/>
      <x:c r="H272" s="17" t="str">
        <x:f>IF(B272="","",IF(NOT(AND(ISNUMBER(F272),ISNUMBER(G272))),"",SUM(F272:G272)))</x:f>
      </x:c>
      <x:c r="I272" s="9"/>
      <x:c r="J272" s="9"/>
      <x:c r="K272" s="9"/>
    </x:row>
    <x:row r="273" ht="22" customHeight="1">
      <x:c r="A273" s="11"/>
      <x:c r="B273" s="9"/>
      <x:c r="C273" s="9"/>
      <x:c r="D273" s="9"/>
      <x:c r="E273" s="9"/>
      <x:c r="F273" s="15"/>
      <x:c r="G273" s="15"/>
      <x:c r="H273" s="17" t="str">
        <x:f>IF(B273="","",IF(NOT(AND(ISNUMBER(F273),ISNUMBER(G273))),"",SUM(F273:G273)))</x:f>
      </x:c>
      <x:c r="I273" s="9"/>
      <x:c r="J273" s="9"/>
      <x:c r="K273" s="9"/>
    </x:row>
    <x:row r="274" ht="22" customHeight="1">
      <x:c r="A274" s="11"/>
      <x:c r="B274" s="9"/>
      <x:c r="C274" s="9"/>
      <x:c r="D274" s="9"/>
      <x:c r="E274" s="9"/>
      <x:c r="F274" s="15"/>
      <x:c r="G274" s="15"/>
      <x:c r="H274" s="17" t="str">
        <x:f>IF(B274="","",IF(NOT(AND(ISNUMBER(F274),ISNUMBER(G274))),"",SUM(F274:G274)))</x:f>
      </x:c>
      <x:c r="I274" s="9"/>
      <x:c r="J274" s="9"/>
      <x:c r="K274" s="9"/>
    </x:row>
    <x:row r="275" ht="22" customHeight="1">
      <x:c r="A275" s="11"/>
      <x:c r="B275" s="9"/>
      <x:c r="C275" s="9"/>
      <x:c r="D275" s="9"/>
      <x:c r="E275" s="9"/>
      <x:c r="F275" s="15"/>
      <x:c r="G275" s="15"/>
      <x:c r="H275" s="17" t="str">
        <x:f>IF(B275="","",IF(NOT(AND(ISNUMBER(F275),ISNUMBER(G275))),"",SUM(F275:G275)))</x:f>
      </x:c>
      <x:c r="I275" s="9"/>
      <x:c r="J275" s="9"/>
      <x:c r="K275" s="9"/>
    </x:row>
    <x:row r="276" ht="22" customHeight="1">
      <x:c r="A276" s="11"/>
      <x:c r="B276" s="9"/>
      <x:c r="C276" s="9"/>
      <x:c r="D276" s="9"/>
      <x:c r="E276" s="9"/>
      <x:c r="F276" s="15"/>
      <x:c r="G276" s="15"/>
      <x:c r="H276" s="17" t="str">
        <x:f>IF(B276="","",IF(NOT(AND(ISNUMBER(F276),ISNUMBER(G276))),"",SUM(F276:G276)))</x:f>
      </x:c>
      <x:c r="I276" s="9"/>
      <x:c r="J276" s="9"/>
      <x:c r="K276" s="9"/>
    </x:row>
    <x:row r="277" ht="22" customHeight="1">
      <x:c r="A277" s="11"/>
      <x:c r="B277" s="9"/>
      <x:c r="C277" s="9"/>
      <x:c r="D277" s="9"/>
      <x:c r="E277" s="9"/>
      <x:c r="F277" s="15"/>
      <x:c r="G277" s="15"/>
      <x:c r="H277" s="17" t="str">
        <x:f>IF(B277="","",IF(NOT(AND(ISNUMBER(F277),ISNUMBER(G277))),"",SUM(F277:G277)))</x:f>
      </x:c>
      <x:c r="I277" s="9"/>
      <x:c r="J277" s="9"/>
      <x:c r="K277" s="9"/>
    </x:row>
    <x:row r="278" ht="22" customHeight="1">
      <x:c r="A278" s="11"/>
      <x:c r="B278" s="9"/>
      <x:c r="C278" s="9"/>
      <x:c r="D278" s="9"/>
      <x:c r="E278" s="9"/>
      <x:c r="F278" s="15"/>
      <x:c r="G278" s="15"/>
      <x:c r="H278" s="17" t="str">
        <x:f>IF(B278="","",IF(NOT(AND(ISNUMBER(F278),ISNUMBER(G278))),"",SUM(F278:G278)))</x:f>
      </x:c>
      <x:c r="I278" s="9"/>
      <x:c r="J278" s="9"/>
      <x:c r="K278" s="9"/>
    </x:row>
    <x:row r="279" ht="22" customHeight="1">
      <x:c r="A279" s="11"/>
      <x:c r="B279" s="9"/>
      <x:c r="C279" s="9"/>
      <x:c r="D279" s="9"/>
      <x:c r="E279" s="9"/>
      <x:c r="F279" s="15"/>
      <x:c r="G279" s="15"/>
      <x:c r="H279" s="17" t="str">
        <x:f>IF(B279="","",IF(NOT(AND(ISNUMBER(F279),ISNUMBER(G279))),"",SUM(F279:G279)))</x:f>
      </x:c>
      <x:c r="I279" s="9"/>
      <x:c r="J279" s="9"/>
      <x:c r="K279" s="9"/>
    </x:row>
    <x:row r="280" ht="22" customHeight="1">
      <x:c r="A280" s="11"/>
      <x:c r="B280" s="9"/>
      <x:c r="C280" s="9"/>
      <x:c r="D280" s="9"/>
      <x:c r="E280" s="9"/>
      <x:c r="F280" s="15"/>
      <x:c r="G280" s="15"/>
      <x:c r="H280" s="17" t="str">
        <x:f>IF(B280="","",IF(NOT(AND(ISNUMBER(F280),ISNUMBER(G280))),"",SUM(F280:G280)))</x:f>
      </x:c>
      <x:c r="I280" s="9"/>
      <x:c r="J280" s="9"/>
      <x:c r="K280" s="9"/>
    </x:row>
    <x:row r="281" ht="22" customHeight="1">
      <x:c r="A281" s="11"/>
      <x:c r="B281" s="9"/>
      <x:c r="C281" s="9"/>
      <x:c r="D281" s="9"/>
      <x:c r="E281" s="9"/>
      <x:c r="F281" s="15"/>
      <x:c r="G281" s="15"/>
      <x:c r="H281" s="17" t="str">
        <x:f>IF(B281="","",IF(NOT(AND(ISNUMBER(F281),ISNUMBER(G281))),"",SUM(F281:G281)))</x:f>
      </x:c>
      <x:c r="I281" s="9"/>
      <x:c r="J281" s="9"/>
      <x:c r="K281" s="9"/>
    </x:row>
    <x:row r="282" ht="22" customHeight="1">
      <x:c r="A282" s="11"/>
      <x:c r="B282" s="9"/>
      <x:c r="C282" s="9"/>
      <x:c r="D282" s="9"/>
      <x:c r="E282" s="9"/>
      <x:c r="F282" s="15"/>
      <x:c r="G282" s="15"/>
      <x:c r="H282" s="17" t="str">
        <x:f>IF(B282="","",IF(NOT(AND(ISNUMBER(F282),ISNUMBER(G282))),"",SUM(F282:G282)))</x:f>
      </x:c>
      <x:c r="I282" s="9"/>
      <x:c r="J282" s="9"/>
      <x:c r="K282" s="9"/>
    </x:row>
    <x:row r="283" ht="22" customHeight="1">
      <x:c r="A283" s="11"/>
      <x:c r="B283" s="9"/>
      <x:c r="C283" s="9"/>
      <x:c r="D283" s="9"/>
      <x:c r="E283" s="9"/>
      <x:c r="F283" s="15"/>
      <x:c r="G283" s="15"/>
      <x:c r="H283" s="17" t="str">
        <x:f>IF(B283="","",IF(NOT(AND(ISNUMBER(F283),ISNUMBER(G283))),"",SUM(F283:G283)))</x:f>
      </x:c>
      <x:c r="I283" s="9"/>
      <x:c r="J283" s="9"/>
      <x:c r="K283" s="9"/>
    </x:row>
    <x:row r="284" ht="22" customHeight="1">
      <x:c r="A284" s="11"/>
      <x:c r="B284" s="9"/>
      <x:c r="C284" s="9"/>
      <x:c r="D284" s="9"/>
      <x:c r="E284" s="9"/>
      <x:c r="F284" s="15"/>
      <x:c r="G284" s="15"/>
      <x:c r="H284" s="17" t="str">
        <x:f>IF(B284="","",IF(NOT(AND(ISNUMBER(F284),ISNUMBER(G284))),"",SUM(F284:G284)))</x:f>
      </x:c>
      <x:c r="I284" s="9"/>
      <x:c r="J284" s="9"/>
      <x:c r="K284" s="9"/>
    </x:row>
    <x:row r="285" ht="22" customHeight="1">
      <x:c r="A285" s="11"/>
      <x:c r="B285" s="9"/>
      <x:c r="C285" s="9"/>
      <x:c r="D285" s="9"/>
      <x:c r="E285" s="9"/>
      <x:c r="F285" s="15"/>
      <x:c r="G285" s="15"/>
      <x:c r="H285" s="17" t="str">
        <x:f>IF(B285="","",IF(NOT(AND(ISNUMBER(F285),ISNUMBER(G285))),"",SUM(F285:G285)))</x:f>
      </x:c>
      <x:c r="I285" s="9"/>
      <x:c r="J285" s="9"/>
      <x:c r="K285" s="9"/>
    </x:row>
    <x:row r="286" ht="22" customHeight="1">
      <x:c r="A286" s="11"/>
      <x:c r="B286" s="9"/>
      <x:c r="C286" s="9"/>
      <x:c r="D286" s="9"/>
      <x:c r="E286" s="9"/>
      <x:c r="F286" s="15"/>
      <x:c r="G286" s="15"/>
      <x:c r="H286" s="17" t="str">
        <x:f>IF(B286="","",IF(NOT(AND(ISNUMBER(F286),ISNUMBER(G286))),"",SUM(F286:G286)))</x:f>
      </x:c>
      <x:c r="I286" s="9"/>
      <x:c r="J286" s="9"/>
      <x:c r="K286" s="9"/>
    </x:row>
    <x:row r="287" ht="22" customHeight="1">
      <x:c r="A287" s="11"/>
      <x:c r="B287" s="9"/>
      <x:c r="C287" s="9"/>
      <x:c r="D287" s="9"/>
      <x:c r="E287" s="9"/>
      <x:c r="F287" s="15"/>
      <x:c r="G287" s="15"/>
      <x:c r="H287" s="17" t="str">
        <x:f>IF(B287="","",IF(NOT(AND(ISNUMBER(F287),ISNUMBER(G287))),"",SUM(F287:G287)))</x:f>
      </x:c>
      <x:c r="I287" s="9"/>
      <x:c r="J287" s="9"/>
      <x:c r="K287" s="9"/>
    </x:row>
    <x:row r="288" ht="22" customHeight="1">
      <x:c r="A288" s="11"/>
      <x:c r="B288" s="9"/>
      <x:c r="C288" s="9"/>
      <x:c r="D288" s="9"/>
      <x:c r="E288" s="9"/>
      <x:c r="F288" s="15"/>
      <x:c r="G288" s="15"/>
      <x:c r="H288" s="17" t="str">
        <x:f>IF(B288="","",IF(NOT(AND(ISNUMBER(F288),ISNUMBER(G288))),"",SUM(F288:G288)))</x:f>
      </x:c>
      <x:c r="I288" s="9"/>
      <x:c r="J288" s="9"/>
      <x:c r="K288" s="9"/>
    </x:row>
    <x:row r="289" ht="22" customHeight="1">
      <x:c r="A289" s="11"/>
      <x:c r="B289" s="9"/>
      <x:c r="C289" s="9"/>
      <x:c r="D289" s="9"/>
      <x:c r="E289" s="9"/>
      <x:c r="F289" s="15"/>
      <x:c r="G289" s="15"/>
      <x:c r="H289" s="17" t="str">
        <x:f>IF(B289="","",IF(NOT(AND(ISNUMBER(F289),ISNUMBER(G289))),"",SUM(F289:G289)))</x:f>
      </x:c>
      <x:c r="I289" s="9"/>
      <x:c r="J289" s="9"/>
      <x:c r="K289" s="9"/>
    </x:row>
    <x:row r="290" ht="22" customHeight="1">
      <x:c r="A290" s="11"/>
      <x:c r="B290" s="9"/>
      <x:c r="C290" s="9"/>
      <x:c r="D290" s="9"/>
      <x:c r="E290" s="9"/>
      <x:c r="F290" s="15"/>
      <x:c r="G290" s="15"/>
      <x:c r="H290" s="17" t="str">
        <x:f>IF(B290="","",IF(NOT(AND(ISNUMBER(F290),ISNUMBER(G290))),"",SUM(F290:G290)))</x:f>
      </x:c>
      <x:c r="I290" s="9"/>
      <x:c r="J290" s="9"/>
      <x:c r="K290" s="9"/>
    </x:row>
    <x:row r="291" ht="22" customHeight="1">
      <x:c r="A291" s="11"/>
      <x:c r="B291" s="9"/>
      <x:c r="C291" s="9"/>
      <x:c r="D291" s="9"/>
      <x:c r="E291" s="9"/>
      <x:c r="F291" s="15"/>
      <x:c r="G291" s="15"/>
      <x:c r="H291" s="17" t="str">
        <x:f>IF(B291="","",IF(NOT(AND(ISNUMBER(F291),ISNUMBER(G291))),"",SUM(F291:G291)))</x:f>
      </x:c>
      <x:c r="I291" s="9"/>
      <x:c r="J291" s="9"/>
      <x:c r="K291" s="9"/>
    </x:row>
    <x:row r="292" ht="22" customHeight="1">
      <x:c r="A292" s="11"/>
      <x:c r="B292" s="9"/>
      <x:c r="C292" s="9"/>
      <x:c r="D292" s="9"/>
      <x:c r="E292" s="9"/>
      <x:c r="F292" s="15"/>
      <x:c r="G292" s="15"/>
      <x:c r="H292" s="17" t="str">
        <x:f>IF(B292="","",IF(NOT(AND(ISNUMBER(F292),ISNUMBER(G292))),"",SUM(F292:G292)))</x:f>
      </x:c>
      <x:c r="I292" s="9"/>
      <x:c r="J292" s="9"/>
      <x:c r="K292" s="9"/>
    </x:row>
    <x:row r="293" ht="22" customHeight="1">
      <x:c r="A293" s="11"/>
      <x:c r="B293" s="9"/>
      <x:c r="C293" s="9"/>
      <x:c r="D293" s="9"/>
      <x:c r="E293" s="9"/>
      <x:c r="F293" s="15"/>
      <x:c r="G293" s="15"/>
      <x:c r="H293" s="17" t="str">
        <x:f>IF(B293="","",IF(NOT(AND(ISNUMBER(F293),ISNUMBER(G293))),"",SUM(F293:G293)))</x:f>
      </x:c>
      <x:c r="I293" s="9"/>
      <x:c r="J293" s="9"/>
      <x:c r="K293" s="9"/>
    </x:row>
    <x:row r="294" ht="22" customHeight="1">
      <x:c r="A294" s="11"/>
      <x:c r="B294" s="9"/>
      <x:c r="C294" s="9"/>
      <x:c r="D294" s="9"/>
      <x:c r="E294" s="9"/>
      <x:c r="F294" s="15"/>
      <x:c r="G294" s="15"/>
      <x:c r="H294" s="17" t="str">
        <x:f>IF(B294="","",IF(NOT(AND(ISNUMBER(F294),ISNUMBER(G294))),"",SUM(F294:G294)))</x:f>
      </x:c>
      <x:c r="I294" s="9"/>
      <x:c r="J294" s="9"/>
      <x:c r="K294" s="9"/>
    </x:row>
    <x:row r="295" ht="22" customHeight="1">
      <x:c r="A295" s="11"/>
      <x:c r="B295" s="9"/>
      <x:c r="C295" s="9"/>
      <x:c r="D295" s="9"/>
      <x:c r="E295" s="9"/>
      <x:c r="F295" s="15"/>
      <x:c r="G295" s="15"/>
      <x:c r="H295" s="17" t="str">
        <x:f>IF(B295="","",IF(NOT(AND(ISNUMBER(F295),ISNUMBER(G295))),"",SUM(F295:G295)))</x:f>
      </x:c>
      <x:c r="I295" s="9"/>
      <x:c r="J295" s="9"/>
      <x:c r="K295" s="9"/>
    </x:row>
    <x:row r="296" ht="22" customHeight="1">
      <x:c r="A296" s="11"/>
      <x:c r="B296" s="9"/>
      <x:c r="C296" s="9"/>
      <x:c r="D296" s="9"/>
      <x:c r="E296" s="9"/>
      <x:c r="F296" s="15"/>
      <x:c r="G296" s="15"/>
      <x:c r="H296" s="17" t="str">
        <x:f>IF(B296="","",IF(NOT(AND(ISNUMBER(F296),ISNUMBER(G296))),"",SUM(F296:G296)))</x:f>
      </x:c>
      <x:c r="I296" s="9"/>
      <x:c r="J296" s="9"/>
      <x:c r="K296" s="9"/>
    </x:row>
    <x:row r="297" ht="22" customHeight="1">
      <x:c r="A297" s="11"/>
      <x:c r="B297" s="9"/>
      <x:c r="C297" s="9"/>
      <x:c r="D297" s="9"/>
      <x:c r="E297" s="9"/>
      <x:c r="F297" s="15"/>
      <x:c r="G297" s="15"/>
      <x:c r="H297" s="17" t="str">
        <x:f>IF(B297="","",IF(NOT(AND(ISNUMBER(F297),ISNUMBER(G297))),"",SUM(F297:G297)))</x:f>
      </x:c>
      <x:c r="I297" s="9"/>
      <x:c r="J297" s="9"/>
      <x:c r="K297" s="9"/>
    </x:row>
    <x:row r="298" ht="22" customHeight="1">
      <x:c r="A298" s="11"/>
      <x:c r="B298" s="9"/>
      <x:c r="C298" s="9"/>
      <x:c r="D298" s="9"/>
      <x:c r="E298" s="9"/>
      <x:c r="F298" s="15"/>
      <x:c r="G298" s="15"/>
      <x:c r="H298" s="17" t="str">
        <x:f>IF(B298="","",IF(NOT(AND(ISNUMBER(F298),ISNUMBER(G298))),"",SUM(F298:G298)))</x:f>
      </x:c>
      <x:c r="I298" s="9"/>
      <x:c r="J298" s="9"/>
      <x:c r="K298" s="9"/>
    </x:row>
    <x:row r="299" ht="22" customHeight="1">
      <x:c r="A299" s="11"/>
      <x:c r="B299" s="9"/>
      <x:c r="C299" s="9"/>
      <x:c r="D299" s="9"/>
      <x:c r="E299" s="9"/>
      <x:c r="F299" s="15"/>
      <x:c r="G299" s="15"/>
      <x:c r="H299" s="17" t="str">
        <x:f>IF(B299="","",IF(NOT(AND(ISNUMBER(F299),ISNUMBER(G299))),"",SUM(F299:G299)))</x:f>
      </x:c>
      <x:c r="I299" s="9"/>
      <x:c r="J299" s="9"/>
      <x:c r="K299" s="9"/>
    </x:row>
    <x:row r="300" ht="22" customHeight="1">
      <x:c r="A300" s="11"/>
      <x:c r="B300" s="9"/>
      <x:c r="C300" s="9"/>
      <x:c r="D300" s="9"/>
      <x:c r="E300" s="9"/>
      <x:c r="F300" s="15"/>
      <x:c r="G300" s="15"/>
      <x:c r="H300" s="17" t="str">
        <x:f>IF(B300="","",IF(NOT(AND(ISNUMBER(F300),ISNUMBER(G300))),"",SUM(F300:G300)))</x:f>
      </x:c>
      <x:c r="I300" s="9"/>
      <x:c r="J300" s="9"/>
      <x:c r="K300" s="9"/>
    </x:row>
    <x:row r="301" ht="22" customHeight="1">
      <x:c r="A301" s="11"/>
      <x:c r="B301" s="9"/>
      <x:c r="C301" s="9"/>
      <x:c r="D301" s="9"/>
      <x:c r="E301" s="9"/>
      <x:c r="F301" s="15"/>
      <x:c r="G301" s="15"/>
      <x:c r="H301" s="17" t="str">
        <x:f>IF(B301="","",IF(NOT(AND(ISNUMBER(F301),ISNUMBER(G301))),"",SUM(F301:G301)))</x:f>
      </x:c>
      <x:c r="I301" s="9"/>
      <x:c r="J301" s="9"/>
      <x:c r="K301" s="9"/>
    </x:row>
    <x:row r="302" ht="22" customHeight="1">
      <x:c r="A302" s="11"/>
      <x:c r="B302" s="9"/>
      <x:c r="C302" s="9"/>
      <x:c r="D302" s="9"/>
      <x:c r="E302" s="9"/>
      <x:c r="F302" s="15"/>
      <x:c r="G302" s="15"/>
      <x:c r="H302" s="17" t="str">
        <x:f>IF(B302="","",IF(NOT(AND(ISNUMBER(F302),ISNUMBER(G302))),"",SUM(F302:G302)))</x:f>
      </x:c>
      <x:c r="I302" s="9"/>
      <x:c r="J302" s="9"/>
      <x:c r="K302" s="9"/>
    </x:row>
    <x:row r="303" ht="22" customHeight="1">
      <x:c r="A303" s="11"/>
      <x:c r="B303" s="9"/>
      <x:c r="C303" s="9"/>
      <x:c r="D303" s="9"/>
      <x:c r="E303" s="9"/>
      <x:c r="F303" s="15"/>
      <x:c r="G303" s="15"/>
      <x:c r="H303" s="17" t="str">
        <x:f>IF(B303="","",IF(NOT(AND(ISNUMBER(F303),ISNUMBER(G303))),"",SUM(F303:G303)))</x:f>
      </x:c>
      <x:c r="I303" s="9"/>
      <x:c r="J303" s="9"/>
      <x:c r="K303" s="9"/>
    </x:row>
    <x:row r="304" ht="22" customHeight="1">
      <x:c r="A304" s="11"/>
      <x:c r="B304" s="9"/>
      <x:c r="C304" s="9"/>
      <x:c r="D304" s="9"/>
      <x:c r="E304" s="9"/>
      <x:c r="F304" s="15"/>
      <x:c r="G304" s="15"/>
      <x:c r="H304" s="17" t="str">
        <x:f>IF(B304="","",IF(NOT(AND(ISNUMBER(F304),ISNUMBER(G304))),"",SUM(F304:G304)))</x:f>
      </x:c>
      <x:c r="I304" s="9"/>
      <x:c r="J304" s="9"/>
      <x:c r="K304" s="9"/>
    </x:row>
    <x:row r="305" ht="22" customHeight="1">
      <x:c r="A305" s="11"/>
      <x:c r="B305" s="9"/>
      <x:c r="C305" s="9"/>
      <x:c r="D305" s="9"/>
      <x:c r="E305" s="9"/>
      <x:c r="F305" s="15"/>
      <x:c r="G305" s="15"/>
      <x:c r="H305" s="17" t="str">
        <x:f>IF(B305="","",IF(NOT(AND(ISNUMBER(F305),ISNUMBER(G305))),"",SUM(F305:G305)))</x:f>
      </x:c>
      <x:c r="I305" s="9"/>
      <x:c r="J305" s="9"/>
      <x:c r="K305" s="9"/>
    </x:row>
    <x:row r="306" ht="22" customHeight="1">
      <x:c r="A306" s="11"/>
      <x:c r="B306" s="9"/>
      <x:c r="C306" s="9"/>
      <x:c r="D306" s="9"/>
      <x:c r="E306" s="9"/>
      <x:c r="F306" s="15"/>
      <x:c r="G306" s="15"/>
      <x:c r="H306" s="17" t="str">
        <x:f>IF(B306="","",IF(NOT(AND(ISNUMBER(F306),ISNUMBER(G306))),"",SUM(F306:G306)))</x:f>
      </x:c>
      <x:c r="I306" s="9"/>
      <x:c r="J306" s="9"/>
      <x:c r="K306" s="9"/>
    </x:row>
    <x:row r="307" ht="22" customHeight="1">
      <x:c r="A307" s="11"/>
      <x:c r="B307" s="9"/>
      <x:c r="C307" s="9"/>
      <x:c r="D307" s="9"/>
      <x:c r="E307" s="9"/>
      <x:c r="F307" s="15"/>
      <x:c r="G307" s="15"/>
      <x:c r="H307" s="17" t="str">
        <x:f>IF(B307="","",IF(NOT(AND(ISNUMBER(F307),ISNUMBER(G307))),"",SUM(F307:G307)))</x:f>
      </x:c>
      <x:c r="I307" s="9"/>
      <x:c r="J307" s="9"/>
      <x:c r="K307" s="9"/>
    </x:row>
    <x:row r="308" ht="22" customHeight="1">
      <x:c r="A308" s="11"/>
      <x:c r="B308" s="9"/>
      <x:c r="C308" s="9"/>
      <x:c r="D308" s="9"/>
      <x:c r="E308" s="9"/>
      <x:c r="F308" s="15"/>
      <x:c r="G308" s="15"/>
      <x:c r="H308" s="17" t="str">
        <x:f>IF(B308="","",IF(NOT(AND(ISNUMBER(F308),ISNUMBER(G308))),"",SUM(F308:G308)))</x:f>
      </x:c>
      <x:c r="I308" s="9"/>
      <x:c r="J308" s="9"/>
      <x:c r="K308" s="9"/>
    </x:row>
    <x:row r="309" ht="22" customHeight="1">
      <x:c r="A309" s="11"/>
      <x:c r="B309" s="9"/>
      <x:c r="C309" s="9"/>
      <x:c r="D309" s="9"/>
      <x:c r="E309" s="9"/>
      <x:c r="F309" s="15"/>
      <x:c r="G309" s="15"/>
      <x:c r="H309" s="17" t="str">
        <x:f>IF(B309="","",IF(NOT(AND(ISNUMBER(F309),ISNUMBER(G309))),"",SUM(F309:G309)))</x:f>
      </x:c>
      <x:c r="I309" s="9"/>
      <x:c r="J309" s="9"/>
      <x:c r="K309" s="9"/>
    </x:row>
    <x:row r="310" ht="22" customHeight="1">
      <x:c r="A310" s="11"/>
      <x:c r="B310" s="9"/>
      <x:c r="C310" s="9"/>
      <x:c r="D310" s="9"/>
      <x:c r="E310" s="9"/>
      <x:c r="F310" s="15"/>
      <x:c r="G310" s="15"/>
      <x:c r="H310" s="17" t="str">
        <x:f>IF(B310="","",IF(NOT(AND(ISNUMBER(F310),ISNUMBER(G310))),"",SUM(F310:G310)))</x:f>
      </x:c>
      <x:c r="I310" s="9"/>
      <x:c r="J310" s="9"/>
      <x:c r="K310" s="9"/>
    </x:row>
    <x:row r="311" ht="22" customHeight="1">
      <x:c r="A311" s="11"/>
      <x:c r="B311" s="9"/>
      <x:c r="C311" s="9"/>
      <x:c r="D311" s="9"/>
      <x:c r="E311" s="9"/>
      <x:c r="F311" s="15"/>
      <x:c r="G311" s="15"/>
      <x:c r="H311" s="17" t="str">
        <x:f>IF(B311="","",IF(NOT(AND(ISNUMBER(F311),ISNUMBER(G311))),"",SUM(F311:G311)))</x:f>
      </x:c>
      <x:c r="I311" s="9"/>
      <x:c r="J311" s="9"/>
      <x:c r="K311" s="9"/>
    </x:row>
    <x:row r="312" ht="22" customHeight="1">
      <x:c r="A312" s="11"/>
      <x:c r="B312" s="9"/>
      <x:c r="C312" s="9"/>
      <x:c r="D312" s="9"/>
      <x:c r="E312" s="9"/>
      <x:c r="F312" s="15"/>
      <x:c r="G312" s="15"/>
      <x:c r="H312" s="17" t="str">
        <x:f>IF(B312="","",IF(NOT(AND(ISNUMBER(F312),ISNUMBER(G312))),"",SUM(F312:G312)))</x:f>
      </x:c>
      <x:c r="I312" s="9"/>
      <x:c r="J312" s="9"/>
      <x:c r="K312" s="9"/>
    </x:row>
    <x:row r="313" ht="22" customHeight="1">
      <x:c r="A313" s="11"/>
      <x:c r="B313" s="9"/>
      <x:c r="C313" s="9"/>
      <x:c r="D313" s="9"/>
      <x:c r="E313" s="9"/>
      <x:c r="F313" s="15"/>
      <x:c r="G313" s="15"/>
      <x:c r="H313" s="17" t="str">
        <x:f>IF(B313="","",IF(NOT(AND(ISNUMBER(F313),ISNUMBER(G313))),"",SUM(F313:G313)))</x:f>
      </x:c>
      <x:c r="I313" s="9"/>
      <x:c r="J313" s="9"/>
      <x:c r="K313" s="9"/>
    </x:row>
    <x:row r="314" ht="22" customHeight="1">
      <x:c r="A314" s="11"/>
      <x:c r="B314" s="9"/>
      <x:c r="C314" s="9"/>
      <x:c r="D314" s="9"/>
      <x:c r="E314" s="9"/>
      <x:c r="F314" s="15"/>
      <x:c r="G314" s="15"/>
      <x:c r="H314" s="17" t="str">
        <x:f>IF(B314="","",IF(NOT(AND(ISNUMBER(F314),ISNUMBER(G314))),"",SUM(F314:G314)))</x:f>
      </x:c>
      <x:c r="I314" s="9"/>
      <x:c r="J314" s="9"/>
      <x:c r="K314" s="9"/>
    </x:row>
    <x:row r="315" ht="22" customHeight="1">
      <x:c r="A315" s="11"/>
      <x:c r="B315" s="9"/>
      <x:c r="C315" s="9"/>
      <x:c r="D315" s="9"/>
      <x:c r="E315" s="9"/>
      <x:c r="F315" s="15"/>
      <x:c r="G315" s="15"/>
      <x:c r="H315" s="17" t="str">
        <x:f>IF(B315="","",IF(NOT(AND(ISNUMBER(F315),ISNUMBER(G315))),"",SUM(F315:G315)))</x:f>
      </x:c>
      <x:c r="I315" s="9"/>
      <x:c r="J315" s="9"/>
      <x:c r="K315" s="9"/>
    </x:row>
    <x:row r="316" ht="22" customHeight="1">
      <x:c r="A316" s="11"/>
      <x:c r="B316" s="9"/>
      <x:c r="C316" s="9"/>
      <x:c r="D316" s="9"/>
      <x:c r="E316" s="9"/>
      <x:c r="F316" s="15"/>
      <x:c r="G316" s="15"/>
      <x:c r="H316" s="17" t="str">
        <x:f>IF(B316="","",IF(NOT(AND(ISNUMBER(F316),ISNUMBER(G316))),"",SUM(F316:G316)))</x:f>
      </x:c>
      <x:c r="I316" s="9"/>
      <x:c r="J316" s="9"/>
      <x:c r="K316" s="9"/>
    </x:row>
    <x:row r="317" ht="22" customHeight="1">
      <x:c r="A317" s="11"/>
      <x:c r="B317" s="9"/>
      <x:c r="C317" s="9"/>
      <x:c r="D317" s="9"/>
      <x:c r="E317" s="9"/>
      <x:c r="F317" s="15"/>
      <x:c r="G317" s="15"/>
      <x:c r="H317" s="17" t="str">
        <x:f>IF(B317="","",IF(NOT(AND(ISNUMBER(F317),ISNUMBER(G317))),"",SUM(F317:G317)))</x:f>
      </x:c>
      <x:c r="I317" s="9"/>
      <x:c r="J317" s="9"/>
      <x:c r="K317" s="9"/>
    </x:row>
    <x:row r="318" ht="22" customHeight="1">
      <x:c r="A318" s="11"/>
      <x:c r="B318" s="9"/>
      <x:c r="C318" s="9"/>
      <x:c r="D318" s="9"/>
      <x:c r="E318" s="9"/>
      <x:c r="F318" s="15"/>
      <x:c r="G318" s="15"/>
      <x:c r="H318" s="17" t="str">
        <x:f>IF(B318="","",IF(NOT(AND(ISNUMBER(F318),ISNUMBER(G318))),"",SUM(F318:G318)))</x:f>
      </x:c>
      <x:c r="I318" s="9"/>
      <x:c r="J318" s="9"/>
      <x:c r="K318" s="9"/>
    </x:row>
    <x:row r="319" ht="22" customHeight="1">
      <x:c r="A319" s="11"/>
      <x:c r="B319" s="9"/>
      <x:c r="C319" s="9"/>
      <x:c r="D319" s="9"/>
      <x:c r="E319" s="9"/>
      <x:c r="F319" s="15"/>
      <x:c r="G319" s="15"/>
      <x:c r="H319" s="17" t="str">
        <x:f>IF(B319="","",IF(NOT(AND(ISNUMBER(F319),ISNUMBER(G319))),"",SUM(F319:G319)))</x:f>
      </x:c>
      <x:c r="I319" s="9"/>
      <x:c r="J319" s="9"/>
      <x:c r="K319" s="9"/>
    </x:row>
    <x:row r="320" ht="22" customHeight="1">
      <x:c r="A320" s="11"/>
      <x:c r="B320" s="9"/>
      <x:c r="C320" s="9"/>
      <x:c r="D320" s="9"/>
      <x:c r="E320" s="9"/>
      <x:c r="F320" s="15"/>
      <x:c r="G320" s="15"/>
      <x:c r="H320" s="17" t="str">
        <x:f>IF(B320="","",IF(NOT(AND(ISNUMBER(F320),ISNUMBER(G320))),"",SUM(F320:G320)))</x:f>
      </x:c>
      <x:c r="I320" s="9"/>
      <x:c r="J320" s="9"/>
      <x:c r="K320" s="9"/>
    </x:row>
    <x:row r="321" ht="22" customHeight="1">
      <x:c r="A321" s="11"/>
      <x:c r="B321" s="9"/>
      <x:c r="C321" s="9"/>
      <x:c r="D321" s="9"/>
      <x:c r="E321" s="9"/>
      <x:c r="F321" s="15"/>
      <x:c r="G321" s="15"/>
      <x:c r="H321" s="17" t="str">
        <x:f>IF(B321="","",IF(NOT(AND(ISNUMBER(F321),ISNUMBER(G321))),"",SUM(F321:G321)))</x:f>
      </x:c>
      <x:c r="I321" s="9"/>
      <x:c r="J321" s="9"/>
      <x:c r="K321" s="9"/>
    </x:row>
    <x:row r="322" ht="22" customHeight="1">
      <x:c r="A322" s="11"/>
      <x:c r="B322" s="9"/>
      <x:c r="C322" s="9"/>
      <x:c r="D322" s="9"/>
      <x:c r="E322" s="9"/>
      <x:c r="F322" s="15"/>
      <x:c r="G322" s="15"/>
      <x:c r="H322" s="17" t="str">
        <x:f>IF(B322="","",IF(NOT(AND(ISNUMBER(F322),ISNUMBER(G322))),"",SUM(F322:G322)))</x:f>
      </x:c>
      <x:c r="I322" s="9"/>
      <x:c r="J322" s="9"/>
      <x:c r="K322" s="9"/>
    </x:row>
    <x:row r="323" ht="22" customHeight="1">
      <x:c r="A323" s="11"/>
      <x:c r="B323" s="9"/>
      <x:c r="C323" s="9"/>
      <x:c r="D323" s="9"/>
      <x:c r="E323" s="9"/>
      <x:c r="F323" s="15"/>
      <x:c r="G323" s="15"/>
      <x:c r="H323" s="17" t="str">
        <x:f>IF(B323="","",IF(NOT(AND(ISNUMBER(F323),ISNUMBER(G323))),"",SUM(F323:G323)))</x:f>
      </x:c>
      <x:c r="I323" s="9"/>
      <x:c r="J323" s="9"/>
      <x:c r="K323" s="9"/>
    </x:row>
    <x:row r="324" ht="22" customHeight="1">
      <x:c r="A324" s="11"/>
      <x:c r="B324" s="9"/>
      <x:c r="C324" s="9"/>
      <x:c r="D324" s="9"/>
      <x:c r="E324" s="9"/>
      <x:c r="F324" s="15"/>
      <x:c r="G324" s="15"/>
      <x:c r="H324" s="17" t="str">
        <x:f>IF(B324="","",IF(NOT(AND(ISNUMBER(F324),ISNUMBER(G324))),"",SUM(F324:G324)))</x:f>
      </x:c>
      <x:c r="I324" s="9"/>
      <x:c r="J324" s="9"/>
      <x:c r="K324" s="9"/>
    </x:row>
    <x:row r="325" ht="22" customHeight="1">
      <x:c r="A325" s="11"/>
      <x:c r="B325" s="9"/>
      <x:c r="C325" s="9"/>
      <x:c r="D325" s="9"/>
      <x:c r="E325" s="9"/>
      <x:c r="F325" s="15"/>
      <x:c r="G325" s="15"/>
      <x:c r="H325" s="17" t="str">
        <x:f>IF(B325="","",IF(NOT(AND(ISNUMBER(F325),ISNUMBER(G325))),"",SUM(F325:G325)))</x:f>
      </x:c>
      <x:c r="I325" s="9"/>
      <x:c r="J325" s="9"/>
      <x:c r="K325" s="9"/>
    </x:row>
    <x:row r="326" ht="22" customHeight="1">
      <x:c r="A326" s="11"/>
      <x:c r="B326" s="9"/>
      <x:c r="C326" s="9"/>
      <x:c r="D326" s="9"/>
      <x:c r="E326" s="9"/>
      <x:c r="F326" s="15"/>
      <x:c r="G326" s="15"/>
      <x:c r="H326" s="17" t="str">
        <x:f>IF(B326="","",IF(NOT(AND(ISNUMBER(F326),ISNUMBER(G326))),"",SUM(F326:G326)))</x:f>
      </x:c>
      <x:c r="I326" s="9"/>
      <x:c r="J326" s="9"/>
      <x:c r="K326" s="9"/>
    </x:row>
    <x:row r="327" ht="22" customHeight="1">
      <x:c r="A327" s="11"/>
      <x:c r="B327" s="9"/>
      <x:c r="C327" s="9"/>
      <x:c r="D327" s="9"/>
      <x:c r="E327" s="9"/>
      <x:c r="F327" s="15"/>
      <x:c r="G327" s="15"/>
      <x:c r="H327" s="17" t="str">
        <x:f>IF(B327="","",IF(NOT(AND(ISNUMBER(F327),ISNUMBER(G327))),"",SUM(F327:G327)))</x:f>
      </x:c>
      <x:c r="I327" s="9"/>
      <x:c r="J327" s="9"/>
      <x:c r="K327" s="9"/>
    </x:row>
    <x:row r="328" ht="22" customHeight="1">
      <x:c r="A328" s="11"/>
      <x:c r="B328" s="9"/>
      <x:c r="C328" s="9"/>
      <x:c r="D328" s="9"/>
      <x:c r="E328" s="9"/>
      <x:c r="F328" s="15"/>
      <x:c r="G328" s="15"/>
      <x:c r="H328" s="17" t="str">
        <x:f>IF(B328="","",IF(NOT(AND(ISNUMBER(F328),ISNUMBER(G328))),"",SUM(F328:G328)))</x:f>
      </x:c>
      <x:c r="I328" s="9"/>
      <x:c r="J328" s="9"/>
      <x:c r="K328" s="9"/>
    </x:row>
    <x:row r="329" ht="22" customHeight="1">
      <x:c r="A329" s="11"/>
      <x:c r="B329" s="9"/>
      <x:c r="C329" s="9"/>
      <x:c r="D329" s="9"/>
      <x:c r="E329" s="9"/>
      <x:c r="F329" s="15"/>
      <x:c r="G329" s="15"/>
      <x:c r="H329" s="17" t="str">
        <x:f>IF(B329="","",IF(NOT(AND(ISNUMBER(F329),ISNUMBER(G329))),"",SUM(F329:G329)))</x:f>
      </x:c>
      <x:c r="I329" s="9"/>
      <x:c r="J329" s="9"/>
      <x:c r="K329" s="9"/>
    </x:row>
    <x:row r="330" ht="22" customHeight="1">
      <x:c r="A330" s="11"/>
      <x:c r="B330" s="9"/>
      <x:c r="C330" s="9"/>
      <x:c r="D330" s="9"/>
      <x:c r="E330" s="9"/>
      <x:c r="F330" s="15"/>
      <x:c r="G330" s="15"/>
      <x:c r="H330" s="17" t="str">
        <x:f>IF(B330="","",IF(NOT(AND(ISNUMBER(F330),ISNUMBER(G330))),"",SUM(F330:G330)))</x:f>
      </x:c>
      <x:c r="I330" s="9"/>
      <x:c r="J330" s="9"/>
      <x:c r="K330" s="9"/>
    </x:row>
    <x:row r="331" ht="22" customHeight="1">
      <x:c r="A331" s="11"/>
      <x:c r="B331" s="9"/>
      <x:c r="C331" s="9"/>
      <x:c r="D331" s="9"/>
      <x:c r="E331" s="9"/>
      <x:c r="F331" s="15"/>
      <x:c r="G331" s="15"/>
      <x:c r="H331" s="17" t="str">
        <x:f>IF(B331="","",IF(NOT(AND(ISNUMBER(F331),ISNUMBER(G331))),"",SUM(F331:G331)))</x:f>
      </x:c>
      <x:c r="I331" s="9"/>
      <x:c r="J331" s="9"/>
      <x:c r="K331" s="9"/>
    </x:row>
    <x:row r="332" ht="22" customHeight="1">
      <x:c r="A332" s="11"/>
      <x:c r="B332" s="9"/>
      <x:c r="C332" s="9"/>
      <x:c r="D332" s="9"/>
      <x:c r="E332" s="9"/>
      <x:c r="F332" s="15"/>
      <x:c r="G332" s="15"/>
      <x:c r="H332" s="17" t="str">
        <x:f>IF(B332="","",IF(NOT(AND(ISNUMBER(F332),ISNUMBER(G332))),"",SUM(F332:G332)))</x:f>
      </x:c>
      <x:c r="I332" s="9"/>
      <x:c r="J332" s="9"/>
      <x:c r="K332" s="9"/>
    </x:row>
    <x:row r="333" ht="22" customHeight="1">
      <x:c r="A333" s="11"/>
      <x:c r="B333" s="9"/>
      <x:c r="C333" s="9"/>
      <x:c r="D333" s="9"/>
      <x:c r="E333" s="9"/>
      <x:c r="F333" s="15"/>
      <x:c r="G333" s="15"/>
      <x:c r="H333" s="17" t="str">
        <x:f>IF(B333="","",IF(NOT(AND(ISNUMBER(F333),ISNUMBER(G333))),"",SUM(F333:G333)))</x:f>
      </x:c>
      <x:c r="I333" s="9"/>
      <x:c r="J333" s="9"/>
      <x:c r="K333" s="9"/>
    </x:row>
    <x:row r="334" ht="22" customHeight="1">
      <x:c r="A334" s="11"/>
      <x:c r="B334" s="9"/>
      <x:c r="C334" s="9"/>
      <x:c r="D334" s="9"/>
      <x:c r="E334" s="9"/>
      <x:c r="F334" s="15"/>
      <x:c r="G334" s="15"/>
      <x:c r="H334" s="17" t="str">
        <x:f>IF(B334="","",IF(NOT(AND(ISNUMBER(F334),ISNUMBER(G334))),"",SUM(F334:G334)))</x:f>
      </x:c>
      <x:c r="I334" s="9"/>
      <x:c r="J334" s="9"/>
      <x:c r="K334" s="9"/>
    </x:row>
    <x:row r="335" ht="22" customHeight="1">
      <x:c r="A335" s="11"/>
      <x:c r="B335" s="9"/>
      <x:c r="C335" s="9"/>
      <x:c r="D335" s="9"/>
      <x:c r="E335" s="9"/>
      <x:c r="F335" s="15"/>
      <x:c r="G335" s="15"/>
      <x:c r="H335" s="17" t="str">
        <x:f>IF(B335="","",IF(NOT(AND(ISNUMBER(F335),ISNUMBER(G335))),"",SUM(F335:G335)))</x:f>
      </x:c>
      <x:c r="I335" s="9"/>
      <x:c r="J335" s="9"/>
      <x:c r="K335" s="9"/>
    </x:row>
    <x:row r="336" ht="22" customHeight="1">
      <x:c r="A336" s="11"/>
      <x:c r="B336" s="9"/>
      <x:c r="C336" s="9"/>
      <x:c r="D336" s="9"/>
      <x:c r="E336" s="9"/>
      <x:c r="F336" s="15"/>
      <x:c r="G336" s="15"/>
      <x:c r="H336" s="17" t="str">
        <x:f>IF(B336="","",IF(NOT(AND(ISNUMBER(F336),ISNUMBER(G336))),"",SUM(F336:G336)))</x:f>
      </x:c>
      <x:c r="I336" s="9"/>
      <x:c r="J336" s="9"/>
      <x:c r="K336" s="9"/>
    </x:row>
    <x:row r="337" ht="22" customHeight="1">
      <x:c r="A337" s="11"/>
      <x:c r="B337" s="9"/>
      <x:c r="C337" s="9"/>
      <x:c r="D337" s="9"/>
      <x:c r="E337" s="9"/>
      <x:c r="F337" s="15"/>
      <x:c r="G337" s="15"/>
      <x:c r="H337" s="17" t="str">
        <x:f>IF(B337="","",IF(NOT(AND(ISNUMBER(F337),ISNUMBER(G337))),"",SUM(F337:G337)))</x:f>
      </x:c>
      <x:c r="I337" s="9"/>
      <x:c r="J337" s="9"/>
      <x:c r="K337" s="9"/>
    </x:row>
    <x:row r="338" ht="22" customHeight="1">
      <x:c r="A338" s="11"/>
      <x:c r="B338" s="9"/>
      <x:c r="C338" s="9"/>
      <x:c r="D338" s="9"/>
      <x:c r="E338" s="9"/>
      <x:c r="F338" s="15"/>
      <x:c r="G338" s="15"/>
      <x:c r="H338" s="17" t="str">
        <x:f>IF(B338="","",IF(NOT(AND(ISNUMBER(F338),ISNUMBER(G338))),"",SUM(F338:G338)))</x:f>
      </x:c>
      <x:c r="I338" s="9"/>
      <x:c r="J338" s="9"/>
      <x:c r="K338" s="9"/>
    </x:row>
    <x:row r="339" ht="22" customHeight="1">
      <x:c r="A339" s="11"/>
      <x:c r="B339" s="9"/>
      <x:c r="C339" s="9"/>
      <x:c r="D339" s="9"/>
      <x:c r="E339" s="9"/>
      <x:c r="F339" s="15"/>
      <x:c r="G339" s="15"/>
      <x:c r="H339" s="17" t="str">
        <x:f>IF(B339="","",IF(NOT(AND(ISNUMBER(F339),ISNUMBER(G339))),"",SUM(F339:G339)))</x:f>
      </x:c>
      <x:c r="I339" s="9"/>
      <x:c r="J339" s="9"/>
      <x:c r="K339" s="9"/>
    </x:row>
    <x:row r="340" ht="22" customHeight="1">
      <x:c r="A340" s="11"/>
      <x:c r="B340" s="9"/>
      <x:c r="C340" s="9"/>
      <x:c r="D340" s="9"/>
      <x:c r="E340" s="9"/>
      <x:c r="F340" s="15"/>
      <x:c r="G340" s="15"/>
      <x:c r="H340" s="17" t="str">
        <x:f>IF(B340="","",IF(NOT(AND(ISNUMBER(F340),ISNUMBER(G340))),"",SUM(F340:G340)))</x:f>
      </x:c>
      <x:c r="I340" s="9"/>
      <x:c r="J340" s="9"/>
      <x:c r="K340" s="9"/>
    </x:row>
    <x:row r="341" ht="22" customHeight="1">
      <x:c r="A341" s="11"/>
      <x:c r="B341" s="9"/>
      <x:c r="C341" s="9"/>
      <x:c r="D341" s="9"/>
      <x:c r="E341" s="9"/>
      <x:c r="F341" s="15"/>
      <x:c r="G341" s="15"/>
      <x:c r="H341" s="17" t="str">
        <x:f>IF(B341="","",IF(NOT(AND(ISNUMBER(F341),ISNUMBER(G341))),"",SUM(F341:G341)))</x:f>
      </x:c>
      <x:c r="I341" s="9"/>
      <x:c r="J341" s="9"/>
      <x:c r="K341" s="9"/>
    </x:row>
    <x:row r="342" ht="22" customHeight="1">
      <x:c r="A342" s="11"/>
      <x:c r="B342" s="9"/>
      <x:c r="C342" s="9"/>
      <x:c r="D342" s="9"/>
      <x:c r="E342" s="9"/>
      <x:c r="F342" s="15"/>
      <x:c r="G342" s="15"/>
      <x:c r="H342" s="17" t="str">
        <x:f>IF(B342="","",IF(NOT(AND(ISNUMBER(F342),ISNUMBER(G342))),"",SUM(F342:G342)))</x:f>
      </x:c>
      <x:c r="I342" s="9"/>
      <x:c r="J342" s="9"/>
      <x:c r="K342" s="9"/>
    </x:row>
    <x:row r="343" ht="22" customHeight="1">
      <x:c r="A343" s="11"/>
      <x:c r="B343" s="9"/>
      <x:c r="C343" s="9"/>
      <x:c r="D343" s="9"/>
      <x:c r="E343" s="9"/>
      <x:c r="F343" s="15"/>
      <x:c r="G343" s="15"/>
      <x:c r="H343" s="17" t="str">
        <x:f>IF(B343="","",IF(NOT(AND(ISNUMBER(F343),ISNUMBER(G343))),"",SUM(F343:G343)))</x:f>
      </x:c>
      <x:c r="I343" s="9"/>
      <x:c r="J343" s="9"/>
      <x:c r="K343" s="9"/>
    </x:row>
    <x:row r="344" ht="22" customHeight="1">
      <x:c r="A344" s="11"/>
      <x:c r="B344" s="9"/>
      <x:c r="C344" s="9"/>
      <x:c r="D344" s="9"/>
      <x:c r="E344" s="9"/>
      <x:c r="F344" s="15"/>
      <x:c r="G344" s="15"/>
      <x:c r="H344" s="17" t="str">
        <x:f>IF(B344="","",IF(NOT(AND(ISNUMBER(F344),ISNUMBER(G344))),"",SUM(F344:G344)))</x:f>
      </x:c>
      <x:c r="I344" s="9"/>
      <x:c r="J344" s="9"/>
      <x:c r="K344" s="9"/>
    </x:row>
    <x:row r="345" ht="22" customHeight="1">
      <x:c r="A345" s="11"/>
      <x:c r="B345" s="9"/>
      <x:c r="C345" s="9"/>
      <x:c r="D345" s="9"/>
      <x:c r="E345" s="9"/>
      <x:c r="F345" s="15"/>
      <x:c r="G345" s="15"/>
      <x:c r="H345" s="17" t="str">
        <x:f>IF(B345="","",IF(NOT(AND(ISNUMBER(F345),ISNUMBER(G345))),"",SUM(F345:G345)))</x:f>
      </x:c>
      <x:c r="I345" s="9"/>
      <x:c r="J345" s="9"/>
      <x:c r="K345" s="9"/>
    </x:row>
    <x:row r="346" ht="22" customHeight="1">
      <x:c r="A346" s="11"/>
      <x:c r="B346" s="9"/>
      <x:c r="C346" s="9"/>
      <x:c r="D346" s="9"/>
      <x:c r="E346" s="9"/>
      <x:c r="F346" s="15"/>
      <x:c r="G346" s="15"/>
      <x:c r="H346" s="17" t="str">
        <x:f>IF(B346="","",IF(NOT(AND(ISNUMBER(F346),ISNUMBER(G346))),"",SUM(F346:G346)))</x:f>
      </x:c>
      <x:c r="I346" s="9"/>
      <x:c r="J346" s="9"/>
      <x:c r="K346" s="9"/>
    </x:row>
    <x:row r="347" ht="22" customHeight="1">
      <x:c r="A347" s="11"/>
      <x:c r="B347" s="9"/>
      <x:c r="C347" s="9"/>
      <x:c r="D347" s="9"/>
      <x:c r="E347" s="9"/>
      <x:c r="F347" s="15"/>
      <x:c r="G347" s="15"/>
      <x:c r="H347" s="17" t="str">
        <x:f>IF(B347="","",IF(NOT(AND(ISNUMBER(F347),ISNUMBER(G347))),"",SUM(F347:G347)))</x:f>
      </x:c>
      <x:c r="I347" s="9"/>
      <x:c r="J347" s="9"/>
      <x:c r="K347" s="9"/>
    </x:row>
    <x:row r="348" ht="22" customHeight="1">
      <x:c r="A348" s="11"/>
      <x:c r="B348" s="9"/>
      <x:c r="C348" s="9"/>
      <x:c r="D348" s="9"/>
      <x:c r="E348" s="9"/>
      <x:c r="F348" s="15"/>
      <x:c r="G348" s="15"/>
      <x:c r="H348" s="17" t="str">
        <x:f>IF(B348="","",IF(NOT(AND(ISNUMBER(F348),ISNUMBER(G348))),"",SUM(F348:G348)))</x:f>
      </x:c>
      <x:c r="I348" s="9"/>
      <x:c r="J348" s="9"/>
      <x:c r="K348" s="9"/>
    </x:row>
    <x:row r="349" ht="22" customHeight="1">
      <x:c r="A349" s="11"/>
      <x:c r="B349" s="9"/>
      <x:c r="C349" s="9"/>
      <x:c r="D349" s="9"/>
      <x:c r="E349" s="9"/>
      <x:c r="F349" s="15"/>
      <x:c r="G349" s="15"/>
      <x:c r="H349" s="17" t="str">
        <x:f>IF(B349="","",IF(NOT(AND(ISNUMBER(F349),ISNUMBER(G349))),"",SUM(F349:G349)))</x:f>
      </x:c>
      <x:c r="I349" s="9"/>
      <x:c r="J349" s="9"/>
      <x:c r="K349" s="9"/>
    </x:row>
    <x:row r="350" ht="22" customHeight="1">
      <x:c r="A350" s="11"/>
      <x:c r="B350" s="9"/>
      <x:c r="C350" s="9"/>
      <x:c r="D350" s="9"/>
      <x:c r="E350" s="9"/>
      <x:c r="F350" s="15"/>
      <x:c r="G350" s="15"/>
      <x:c r="H350" s="17" t="str">
        <x:f>IF(B350="","",IF(NOT(AND(ISNUMBER(F350),ISNUMBER(G350))),"",SUM(F350:G350)))</x:f>
      </x:c>
      <x:c r="I350" s="9"/>
      <x:c r="J350" s="9"/>
      <x:c r="K350" s="9"/>
    </x:row>
    <x:row r="351" ht="22" customHeight="1">
      <x:c r="A351" s="11"/>
      <x:c r="B351" s="9"/>
      <x:c r="C351" s="9"/>
      <x:c r="D351" s="9"/>
      <x:c r="E351" s="9"/>
      <x:c r="F351" s="15"/>
      <x:c r="G351" s="15"/>
      <x:c r="H351" s="17" t="str">
        <x:f>IF(B351="","",IF(NOT(AND(ISNUMBER(F351),ISNUMBER(G351))),"",SUM(F351:G351)))</x:f>
      </x:c>
      <x:c r="I351" s="9"/>
      <x:c r="J351" s="9"/>
      <x:c r="K351" s="9"/>
    </x:row>
    <x:row r="352" ht="22" customHeight="1">
      <x:c r="A352" s="11"/>
      <x:c r="B352" s="9"/>
      <x:c r="C352" s="9"/>
      <x:c r="D352" s="9"/>
      <x:c r="E352" s="9"/>
      <x:c r="F352" s="15"/>
      <x:c r="G352" s="15"/>
      <x:c r="H352" s="17" t="str">
        <x:f>IF(B352="","",IF(NOT(AND(ISNUMBER(F352),ISNUMBER(G352))),"",SUM(F352:G352)))</x:f>
      </x:c>
      <x:c r="I352" s="9"/>
      <x:c r="J352" s="9"/>
      <x:c r="K352" s="9"/>
    </x:row>
    <x:row r="353" ht="22" customHeight="1">
      <x:c r="A353" s="11"/>
      <x:c r="B353" s="9"/>
      <x:c r="C353" s="9"/>
      <x:c r="D353" s="9"/>
      <x:c r="E353" s="9"/>
      <x:c r="F353" s="15"/>
      <x:c r="G353" s="15"/>
      <x:c r="H353" s="17" t="str">
        <x:f>IF(B353="","",IF(NOT(AND(ISNUMBER(F353),ISNUMBER(G353))),"",SUM(F353:G353)))</x:f>
      </x:c>
      <x:c r="I353" s="9"/>
      <x:c r="J353" s="9"/>
      <x:c r="K353" s="9"/>
    </x:row>
    <x:row r="354" ht="22" customHeight="1">
      <x:c r="A354" s="11"/>
      <x:c r="B354" s="9"/>
      <x:c r="C354" s="9"/>
      <x:c r="D354" s="9"/>
      <x:c r="E354" s="9"/>
      <x:c r="F354" s="15"/>
      <x:c r="G354" s="15"/>
      <x:c r="H354" s="17" t="str">
        <x:f>IF(B354="","",IF(NOT(AND(ISNUMBER(F354),ISNUMBER(G354))),"",SUM(F354:G354)))</x:f>
      </x:c>
      <x:c r="I354" s="9"/>
      <x:c r="J354" s="9"/>
      <x:c r="K354" s="9"/>
    </x:row>
    <x:row r="355" ht="22" customHeight="1">
      <x:c r="A355" s="11"/>
      <x:c r="B355" s="9"/>
      <x:c r="C355" s="9"/>
      <x:c r="D355" s="9"/>
      <x:c r="E355" s="9"/>
      <x:c r="F355" s="15"/>
      <x:c r="G355" s="15"/>
      <x:c r="H355" s="17" t="str">
        <x:f>IF(B355="","",IF(NOT(AND(ISNUMBER(F355),ISNUMBER(G355))),"",SUM(F355:G355)))</x:f>
      </x:c>
      <x:c r="I355" s="9"/>
      <x:c r="J355" s="9"/>
      <x:c r="K355" s="9"/>
    </x:row>
    <x:row r="356" ht="22" customHeight="1">
      <x:c r="A356" s="11"/>
      <x:c r="B356" s="9"/>
      <x:c r="C356" s="9"/>
      <x:c r="D356" s="9"/>
      <x:c r="E356" s="9"/>
      <x:c r="F356" s="15"/>
      <x:c r="G356" s="15"/>
      <x:c r="H356" s="17" t="str">
        <x:f>IF(B356="","",IF(NOT(AND(ISNUMBER(F356),ISNUMBER(G356))),"",SUM(F356:G356)))</x:f>
      </x:c>
      <x:c r="I356" s="9"/>
      <x:c r="J356" s="9"/>
      <x:c r="K356" s="9"/>
    </x:row>
    <x:row r="357" ht="22" customHeight="1">
      <x:c r="A357" s="11"/>
      <x:c r="B357" s="9"/>
      <x:c r="C357" s="9"/>
      <x:c r="D357" s="9"/>
      <x:c r="E357" s="9"/>
      <x:c r="F357" s="15"/>
      <x:c r="G357" s="15"/>
      <x:c r="H357" s="17" t="str">
        <x:f>IF(B357="","",IF(NOT(AND(ISNUMBER(F357),ISNUMBER(G357))),"",SUM(F357:G357)))</x:f>
      </x:c>
      <x:c r="I357" s="9"/>
      <x:c r="J357" s="9"/>
      <x:c r="K357" s="9"/>
    </x:row>
    <x:row r="358" ht="22" customHeight="1">
      <x:c r="A358" s="11"/>
      <x:c r="B358" s="9"/>
      <x:c r="C358" s="9"/>
      <x:c r="D358" s="9"/>
      <x:c r="E358" s="9"/>
      <x:c r="F358" s="15"/>
      <x:c r="G358" s="15"/>
      <x:c r="H358" s="17" t="str">
        <x:f>IF(B358="","",IF(NOT(AND(ISNUMBER(F358),ISNUMBER(G358))),"",SUM(F358:G358)))</x:f>
      </x:c>
      <x:c r="I358" s="9"/>
      <x:c r="J358" s="9"/>
      <x:c r="K358" s="9"/>
    </x:row>
    <x:row r="359" ht="22" customHeight="1">
      <x:c r="A359" s="11"/>
      <x:c r="B359" s="9"/>
      <x:c r="C359" s="9"/>
      <x:c r="D359" s="9"/>
      <x:c r="E359" s="9"/>
      <x:c r="F359" s="15"/>
      <x:c r="G359" s="15"/>
      <x:c r="H359" s="17" t="str">
        <x:f>IF(B359="","",IF(NOT(AND(ISNUMBER(F359),ISNUMBER(G359))),"",SUM(F359:G359)))</x:f>
      </x:c>
      <x:c r="I359" s="9"/>
      <x:c r="J359" s="9"/>
      <x:c r="K359" s="9"/>
    </x:row>
    <x:row r="360" ht="22" customHeight="1">
      <x:c r="A360" s="11"/>
      <x:c r="B360" s="9"/>
      <x:c r="C360" s="9"/>
      <x:c r="D360" s="9"/>
      <x:c r="E360" s="9"/>
      <x:c r="F360" s="15"/>
      <x:c r="G360" s="15"/>
      <x:c r="H360" s="17" t="str">
        <x:f>IF(B360="","",IF(NOT(AND(ISNUMBER(F360),ISNUMBER(G360))),"",SUM(F360:G360)))</x:f>
      </x:c>
      <x:c r="I360" s="9"/>
      <x:c r="J360" s="9"/>
      <x:c r="K360" s="9"/>
    </x:row>
    <x:row r="361" ht="22" customHeight="1">
      <x:c r="A361" s="11"/>
      <x:c r="B361" s="9"/>
      <x:c r="C361" s="9"/>
      <x:c r="D361" s="9"/>
      <x:c r="E361" s="9"/>
      <x:c r="F361" s="15"/>
      <x:c r="G361" s="15"/>
      <x:c r="H361" s="17" t="str">
        <x:f>IF(B361="","",IF(NOT(AND(ISNUMBER(F361),ISNUMBER(G361))),"",SUM(F361:G361)))</x:f>
      </x:c>
      <x:c r="I361" s="9"/>
      <x:c r="J361" s="9"/>
      <x:c r="K361" s="9"/>
    </x:row>
    <x:row r="362" ht="22" customHeight="1">
      <x:c r="A362" s="11"/>
      <x:c r="B362" s="9"/>
      <x:c r="C362" s="9"/>
      <x:c r="D362" s="9"/>
      <x:c r="E362" s="9"/>
      <x:c r="F362" s="15"/>
      <x:c r="G362" s="15"/>
      <x:c r="H362" s="17" t="str">
        <x:f>IF(B362="","",IF(NOT(AND(ISNUMBER(F362),ISNUMBER(G362))),"",SUM(F362:G362)))</x:f>
      </x:c>
      <x:c r="I362" s="9"/>
      <x:c r="J362" s="9"/>
      <x:c r="K362" s="9"/>
    </x:row>
    <x:row r="363" ht="22" customHeight="1">
      <x:c r="A363" s="11"/>
      <x:c r="B363" s="9"/>
      <x:c r="C363" s="9"/>
      <x:c r="D363" s="9"/>
      <x:c r="E363" s="9"/>
      <x:c r="F363" s="15"/>
      <x:c r="G363" s="15"/>
      <x:c r="H363" s="17" t="str">
        <x:f>IF(B363="","",IF(NOT(AND(ISNUMBER(F363),ISNUMBER(G363))),"",SUM(F363:G363)))</x:f>
      </x:c>
      <x:c r="I363" s="9"/>
      <x:c r="J363" s="9"/>
      <x:c r="K363" s="9"/>
    </x:row>
    <x:row r="364" ht="22" customHeight="1">
      <x:c r="A364" s="11"/>
      <x:c r="B364" s="9"/>
      <x:c r="C364" s="9"/>
      <x:c r="D364" s="9"/>
      <x:c r="E364" s="9"/>
      <x:c r="F364" s="15"/>
      <x:c r="G364" s="15"/>
      <x:c r="H364" s="17" t="str">
        <x:f>IF(B364="","",IF(NOT(AND(ISNUMBER(F364),ISNUMBER(G364))),"",SUM(F364:G364)))</x:f>
      </x:c>
      <x:c r="I364" s="9"/>
      <x:c r="J364" s="9"/>
      <x:c r="K364" s="9"/>
    </x:row>
    <x:row r="365" ht="22" customHeight="1">
      <x:c r="A365" s="11"/>
      <x:c r="B365" s="9"/>
      <x:c r="C365" s="9"/>
      <x:c r="D365" s="9"/>
      <x:c r="E365" s="9"/>
      <x:c r="F365" s="15"/>
      <x:c r="G365" s="15"/>
      <x:c r="H365" s="17" t="str">
        <x:f>IF(B365="","",IF(NOT(AND(ISNUMBER(F365),ISNUMBER(G365))),"",SUM(F365:G365)))</x:f>
      </x:c>
      <x:c r="I365" s="9"/>
      <x:c r="J365" s="9"/>
      <x:c r="K365" s="9"/>
    </x:row>
    <x:row r="366" ht="22" customHeight="1">
      <x:c r="A366" s="11"/>
      <x:c r="B366" s="9"/>
      <x:c r="C366" s="9"/>
      <x:c r="D366" s="9"/>
      <x:c r="E366" s="9"/>
      <x:c r="F366" s="15"/>
      <x:c r="G366" s="15"/>
      <x:c r="H366" s="17" t="str">
        <x:f>IF(B366="","",IF(NOT(AND(ISNUMBER(F366),ISNUMBER(G366))),"",SUM(F366:G366)))</x:f>
      </x:c>
      <x:c r="I366" s="9"/>
      <x:c r="J366" s="9"/>
      <x:c r="K366" s="9"/>
    </x:row>
    <x:row r="367" ht="22" customHeight="1">
      <x:c r="A367" s="11"/>
      <x:c r="B367" s="9"/>
      <x:c r="C367" s="9"/>
      <x:c r="D367" s="9"/>
      <x:c r="E367" s="9"/>
      <x:c r="F367" s="15"/>
      <x:c r="G367" s="15"/>
      <x:c r="H367" s="17" t="str">
        <x:f>IF(B367="","",IF(NOT(AND(ISNUMBER(F367),ISNUMBER(G367))),"",SUM(F367:G367)))</x:f>
      </x:c>
      <x:c r="I367" s="9"/>
      <x:c r="J367" s="9"/>
      <x:c r="K367" s="9"/>
    </x:row>
    <x:row r="368" ht="22" customHeight="1">
      <x:c r="A368" s="11"/>
      <x:c r="B368" s="9"/>
      <x:c r="C368" s="9"/>
      <x:c r="D368" s="9"/>
      <x:c r="E368" s="9"/>
      <x:c r="F368" s="15"/>
      <x:c r="G368" s="15"/>
      <x:c r="H368" s="17" t="str">
        <x:f>IF(B368="","",IF(NOT(AND(ISNUMBER(F368),ISNUMBER(G368))),"",SUM(F368:G368)))</x:f>
      </x:c>
      <x:c r="I368" s="9"/>
      <x:c r="J368" s="9"/>
      <x:c r="K368" s="9"/>
    </x:row>
    <x:row r="369" ht="22" customHeight="1">
      <x:c r="A369" s="11"/>
      <x:c r="B369" s="9"/>
      <x:c r="C369" s="9"/>
      <x:c r="D369" s="9"/>
      <x:c r="E369" s="9"/>
      <x:c r="F369" s="15"/>
      <x:c r="G369" s="15"/>
      <x:c r="H369" s="17" t="str">
        <x:f>IF(B369="","",IF(NOT(AND(ISNUMBER(F369),ISNUMBER(G369))),"",SUM(F369:G369)))</x:f>
      </x:c>
      <x:c r="I369" s="9"/>
      <x:c r="J369" s="9"/>
      <x:c r="K369" s="9"/>
    </x:row>
    <x:row r="370" ht="22" customHeight="1">
      <x:c r="A370" s="11"/>
      <x:c r="B370" s="9"/>
      <x:c r="C370" s="9"/>
      <x:c r="D370" s="9"/>
      <x:c r="E370" s="9"/>
      <x:c r="F370" s="15"/>
      <x:c r="G370" s="15"/>
      <x:c r="H370" s="17" t="str">
        <x:f>IF(B370="","",IF(NOT(AND(ISNUMBER(F370),ISNUMBER(G370))),"",SUM(F370:G370)))</x:f>
      </x:c>
      <x:c r="I370" s="9"/>
      <x:c r="J370" s="9"/>
      <x:c r="K370" s="9"/>
    </x:row>
    <x:row r="371" ht="22" customHeight="1">
      <x:c r="A371" s="11"/>
      <x:c r="B371" s="9"/>
      <x:c r="C371" s="9"/>
      <x:c r="D371" s="9"/>
      <x:c r="E371" s="9"/>
      <x:c r="F371" s="15"/>
      <x:c r="G371" s="15"/>
      <x:c r="H371" s="17" t="str">
        <x:f>IF(B371="","",IF(NOT(AND(ISNUMBER(F371),ISNUMBER(G371))),"",SUM(F371:G371)))</x:f>
      </x:c>
      <x:c r="I371" s="9"/>
      <x:c r="J371" s="9"/>
      <x:c r="K371" s="9"/>
    </x:row>
    <x:row r="372" ht="22" customHeight="1">
      <x:c r="A372" s="11"/>
      <x:c r="B372" s="9"/>
      <x:c r="C372" s="9"/>
      <x:c r="D372" s="9"/>
      <x:c r="E372" s="9"/>
      <x:c r="F372" s="15"/>
      <x:c r="G372" s="15"/>
      <x:c r="H372" s="17" t="str">
        <x:f>IF(B372="","",IF(NOT(AND(ISNUMBER(F372),ISNUMBER(G372))),"",SUM(F372:G372)))</x:f>
      </x:c>
      <x:c r="I372" s="9"/>
      <x:c r="J372" s="9"/>
      <x:c r="K372" s="9"/>
    </x:row>
    <x:row r="373" ht="22" customHeight="1">
      <x:c r="A373" s="11"/>
      <x:c r="B373" s="9"/>
      <x:c r="C373" s="9"/>
      <x:c r="D373" s="9"/>
      <x:c r="E373" s="9"/>
      <x:c r="F373" s="15"/>
      <x:c r="G373" s="15"/>
      <x:c r="H373" s="17" t="str">
        <x:f>IF(B373="","",IF(NOT(AND(ISNUMBER(F373),ISNUMBER(G373))),"",SUM(F373:G373)))</x:f>
      </x:c>
      <x:c r="I373" s="9"/>
      <x:c r="J373" s="9"/>
      <x:c r="K373" s="9"/>
    </x:row>
    <x:row r="374" ht="22" customHeight="1">
      <x:c r="A374" s="11"/>
      <x:c r="B374" s="9"/>
      <x:c r="C374" s="9"/>
      <x:c r="D374" s="9"/>
      <x:c r="E374" s="9"/>
      <x:c r="F374" s="15"/>
      <x:c r="G374" s="15"/>
      <x:c r="H374" s="17" t="str">
        <x:f>IF(B374="","",IF(NOT(AND(ISNUMBER(F374),ISNUMBER(G374))),"",SUM(F374:G374)))</x:f>
      </x:c>
      <x:c r="I374" s="9"/>
      <x:c r="J374" s="9"/>
      <x:c r="K374" s="9"/>
    </x:row>
    <x:row r="375" ht="22" customHeight="1">
      <x:c r="A375" s="11"/>
      <x:c r="B375" s="9"/>
      <x:c r="C375" s="9"/>
      <x:c r="D375" s="9"/>
      <x:c r="E375" s="9"/>
      <x:c r="F375" s="15"/>
      <x:c r="G375" s="15"/>
      <x:c r="H375" s="17" t="str">
        <x:f>IF(B375="","",IF(NOT(AND(ISNUMBER(F375),ISNUMBER(G375))),"",SUM(F375:G375)))</x:f>
      </x:c>
      <x:c r="I375" s="9"/>
      <x:c r="J375" s="9"/>
      <x:c r="K375" s="9"/>
    </x:row>
    <x:row r="376" ht="22" customHeight="1">
      <x:c r="A376" s="11"/>
      <x:c r="B376" s="9"/>
      <x:c r="C376" s="9"/>
      <x:c r="D376" s="9"/>
      <x:c r="E376" s="9"/>
      <x:c r="F376" s="15"/>
      <x:c r="G376" s="15"/>
      <x:c r="H376" s="17" t="str">
        <x:f>IF(B376="","",IF(NOT(AND(ISNUMBER(F376),ISNUMBER(G376))),"",SUM(F376:G376)))</x:f>
      </x:c>
      <x:c r="I376" s="9"/>
      <x:c r="J376" s="9"/>
      <x:c r="K376" s="9"/>
    </x:row>
    <x:row r="377" ht="22" customHeight="1">
      <x:c r="A377" s="11"/>
      <x:c r="B377" s="9"/>
      <x:c r="C377" s="9"/>
      <x:c r="D377" s="9"/>
      <x:c r="E377" s="9"/>
      <x:c r="F377" s="15"/>
      <x:c r="G377" s="15"/>
      <x:c r="H377" s="17" t="str">
        <x:f>IF(B377="","",IF(NOT(AND(ISNUMBER(F377),ISNUMBER(G377))),"",SUM(F377:G377)))</x:f>
      </x:c>
      <x:c r="I377" s="9"/>
      <x:c r="J377" s="9"/>
      <x:c r="K377" s="9"/>
    </x:row>
    <x:row r="378" ht="22" customHeight="1">
      <x:c r="A378" s="11"/>
      <x:c r="B378" s="9"/>
      <x:c r="C378" s="9"/>
      <x:c r="D378" s="9"/>
      <x:c r="E378" s="9"/>
      <x:c r="F378" s="15"/>
      <x:c r="G378" s="15"/>
      <x:c r="H378" s="17" t="str">
        <x:f>IF(B378="","",IF(NOT(AND(ISNUMBER(F378),ISNUMBER(G378))),"",SUM(F378:G378)))</x:f>
      </x:c>
      <x:c r="I378" s="9"/>
      <x:c r="J378" s="9"/>
      <x:c r="K378" s="9"/>
    </x:row>
    <x:row r="379" ht="22" customHeight="1">
      <x:c r="A379" s="11"/>
      <x:c r="B379" s="9"/>
      <x:c r="C379" s="9"/>
      <x:c r="D379" s="9"/>
      <x:c r="E379" s="9"/>
      <x:c r="F379" s="15"/>
      <x:c r="G379" s="15"/>
      <x:c r="H379" s="17" t="str">
        <x:f>IF(B379="","",IF(NOT(AND(ISNUMBER(F379),ISNUMBER(G379))),"",SUM(F379:G379)))</x:f>
      </x:c>
      <x:c r="I379" s="9"/>
      <x:c r="J379" s="9"/>
      <x:c r="K379" s="9"/>
    </x:row>
    <x:row r="380" ht="22" customHeight="1">
      <x:c r="A380" s="11"/>
      <x:c r="B380" s="9"/>
      <x:c r="C380" s="9"/>
      <x:c r="D380" s="9"/>
      <x:c r="E380" s="9"/>
      <x:c r="F380" s="15"/>
      <x:c r="G380" s="15"/>
      <x:c r="H380" s="17" t="str">
        <x:f>IF(B380="","",IF(NOT(AND(ISNUMBER(F380),ISNUMBER(G380))),"",SUM(F380:G380)))</x:f>
      </x:c>
      <x:c r="I380" s="9"/>
      <x:c r="J380" s="9"/>
      <x:c r="K380" s="9"/>
    </x:row>
    <x:row r="381" ht="22" customHeight="1">
      <x:c r="A381" s="11"/>
      <x:c r="B381" s="9"/>
      <x:c r="C381" s="9"/>
      <x:c r="D381" s="9"/>
      <x:c r="E381" s="9"/>
      <x:c r="F381" s="15"/>
      <x:c r="G381" s="15"/>
      <x:c r="H381" s="17" t="str">
        <x:f>IF(B381="","",IF(NOT(AND(ISNUMBER(F381),ISNUMBER(G381))),"",SUM(F381:G381)))</x:f>
      </x:c>
      <x:c r="I381" s="9"/>
      <x:c r="J381" s="9"/>
      <x:c r="K381" s="9"/>
    </x:row>
    <x:row r="382" ht="22" customHeight="1">
      <x:c r="A382" s="11"/>
      <x:c r="B382" s="9"/>
      <x:c r="C382" s="9"/>
      <x:c r="D382" s="9"/>
      <x:c r="E382" s="9"/>
      <x:c r="F382" s="15"/>
      <x:c r="G382" s="15"/>
      <x:c r="H382" s="17" t="str">
        <x:f>IF(B382="","",IF(NOT(AND(ISNUMBER(F382),ISNUMBER(G382))),"",SUM(F382:G382)))</x:f>
      </x:c>
      <x:c r="I382" s="9"/>
      <x:c r="J382" s="9"/>
      <x:c r="K382" s="9"/>
    </x:row>
    <x:row r="383" ht="22" customHeight="1">
      <x:c r="A383" s="11"/>
      <x:c r="B383" s="9"/>
      <x:c r="C383" s="9"/>
      <x:c r="D383" s="9"/>
      <x:c r="E383" s="9"/>
      <x:c r="F383" s="15"/>
      <x:c r="G383" s="15"/>
      <x:c r="H383" s="17" t="str">
        <x:f>IF(B383="","",IF(NOT(AND(ISNUMBER(F383),ISNUMBER(G383))),"",SUM(F383:G383)))</x:f>
      </x:c>
      <x:c r="I383" s="9"/>
      <x:c r="J383" s="9"/>
      <x:c r="K383" s="9"/>
    </x:row>
    <x:row r="384" ht="22" customHeight="1">
      <x:c r="A384" s="11"/>
      <x:c r="B384" s="9"/>
      <x:c r="C384" s="9"/>
      <x:c r="D384" s="9"/>
      <x:c r="E384" s="9"/>
      <x:c r="F384" s="15"/>
      <x:c r="G384" s="15"/>
      <x:c r="H384" s="17" t="str">
        <x:f>IF(B384="","",IF(NOT(AND(ISNUMBER(F384),ISNUMBER(G384))),"",SUM(F384:G384)))</x:f>
      </x:c>
      <x:c r="I384" s="9"/>
      <x:c r="J384" s="9"/>
      <x:c r="K384" s="9"/>
    </x:row>
    <x:row r="385" ht="22" customHeight="1">
      <x:c r="A385" s="11"/>
      <x:c r="B385" s="9"/>
      <x:c r="C385" s="9"/>
      <x:c r="D385" s="9"/>
      <x:c r="E385" s="9"/>
      <x:c r="F385" s="15"/>
      <x:c r="G385" s="15"/>
      <x:c r="H385" s="17" t="str">
        <x:f>IF(B385="","",IF(NOT(AND(ISNUMBER(F385),ISNUMBER(G385))),"",SUM(F385:G385)))</x:f>
      </x:c>
      <x:c r="I385" s="9"/>
      <x:c r="J385" s="9"/>
      <x:c r="K385" s="9"/>
    </x:row>
    <x:row r="386" ht="22" customHeight="1">
      <x:c r="A386" s="11"/>
      <x:c r="B386" s="9"/>
      <x:c r="C386" s="9"/>
      <x:c r="D386" s="9"/>
      <x:c r="E386" s="9"/>
      <x:c r="F386" s="15"/>
      <x:c r="G386" s="15"/>
      <x:c r="H386" s="17" t="str">
        <x:f>IF(B386="","",IF(NOT(AND(ISNUMBER(F386),ISNUMBER(G386))),"",SUM(F386:G386)))</x:f>
      </x:c>
      <x:c r="I386" s="9"/>
      <x:c r="J386" s="9"/>
      <x:c r="K386" s="9"/>
    </x:row>
    <x:row r="387" ht="22" customHeight="1">
      <x:c r="A387" s="11"/>
      <x:c r="B387" s="9"/>
      <x:c r="C387" s="9"/>
      <x:c r="D387" s="9"/>
      <x:c r="E387" s="9"/>
      <x:c r="F387" s="15"/>
      <x:c r="G387" s="15"/>
      <x:c r="H387" s="17" t="str">
        <x:f>IF(B387="","",IF(NOT(AND(ISNUMBER(F387),ISNUMBER(G387))),"",SUM(F387:G387)))</x:f>
      </x:c>
      <x:c r="I387" s="9"/>
      <x:c r="J387" s="9"/>
      <x:c r="K387" s="9"/>
    </x:row>
    <x:row r="388" ht="22" customHeight="1">
      <x:c r="A388" s="11"/>
      <x:c r="B388" s="9"/>
      <x:c r="C388" s="9"/>
      <x:c r="D388" s="9"/>
      <x:c r="E388" s="9"/>
      <x:c r="F388" s="15"/>
      <x:c r="G388" s="15"/>
      <x:c r="H388" s="17" t="str">
        <x:f>IF(B388="","",IF(NOT(AND(ISNUMBER(F388),ISNUMBER(G388))),"",SUM(F388:G388)))</x:f>
      </x:c>
      <x:c r="I388" s="9"/>
      <x:c r="J388" s="9"/>
      <x:c r="K388" s="9"/>
    </x:row>
    <x:row r="389" ht="22" customHeight="1">
      <x:c r="A389" s="11"/>
      <x:c r="B389" s="9"/>
      <x:c r="C389" s="9"/>
      <x:c r="D389" s="9"/>
      <x:c r="E389" s="9"/>
      <x:c r="F389" s="15"/>
      <x:c r="G389" s="15"/>
      <x:c r="H389" s="17" t="str">
        <x:f>IF(B389="","",IF(NOT(AND(ISNUMBER(F389),ISNUMBER(G389))),"",SUM(F389:G389)))</x:f>
      </x:c>
      <x:c r="I389" s="9"/>
      <x:c r="J389" s="9"/>
      <x:c r="K389" s="9"/>
    </x:row>
    <x:row r="390" ht="22" customHeight="1">
      <x:c r="A390" s="11"/>
      <x:c r="B390" s="9"/>
      <x:c r="C390" s="9"/>
      <x:c r="D390" s="9"/>
      <x:c r="E390" s="9"/>
      <x:c r="F390" s="15"/>
      <x:c r="G390" s="15"/>
      <x:c r="H390" s="17" t="str">
        <x:f>IF(B390="","",IF(NOT(AND(ISNUMBER(F390),ISNUMBER(G390))),"",SUM(F390:G390)))</x:f>
      </x:c>
      <x:c r="I390" s="9"/>
      <x:c r="J390" s="9"/>
      <x:c r="K390" s="9"/>
    </x:row>
    <x:row r="391" ht="22" customHeight="1">
      <x:c r="A391" s="11"/>
      <x:c r="B391" s="9"/>
      <x:c r="C391" s="9"/>
      <x:c r="D391" s="9"/>
      <x:c r="E391" s="9"/>
      <x:c r="F391" s="15"/>
      <x:c r="G391" s="15"/>
      <x:c r="H391" s="17" t="str">
        <x:f>IF(B391="","",IF(NOT(AND(ISNUMBER(F391),ISNUMBER(G391))),"",SUM(F391:G391)))</x:f>
      </x:c>
      <x:c r="I391" s="9"/>
      <x:c r="J391" s="9"/>
      <x:c r="K391" s="9"/>
    </x:row>
    <x:row r="392" ht="22" customHeight="1">
      <x:c r="A392" s="11"/>
      <x:c r="B392" s="9"/>
      <x:c r="C392" s="9"/>
      <x:c r="D392" s="9"/>
      <x:c r="E392" s="9"/>
      <x:c r="F392" s="15"/>
      <x:c r="G392" s="15"/>
      <x:c r="H392" s="17" t="str">
        <x:f>IF(B392="","",IF(NOT(AND(ISNUMBER(F392),ISNUMBER(G392))),"",SUM(F392:G392)))</x:f>
      </x:c>
      <x:c r="I392" s="9"/>
      <x:c r="J392" s="9"/>
      <x:c r="K392" s="9"/>
    </x:row>
    <x:row r="393" ht="22" customHeight="1">
      <x:c r="A393" s="11"/>
      <x:c r="B393" s="9"/>
      <x:c r="C393" s="9"/>
      <x:c r="D393" s="9"/>
      <x:c r="E393" s="9"/>
      <x:c r="F393" s="15"/>
      <x:c r="G393" s="15"/>
      <x:c r="H393" s="17" t="str">
        <x:f>IF(B393="","",IF(NOT(AND(ISNUMBER(F393),ISNUMBER(G393))),"",SUM(F393:G393)))</x:f>
      </x:c>
      <x:c r="I393" s="9"/>
      <x:c r="J393" s="9"/>
      <x:c r="K393" s="9"/>
    </x:row>
    <x:row r="394" ht="22" customHeight="1">
      <x:c r="A394" s="11"/>
      <x:c r="B394" s="9"/>
      <x:c r="C394" s="9"/>
      <x:c r="D394" s="9"/>
      <x:c r="E394" s="9"/>
      <x:c r="F394" s="15"/>
      <x:c r="G394" s="15"/>
      <x:c r="H394" s="17" t="str">
        <x:f>IF(B394="","",IF(NOT(AND(ISNUMBER(F394),ISNUMBER(G394))),"",SUM(F394:G394)))</x:f>
      </x:c>
      <x:c r="I394" s="9"/>
      <x:c r="J394" s="9"/>
      <x:c r="K394" s="9"/>
    </x:row>
    <x:row r="395" ht="22" customHeight="1">
      <x:c r="A395" s="11"/>
      <x:c r="B395" s="9"/>
      <x:c r="C395" s="9"/>
      <x:c r="D395" s="9"/>
      <x:c r="E395" s="9"/>
      <x:c r="F395" s="15"/>
      <x:c r="G395" s="15"/>
      <x:c r="H395" s="17" t="str">
        <x:f>IF(B395="","",IF(NOT(AND(ISNUMBER(F395),ISNUMBER(G395))),"",SUM(F395:G395)))</x:f>
      </x:c>
      <x:c r="I395" s="9"/>
      <x:c r="J395" s="9"/>
      <x:c r="K395" s="9"/>
    </x:row>
    <x:row r="396" ht="22" customHeight="1">
      <x:c r="A396" s="11"/>
      <x:c r="B396" s="9"/>
      <x:c r="C396" s="9"/>
      <x:c r="D396" s="9"/>
      <x:c r="E396" s="9"/>
      <x:c r="F396" s="15"/>
      <x:c r="G396" s="15"/>
      <x:c r="H396" s="17" t="str">
        <x:f>IF(B396="","",IF(NOT(AND(ISNUMBER(F396),ISNUMBER(G396))),"",SUM(F396:G396)))</x:f>
      </x:c>
      <x:c r="I396" s="9"/>
      <x:c r="J396" s="9"/>
      <x:c r="K396" s="9"/>
    </x:row>
    <x:row r="397" ht="22" customHeight="1">
      <x:c r="A397" s="11"/>
      <x:c r="B397" s="9"/>
      <x:c r="C397" s="9"/>
      <x:c r="D397" s="9"/>
      <x:c r="E397" s="9"/>
      <x:c r="F397" s="15"/>
      <x:c r="G397" s="15"/>
      <x:c r="H397" s="17" t="str">
        <x:f>IF(B397="","",IF(NOT(AND(ISNUMBER(F397),ISNUMBER(G397))),"",SUM(F397:G397)))</x:f>
      </x:c>
      <x:c r="I397" s="9"/>
      <x:c r="J397" s="9"/>
      <x:c r="K397" s="9"/>
    </x:row>
    <x:row r="398" ht="22" customHeight="1">
      <x:c r="A398" s="11"/>
      <x:c r="B398" s="9"/>
      <x:c r="C398" s="9"/>
      <x:c r="D398" s="9"/>
      <x:c r="E398" s="9"/>
      <x:c r="F398" s="15"/>
      <x:c r="G398" s="15"/>
      <x:c r="H398" s="17" t="str">
        <x:f>IF(B398="","",IF(NOT(AND(ISNUMBER(F398),ISNUMBER(G398))),"",SUM(F398:G398)))</x:f>
      </x:c>
      <x:c r="I398" s="9"/>
      <x:c r="J398" s="9"/>
      <x:c r="K398" s="9"/>
    </x:row>
    <x:row r="399" ht="22" customHeight="1">
      <x:c r="A399" s="11"/>
      <x:c r="B399" s="9"/>
      <x:c r="C399" s="9"/>
      <x:c r="D399" s="9"/>
      <x:c r="E399" s="9"/>
      <x:c r="F399" s="15"/>
      <x:c r="G399" s="15"/>
      <x:c r="H399" s="17" t="str">
        <x:f>IF(B399="","",IF(NOT(AND(ISNUMBER(F399),ISNUMBER(G399))),"",SUM(F399:G399)))</x:f>
      </x:c>
      <x:c r="I399" s="9"/>
      <x:c r="J399" s="9"/>
      <x:c r="K399" s="9"/>
    </x:row>
    <x:row r="400" ht="22" customHeight="1">
      <x:c r="A400" s="11"/>
      <x:c r="B400" s="9"/>
      <x:c r="C400" s="9"/>
      <x:c r="D400" s="9"/>
      <x:c r="E400" s="9"/>
      <x:c r="F400" s="15"/>
      <x:c r="G400" s="15"/>
      <x:c r="H400" s="17" t="str">
        <x:f>IF(B400="","",IF(NOT(AND(ISNUMBER(F400),ISNUMBER(G400))),"",SUM(F400:G400)))</x:f>
      </x:c>
      <x:c r="I400" s="9"/>
      <x:c r="J400" s="9"/>
      <x:c r="K400" s="9"/>
    </x:row>
    <x:row r="401" ht="22" customHeight="1">
      <x:c r="A401" s="11"/>
      <x:c r="B401" s="9"/>
      <x:c r="C401" s="9"/>
      <x:c r="D401" s="9"/>
      <x:c r="E401" s="9"/>
      <x:c r="F401" s="15"/>
      <x:c r="G401" s="15"/>
      <x:c r="H401" s="17" t="str">
        <x:f>IF(B401="","",IF(NOT(AND(ISNUMBER(F401),ISNUMBER(G401))),"",SUM(F401:G401)))</x:f>
      </x:c>
      <x:c r="I401" s="9"/>
      <x:c r="J401" s="9"/>
      <x:c r="K401" s="9"/>
    </x:row>
    <x:row r="402" ht="22" customHeight="1">
      <x:c r="A402" s="11"/>
      <x:c r="B402" s="9"/>
      <x:c r="C402" s="9"/>
      <x:c r="D402" s="9"/>
      <x:c r="E402" s="9"/>
      <x:c r="F402" s="15"/>
      <x:c r="G402" s="15"/>
      <x:c r="H402" s="17" t="str">
        <x:f>IF(B402="","",IF(NOT(AND(ISNUMBER(F402),ISNUMBER(G402))),"",SUM(F402:G402)))</x:f>
      </x:c>
      <x:c r="I402" s="9"/>
      <x:c r="J402" s="9"/>
      <x:c r="K402" s="9"/>
    </x:row>
    <x:row r="403" ht="22" customHeight="1">
      <x:c r="A403" s="11"/>
      <x:c r="B403" s="9"/>
      <x:c r="C403" s="9"/>
      <x:c r="D403" s="9"/>
      <x:c r="E403" s="9"/>
      <x:c r="F403" s="15"/>
      <x:c r="G403" s="15"/>
      <x:c r="H403" s="17" t="str">
        <x:f>IF(B403="","",IF(NOT(AND(ISNUMBER(F403),ISNUMBER(G403))),"",SUM(F403:G403)))</x:f>
      </x:c>
      <x:c r="I403" s="9"/>
      <x:c r="J403" s="9"/>
      <x:c r="K403" s="9"/>
    </x:row>
    <x:row r="404" ht="22" customHeight="1">
      <x:c r="A404" s="11"/>
      <x:c r="B404" s="9"/>
      <x:c r="C404" s="9"/>
      <x:c r="D404" s="9"/>
      <x:c r="E404" s="9"/>
      <x:c r="F404" s="15"/>
      <x:c r="G404" s="15"/>
      <x:c r="H404" s="17" t="str">
        <x:f>IF(B404="","",IF(NOT(AND(ISNUMBER(F404),ISNUMBER(G404))),"",SUM(F404:G404)))</x:f>
      </x:c>
      <x:c r="I404" s="9"/>
      <x:c r="J404" s="9"/>
      <x:c r="K404" s="9"/>
    </x:row>
    <x:row r="405" ht="22" customHeight="1">
      <x:c r="A405" s="11"/>
      <x:c r="B405" s="9"/>
      <x:c r="C405" s="9"/>
      <x:c r="D405" s="9"/>
      <x:c r="E405" s="9"/>
      <x:c r="F405" s="15"/>
      <x:c r="G405" s="15"/>
      <x:c r="H405" s="17" t="str">
        <x:f>IF(B405="","",IF(NOT(AND(ISNUMBER(F405),ISNUMBER(G405))),"",SUM(F405:G405)))</x:f>
      </x:c>
      <x:c r="I405" s="9"/>
      <x:c r="J405" s="9"/>
      <x:c r="K405" s="9"/>
    </x:row>
    <x:row r="406" ht="22" customHeight="1">
      <x:c r="A406" s="11"/>
      <x:c r="B406" s="9"/>
      <x:c r="C406" s="9"/>
      <x:c r="D406" s="9"/>
      <x:c r="E406" s="9"/>
      <x:c r="F406" s="15"/>
      <x:c r="G406" s="15"/>
      <x:c r="H406" s="17" t="str">
        <x:f>IF(B406="","",IF(NOT(AND(ISNUMBER(F406),ISNUMBER(G406))),"",SUM(F406:G406)))</x:f>
      </x:c>
      <x:c r="I406" s="9"/>
      <x:c r="J406" s="9"/>
      <x:c r="K406" s="9"/>
    </x:row>
    <x:row r="407" ht="22" customHeight="1">
      <x:c r="A407" s="11"/>
      <x:c r="B407" s="9"/>
      <x:c r="C407" s="9"/>
      <x:c r="D407" s="9"/>
      <x:c r="E407" s="9"/>
      <x:c r="F407" s="15"/>
      <x:c r="G407" s="15"/>
      <x:c r="H407" s="17" t="str">
        <x:f>IF(B407="","",IF(NOT(AND(ISNUMBER(F407),ISNUMBER(G407))),"",SUM(F407:G407)))</x:f>
      </x:c>
      <x:c r="I407" s="9"/>
      <x:c r="J407" s="9"/>
      <x:c r="K407" s="9"/>
    </x:row>
    <x:row r="408" ht="22" customHeight="1">
      <x:c r="A408" s="11"/>
      <x:c r="B408" s="9"/>
      <x:c r="C408" s="9"/>
      <x:c r="D408" s="9"/>
      <x:c r="E408" s="9"/>
      <x:c r="F408" s="15"/>
      <x:c r="G408" s="15"/>
      <x:c r="H408" s="17" t="str">
        <x:f>IF(B408="","",IF(NOT(AND(ISNUMBER(F408),ISNUMBER(G408))),"",SUM(F408:G408)))</x:f>
      </x:c>
      <x:c r="I408" s="9"/>
      <x:c r="J408" s="9"/>
      <x:c r="K408" s="9"/>
    </x:row>
    <x:row r="409" ht="22" customHeight="1">
      <x:c r="A409" s="11"/>
      <x:c r="B409" s="9"/>
      <x:c r="C409" s="9"/>
      <x:c r="D409" s="9"/>
      <x:c r="E409" s="9"/>
      <x:c r="F409" s="15"/>
      <x:c r="G409" s="15"/>
      <x:c r="H409" s="17" t="str">
        <x:f>IF(B409="","",IF(NOT(AND(ISNUMBER(F409),ISNUMBER(G409))),"",SUM(F409:G409)))</x:f>
      </x:c>
      <x:c r="I409" s="9"/>
      <x:c r="J409" s="9"/>
      <x:c r="K409" s="9"/>
    </x:row>
    <x:row r="410" ht="22" customHeight="1">
      <x:c r="A410" s="11"/>
      <x:c r="B410" s="9"/>
      <x:c r="C410" s="9"/>
      <x:c r="D410" s="9"/>
      <x:c r="E410" s="9"/>
      <x:c r="F410" s="15"/>
      <x:c r="G410" s="15"/>
      <x:c r="H410" s="17" t="str">
        <x:f>IF(B410="","",IF(NOT(AND(ISNUMBER(F410),ISNUMBER(G410))),"",SUM(F410:G410)))</x:f>
      </x:c>
      <x:c r="I410" s="9"/>
      <x:c r="J410" s="9"/>
      <x:c r="K410" s="9"/>
    </x:row>
    <x:row r="411" ht="22" customHeight="1">
      <x:c r="A411" s="11"/>
      <x:c r="B411" s="9"/>
      <x:c r="C411" s="9"/>
      <x:c r="D411" s="9"/>
      <x:c r="E411" s="9"/>
      <x:c r="F411" s="15"/>
      <x:c r="G411" s="15"/>
      <x:c r="H411" s="17" t="str">
        <x:f>IF(B411="","",IF(NOT(AND(ISNUMBER(F411),ISNUMBER(G411))),"",SUM(F411:G411)))</x:f>
      </x:c>
      <x:c r="I411" s="9"/>
      <x:c r="J411" s="9"/>
      <x:c r="K411" s="9"/>
    </x:row>
    <x:row r="412" ht="22" customHeight="1">
      <x:c r="A412" s="11"/>
      <x:c r="B412" s="9"/>
      <x:c r="C412" s="9"/>
      <x:c r="D412" s="9"/>
      <x:c r="E412" s="9"/>
      <x:c r="F412" s="15"/>
      <x:c r="G412" s="15"/>
      <x:c r="H412" s="17" t="str">
        <x:f>IF(B412="","",IF(NOT(AND(ISNUMBER(F412),ISNUMBER(G412))),"",SUM(F412:G412)))</x:f>
      </x:c>
      <x:c r="I412" s="9"/>
      <x:c r="J412" s="9"/>
      <x:c r="K412" s="9"/>
    </x:row>
    <x:row r="413" ht="22" customHeight="1">
      <x:c r="A413" s="11"/>
      <x:c r="B413" s="9"/>
      <x:c r="C413" s="9"/>
      <x:c r="D413" s="9"/>
      <x:c r="E413" s="9"/>
      <x:c r="F413" s="15"/>
      <x:c r="G413" s="15"/>
      <x:c r="H413" s="17" t="str">
        <x:f>IF(B413="","",IF(NOT(AND(ISNUMBER(F413),ISNUMBER(G413))),"",SUM(F413:G413)))</x:f>
      </x:c>
      <x:c r="I413" s="9"/>
      <x:c r="J413" s="9"/>
      <x:c r="K413" s="9"/>
    </x:row>
    <x:row r="414" ht="22" customHeight="1">
      <x:c r="A414" s="11"/>
      <x:c r="B414" s="9"/>
      <x:c r="C414" s="9"/>
      <x:c r="D414" s="9"/>
      <x:c r="E414" s="9"/>
      <x:c r="F414" s="15"/>
      <x:c r="G414" s="15"/>
      <x:c r="H414" s="17" t="str">
        <x:f>IF(B414="","",IF(NOT(AND(ISNUMBER(F414),ISNUMBER(G414))),"",SUM(F414:G414)))</x:f>
      </x:c>
      <x:c r="I414" s="9"/>
      <x:c r="J414" s="9"/>
      <x:c r="K414" s="9"/>
    </x:row>
    <x:row r="415" ht="22" customHeight="1">
      <x:c r="A415" s="11"/>
      <x:c r="B415" s="9"/>
      <x:c r="C415" s="9"/>
      <x:c r="D415" s="9"/>
      <x:c r="E415" s="9"/>
      <x:c r="F415" s="15"/>
      <x:c r="G415" s="15"/>
      <x:c r="H415" s="17" t="str">
        <x:f>IF(B415="","",IF(NOT(AND(ISNUMBER(F415),ISNUMBER(G415))),"",SUM(F415:G415)))</x:f>
      </x:c>
      <x:c r="I415" s="9"/>
      <x:c r="J415" s="9"/>
      <x:c r="K415" s="9"/>
    </x:row>
    <x:row r="416" ht="22" customHeight="1">
      <x:c r="A416" s="11"/>
      <x:c r="B416" s="9"/>
      <x:c r="C416" s="9"/>
      <x:c r="D416" s="9"/>
      <x:c r="E416" s="9"/>
      <x:c r="F416" s="15"/>
      <x:c r="G416" s="15"/>
      <x:c r="H416" s="17" t="str">
        <x:f>IF(B416="","",IF(NOT(AND(ISNUMBER(F416),ISNUMBER(G416))),"",SUM(F416:G416)))</x:f>
      </x:c>
      <x:c r="I416" s="9"/>
      <x:c r="J416" s="9"/>
      <x:c r="K416" s="9"/>
    </x:row>
    <x:row r="417" ht="22" customHeight="1">
      <x:c r="A417" s="11"/>
      <x:c r="B417" s="9"/>
      <x:c r="C417" s="9"/>
      <x:c r="D417" s="9"/>
      <x:c r="E417" s="9"/>
      <x:c r="F417" s="15"/>
      <x:c r="G417" s="15"/>
      <x:c r="H417" s="17" t="str">
        <x:f>IF(B417="","",IF(NOT(AND(ISNUMBER(F417),ISNUMBER(G417))),"",SUM(F417:G417)))</x:f>
      </x:c>
      <x:c r="I417" s="9"/>
      <x:c r="J417" s="9"/>
      <x:c r="K417" s="9"/>
    </x:row>
    <x:row r="418" ht="22" customHeight="1">
      <x:c r="A418" s="11"/>
      <x:c r="B418" s="9"/>
      <x:c r="C418" s="9"/>
      <x:c r="D418" s="9"/>
      <x:c r="E418" s="9"/>
      <x:c r="F418" s="15"/>
      <x:c r="G418" s="15"/>
      <x:c r="H418" s="17" t="str">
        <x:f>IF(B418="","",IF(NOT(AND(ISNUMBER(F418),ISNUMBER(G418))),"",SUM(F418:G418)))</x:f>
      </x:c>
      <x:c r="I418" s="9"/>
      <x:c r="J418" s="9"/>
      <x:c r="K418" s="9"/>
    </x:row>
    <x:row r="419" ht="22" customHeight="1">
      <x:c r="A419" s="11"/>
      <x:c r="B419" s="9"/>
      <x:c r="C419" s="9"/>
      <x:c r="D419" s="9"/>
      <x:c r="E419" s="9"/>
      <x:c r="F419" s="15"/>
      <x:c r="G419" s="15"/>
      <x:c r="H419" s="17" t="str">
        <x:f>IF(B419="","",IF(NOT(AND(ISNUMBER(F419),ISNUMBER(G419))),"",SUM(F419:G419)))</x:f>
      </x:c>
      <x:c r="I419" s="9"/>
      <x:c r="J419" s="9"/>
      <x:c r="K419" s="9"/>
    </x:row>
    <x:row r="420" ht="22" customHeight="1">
      <x:c r="A420" s="11"/>
      <x:c r="B420" s="9"/>
      <x:c r="C420" s="9"/>
      <x:c r="D420" s="9"/>
      <x:c r="E420" s="9"/>
      <x:c r="F420" s="15"/>
      <x:c r="G420" s="15"/>
      <x:c r="H420" s="17" t="str">
        <x:f>IF(B420="","",IF(NOT(AND(ISNUMBER(F420),ISNUMBER(G420))),"",SUM(F420:G420)))</x:f>
      </x:c>
      <x:c r="I420" s="9"/>
      <x:c r="J420" s="9"/>
      <x:c r="K420" s="9"/>
    </x:row>
    <x:row r="421" ht="22" customHeight="1">
      <x:c r="A421" s="11"/>
      <x:c r="B421" s="9"/>
      <x:c r="C421" s="9"/>
      <x:c r="D421" s="9"/>
      <x:c r="E421" s="9"/>
      <x:c r="F421" s="15"/>
      <x:c r="G421" s="15"/>
      <x:c r="H421" s="17" t="str">
        <x:f>IF(B421="","",IF(NOT(AND(ISNUMBER(F421),ISNUMBER(G421))),"",SUM(F421:G421)))</x:f>
      </x:c>
      <x:c r="I421" s="9"/>
      <x:c r="J421" s="9"/>
      <x:c r="K421" s="9"/>
    </x:row>
    <x:row r="422" ht="22" customHeight="1">
      <x:c r="A422" s="11"/>
      <x:c r="B422" s="9"/>
      <x:c r="C422" s="9"/>
      <x:c r="D422" s="9"/>
      <x:c r="E422" s="9"/>
      <x:c r="F422" s="15"/>
      <x:c r="G422" s="15"/>
      <x:c r="H422" s="17" t="str">
        <x:f>IF(B422="","",IF(NOT(AND(ISNUMBER(F422),ISNUMBER(G422))),"",SUM(F422:G422)))</x:f>
      </x:c>
      <x:c r="I422" s="9"/>
      <x:c r="J422" s="9"/>
      <x:c r="K422" s="9"/>
    </x:row>
    <x:row r="423" ht="22" customHeight="1">
      <x:c r="A423" s="11"/>
      <x:c r="B423" s="9"/>
      <x:c r="C423" s="9"/>
      <x:c r="D423" s="9"/>
      <x:c r="E423" s="9"/>
      <x:c r="F423" s="15"/>
      <x:c r="G423" s="15"/>
      <x:c r="H423" s="17" t="str">
        <x:f>IF(B423="","",IF(NOT(AND(ISNUMBER(F423),ISNUMBER(G423))),"",SUM(F423:G423)))</x:f>
      </x:c>
      <x:c r="I423" s="9"/>
      <x:c r="J423" s="9"/>
      <x:c r="K423" s="9"/>
    </x:row>
    <x:row r="424" ht="22" customHeight="1">
      <x:c r="A424" s="11"/>
      <x:c r="B424" s="9"/>
      <x:c r="C424" s="9"/>
      <x:c r="D424" s="9"/>
      <x:c r="E424" s="9"/>
      <x:c r="F424" s="15"/>
      <x:c r="G424" s="15"/>
      <x:c r="H424" s="17" t="str">
        <x:f>IF(B424="","",IF(NOT(AND(ISNUMBER(F424),ISNUMBER(G424))),"",SUM(F424:G424)))</x:f>
      </x:c>
      <x:c r="I424" s="9"/>
      <x:c r="J424" s="9"/>
      <x:c r="K424" s="9"/>
    </x:row>
    <x:row r="425" ht="22" customHeight="1">
      <x:c r="A425" s="11"/>
      <x:c r="B425" s="9"/>
      <x:c r="C425" s="9"/>
      <x:c r="D425" s="9"/>
      <x:c r="E425" s="9"/>
      <x:c r="F425" s="15"/>
      <x:c r="G425" s="15"/>
      <x:c r="H425" s="17" t="str">
        <x:f>IF(B425="","",IF(NOT(AND(ISNUMBER(F425),ISNUMBER(G425))),"",SUM(F425:G425)))</x:f>
      </x:c>
      <x:c r="I425" s="9"/>
      <x:c r="J425" s="9"/>
      <x:c r="K425" s="9"/>
    </x:row>
    <x:row r="426" ht="22" customHeight="1">
      <x:c r="A426" s="11"/>
      <x:c r="B426" s="9"/>
      <x:c r="C426" s="9"/>
      <x:c r="D426" s="9"/>
      <x:c r="E426" s="9"/>
      <x:c r="F426" s="15"/>
      <x:c r="G426" s="15"/>
      <x:c r="H426" s="17" t="str">
        <x:f>IF(B426="","",IF(NOT(AND(ISNUMBER(F426),ISNUMBER(G426))),"",SUM(F426:G426)))</x:f>
      </x:c>
      <x:c r="I426" s="9"/>
      <x:c r="J426" s="9"/>
      <x:c r="K426" s="9"/>
    </x:row>
    <x:row r="427" ht="22" customHeight="1">
      <x:c r="A427" s="11"/>
      <x:c r="B427" s="9"/>
      <x:c r="C427" s="9"/>
      <x:c r="D427" s="9"/>
      <x:c r="E427" s="9"/>
      <x:c r="F427" s="15"/>
      <x:c r="G427" s="15"/>
      <x:c r="H427" s="17" t="str">
        <x:f>IF(B427="","",IF(NOT(AND(ISNUMBER(F427),ISNUMBER(G427))),"",SUM(F427:G427)))</x:f>
      </x:c>
      <x:c r="I427" s="9"/>
      <x:c r="J427" s="9"/>
      <x:c r="K427" s="9"/>
    </x:row>
    <x:row r="428" ht="22" customHeight="1">
      <x:c r="A428" s="11"/>
      <x:c r="B428" s="9"/>
      <x:c r="C428" s="9"/>
      <x:c r="D428" s="9"/>
      <x:c r="E428" s="9"/>
      <x:c r="F428" s="15"/>
      <x:c r="G428" s="15"/>
      <x:c r="H428" s="17" t="str">
        <x:f>IF(B428="","",IF(NOT(AND(ISNUMBER(F428),ISNUMBER(G428))),"",SUM(F428:G428)))</x:f>
      </x:c>
      <x:c r="I428" s="9"/>
      <x:c r="J428" s="9"/>
      <x:c r="K428" s="9"/>
    </x:row>
    <x:row r="429" ht="22" customHeight="1">
      <x:c r="A429" s="11"/>
      <x:c r="B429" s="9"/>
      <x:c r="C429" s="9"/>
      <x:c r="D429" s="9"/>
      <x:c r="E429" s="9"/>
      <x:c r="F429" s="15"/>
      <x:c r="G429" s="15"/>
      <x:c r="H429" s="17" t="str">
        <x:f>IF(B429="","",IF(NOT(AND(ISNUMBER(F429),ISNUMBER(G429))),"",SUM(F429:G429)))</x:f>
      </x:c>
      <x:c r="I429" s="9"/>
      <x:c r="J429" s="9"/>
      <x:c r="K429" s="9"/>
    </x:row>
    <x:row r="430" ht="22" customHeight="1">
      <x:c r="A430" s="11"/>
      <x:c r="B430" s="9"/>
      <x:c r="C430" s="9"/>
      <x:c r="D430" s="9"/>
      <x:c r="E430" s="9"/>
      <x:c r="F430" s="15"/>
      <x:c r="G430" s="15"/>
      <x:c r="H430" s="17" t="str">
        <x:f>IF(B430="","",IF(NOT(AND(ISNUMBER(F430),ISNUMBER(G430))),"",SUM(F430:G430)))</x:f>
      </x:c>
      <x:c r="I430" s="9"/>
      <x:c r="J430" s="9"/>
      <x:c r="K430" s="9"/>
    </x:row>
    <x:row r="431" ht="22" customHeight="1">
      <x:c r="A431" s="11"/>
      <x:c r="B431" s="9"/>
      <x:c r="C431" s="9"/>
      <x:c r="D431" s="9"/>
      <x:c r="E431" s="9"/>
      <x:c r="F431" s="15"/>
      <x:c r="G431" s="15"/>
      <x:c r="H431" s="17" t="str">
        <x:f>IF(B431="","",IF(NOT(AND(ISNUMBER(F431),ISNUMBER(G431))),"",SUM(F431:G431)))</x:f>
      </x:c>
      <x:c r="I431" s="9"/>
      <x:c r="J431" s="9"/>
      <x:c r="K431" s="9"/>
    </x:row>
    <x:row r="432" ht="22" customHeight="1">
      <x:c r="A432" s="11"/>
      <x:c r="B432" s="9"/>
      <x:c r="C432" s="9"/>
      <x:c r="D432" s="9"/>
      <x:c r="E432" s="9"/>
      <x:c r="F432" s="15"/>
      <x:c r="G432" s="15"/>
      <x:c r="H432" s="17" t="str">
        <x:f>IF(B432="","",IF(NOT(AND(ISNUMBER(F432),ISNUMBER(G432))),"",SUM(F432:G432)))</x:f>
      </x:c>
      <x:c r="I432" s="9"/>
      <x:c r="J432" s="9"/>
      <x:c r="K432" s="9"/>
    </x:row>
    <x:row r="433" ht="22" customHeight="1">
      <x:c r="A433" s="11"/>
      <x:c r="B433" s="9"/>
      <x:c r="C433" s="9"/>
      <x:c r="D433" s="9"/>
      <x:c r="E433" s="9"/>
      <x:c r="F433" s="15"/>
      <x:c r="G433" s="15"/>
      <x:c r="H433" s="17" t="str">
        <x:f>IF(B433="","",IF(NOT(AND(ISNUMBER(F433),ISNUMBER(G433))),"",SUM(F433:G433)))</x:f>
      </x:c>
      <x:c r="I433" s="9"/>
      <x:c r="J433" s="9"/>
      <x:c r="K433" s="9"/>
    </x:row>
    <x:row r="434" ht="22" customHeight="1">
      <x:c r="A434" s="11"/>
      <x:c r="B434" s="9"/>
      <x:c r="C434" s="9"/>
      <x:c r="D434" s="9"/>
      <x:c r="E434" s="9"/>
      <x:c r="F434" s="15"/>
      <x:c r="G434" s="15"/>
      <x:c r="H434" s="17" t="str">
        <x:f>IF(B434="","",IF(NOT(AND(ISNUMBER(F434),ISNUMBER(G434))),"",SUM(F434:G434)))</x:f>
      </x:c>
      <x:c r="I434" s="9"/>
      <x:c r="J434" s="9"/>
      <x:c r="K434" s="9"/>
    </x:row>
    <x:row r="435" ht="22" customHeight="1">
      <x:c r="A435" s="11"/>
      <x:c r="B435" s="9"/>
      <x:c r="C435" s="9"/>
      <x:c r="D435" s="9"/>
      <x:c r="E435" s="9"/>
      <x:c r="F435" s="15"/>
      <x:c r="G435" s="15"/>
      <x:c r="H435" s="17" t="str">
        <x:f>IF(B435="","",IF(NOT(AND(ISNUMBER(F435),ISNUMBER(G435))),"",SUM(F435:G435)))</x:f>
      </x:c>
      <x:c r="I435" s="9"/>
      <x:c r="J435" s="9"/>
      <x:c r="K435" s="9"/>
    </x:row>
    <x:row r="436" ht="22" customHeight="1">
      <x:c r="A436" s="11"/>
      <x:c r="B436" s="9"/>
      <x:c r="C436" s="9"/>
      <x:c r="D436" s="9"/>
      <x:c r="E436" s="9"/>
      <x:c r="F436" s="15"/>
      <x:c r="G436" s="15"/>
      <x:c r="H436" s="17" t="str">
        <x:f>IF(B436="","",IF(NOT(AND(ISNUMBER(F436),ISNUMBER(G436))),"",SUM(F436:G436)))</x:f>
      </x:c>
      <x:c r="I436" s="9"/>
      <x:c r="J436" s="9"/>
      <x:c r="K436" s="9"/>
    </x:row>
    <x:row r="437" ht="22" customHeight="1">
      <x:c r="A437" s="11"/>
      <x:c r="B437" s="9"/>
      <x:c r="C437" s="9"/>
      <x:c r="D437" s="9"/>
      <x:c r="E437" s="9"/>
      <x:c r="F437" s="15"/>
      <x:c r="G437" s="15"/>
      <x:c r="H437" s="17" t="str">
        <x:f>IF(B437="","",IF(NOT(AND(ISNUMBER(F437),ISNUMBER(G437))),"",SUM(F437:G437)))</x:f>
      </x:c>
      <x:c r="I437" s="9"/>
      <x:c r="J437" s="9"/>
      <x:c r="K437" s="9"/>
    </x:row>
    <x:row r="438" ht="22" customHeight="1">
      <x:c r="A438" s="11"/>
      <x:c r="B438" s="9"/>
      <x:c r="C438" s="9"/>
      <x:c r="D438" s="9"/>
      <x:c r="E438" s="9"/>
      <x:c r="F438" s="15"/>
      <x:c r="G438" s="15"/>
      <x:c r="H438" s="17" t="str">
        <x:f>IF(B438="","",IF(NOT(AND(ISNUMBER(F438),ISNUMBER(G438))),"",SUM(F438:G438)))</x:f>
      </x:c>
      <x:c r="I438" s="9"/>
      <x:c r="J438" s="9"/>
      <x:c r="K438" s="9"/>
    </x:row>
    <x:row r="439" ht="22" customHeight="1">
      <x:c r="A439" s="11"/>
      <x:c r="B439" s="9"/>
      <x:c r="C439" s="9"/>
      <x:c r="D439" s="9"/>
      <x:c r="E439" s="9"/>
      <x:c r="F439" s="15"/>
      <x:c r="G439" s="15"/>
      <x:c r="H439" s="17" t="str">
        <x:f>IF(B439="","",IF(NOT(AND(ISNUMBER(F439),ISNUMBER(G439))),"",SUM(F439:G439)))</x:f>
      </x:c>
      <x:c r="I439" s="9"/>
      <x:c r="J439" s="9"/>
      <x:c r="K439" s="9"/>
    </x:row>
    <x:row r="440" ht="22" customHeight="1">
      <x:c r="A440" s="11"/>
      <x:c r="B440" s="9"/>
      <x:c r="C440" s="9"/>
      <x:c r="D440" s="9"/>
      <x:c r="E440" s="9"/>
      <x:c r="F440" s="15"/>
      <x:c r="G440" s="15"/>
      <x:c r="H440" s="17" t="str">
        <x:f>IF(B440="","",IF(NOT(AND(ISNUMBER(F440),ISNUMBER(G440))),"",SUM(F440:G440)))</x:f>
      </x:c>
      <x:c r="I440" s="9"/>
      <x:c r="J440" s="9"/>
      <x:c r="K440" s="9"/>
    </x:row>
    <x:row r="441" ht="22" customHeight="1">
      <x:c r="A441" s="11"/>
      <x:c r="B441" s="9"/>
      <x:c r="C441" s="9"/>
      <x:c r="D441" s="9"/>
      <x:c r="E441" s="9"/>
      <x:c r="F441" s="15"/>
      <x:c r="G441" s="15"/>
      <x:c r="H441" s="17" t="str">
        <x:f>IF(B441="","",IF(NOT(AND(ISNUMBER(F441),ISNUMBER(G441))),"",SUM(F441:G441)))</x:f>
      </x:c>
      <x:c r="I441" s="9"/>
      <x:c r="J441" s="9"/>
      <x:c r="K441" s="9"/>
    </x:row>
    <x:row r="442" ht="22" customHeight="1">
      <x:c r="A442" s="11"/>
      <x:c r="B442" s="9"/>
      <x:c r="C442" s="9"/>
      <x:c r="D442" s="9"/>
      <x:c r="E442" s="9"/>
      <x:c r="F442" s="15"/>
      <x:c r="G442" s="15"/>
      <x:c r="H442" s="17" t="str">
        <x:f>IF(B442="","",IF(NOT(AND(ISNUMBER(F442),ISNUMBER(G442))),"",SUM(F442:G442)))</x:f>
      </x:c>
      <x:c r="I442" s="9"/>
      <x:c r="J442" s="9"/>
      <x:c r="K442" s="9"/>
    </x:row>
    <x:row r="443" ht="22" customHeight="1">
      <x:c r="A443" s="11"/>
      <x:c r="B443" s="9"/>
      <x:c r="C443" s="9"/>
      <x:c r="D443" s="9"/>
      <x:c r="E443" s="9"/>
      <x:c r="F443" s="15"/>
      <x:c r="G443" s="15"/>
      <x:c r="H443" s="17" t="str">
        <x:f>IF(B443="","",IF(NOT(AND(ISNUMBER(F443),ISNUMBER(G443))),"",SUM(F443:G443)))</x:f>
      </x:c>
      <x:c r="I443" s="9"/>
      <x:c r="J443" s="9"/>
      <x:c r="K443" s="9"/>
    </x:row>
    <x:row r="444" ht="22" customHeight="1">
      <x:c r="A444" s="11"/>
      <x:c r="B444" s="9"/>
      <x:c r="C444" s="9"/>
      <x:c r="D444" s="9"/>
      <x:c r="E444" s="9"/>
      <x:c r="F444" s="15"/>
      <x:c r="G444" s="15"/>
      <x:c r="H444" s="17" t="str">
        <x:f>IF(B444="","",IF(NOT(AND(ISNUMBER(F444),ISNUMBER(G444))),"",SUM(F444:G444)))</x:f>
      </x:c>
      <x:c r="I444" s="9"/>
      <x:c r="J444" s="9"/>
      <x:c r="K444" s="9"/>
    </x:row>
    <x:row r="445" ht="22" customHeight="1">
      <x:c r="A445" s="11"/>
      <x:c r="B445" s="9"/>
      <x:c r="C445" s="9"/>
      <x:c r="D445" s="9"/>
      <x:c r="E445" s="9"/>
      <x:c r="F445" s="15"/>
      <x:c r="G445" s="15"/>
      <x:c r="H445" s="17" t="str">
        <x:f>IF(B445="","",IF(NOT(AND(ISNUMBER(F445),ISNUMBER(G445))),"",SUM(F445:G445)))</x:f>
      </x:c>
      <x:c r="I445" s="9"/>
      <x:c r="J445" s="9"/>
      <x:c r="K445" s="9"/>
    </x:row>
    <x:row r="446" ht="22" customHeight="1">
      <x:c r="A446" s="11"/>
      <x:c r="B446" s="9"/>
      <x:c r="C446" s="9"/>
      <x:c r="D446" s="9"/>
      <x:c r="E446" s="9"/>
      <x:c r="F446" s="15"/>
      <x:c r="G446" s="15"/>
      <x:c r="H446" s="17" t="str">
        <x:f>IF(B446="","",IF(NOT(AND(ISNUMBER(F446),ISNUMBER(G446))),"",SUM(F446:G446)))</x:f>
      </x:c>
      <x:c r="I446" s="9"/>
      <x:c r="J446" s="9"/>
      <x:c r="K446" s="9"/>
    </x:row>
    <x:row r="447" ht="22" customHeight="1">
      <x:c r="A447" s="11"/>
      <x:c r="B447" s="9"/>
      <x:c r="C447" s="9"/>
      <x:c r="D447" s="9"/>
      <x:c r="E447" s="9"/>
      <x:c r="F447" s="15"/>
      <x:c r="G447" s="15"/>
      <x:c r="H447" s="17" t="str">
        <x:f>IF(B447="","",IF(NOT(AND(ISNUMBER(F447),ISNUMBER(G447))),"",SUM(F447:G447)))</x:f>
      </x:c>
      <x:c r="I447" s="9"/>
      <x:c r="J447" s="9"/>
      <x:c r="K447" s="9"/>
    </x:row>
    <x:row r="448" ht="22" customHeight="1">
      <x:c r="A448" s="11"/>
      <x:c r="B448" s="9"/>
      <x:c r="C448" s="9"/>
      <x:c r="D448" s="9"/>
      <x:c r="E448" s="9"/>
      <x:c r="F448" s="15"/>
      <x:c r="G448" s="15"/>
      <x:c r="H448" s="17" t="str">
        <x:f>IF(B448="","",IF(NOT(AND(ISNUMBER(F448),ISNUMBER(G448))),"",SUM(F448:G448)))</x:f>
      </x:c>
      <x:c r="I448" s="9"/>
      <x:c r="J448" s="9"/>
      <x:c r="K448" s="9"/>
    </x:row>
    <x:row r="449" ht="22" customHeight="1">
      <x:c r="A449" s="11"/>
      <x:c r="B449" s="9"/>
      <x:c r="C449" s="9"/>
      <x:c r="D449" s="9"/>
      <x:c r="E449" s="9"/>
      <x:c r="F449" s="15"/>
      <x:c r="G449" s="15"/>
      <x:c r="H449" s="17" t="str">
        <x:f>IF(B449="","",IF(NOT(AND(ISNUMBER(F449),ISNUMBER(G449))),"",SUM(F449:G449)))</x:f>
      </x:c>
      <x:c r="I449" s="9"/>
      <x:c r="J449" s="9"/>
      <x:c r="K449" s="9"/>
    </x:row>
    <x:row r="450" ht="22" customHeight="1">
      <x:c r="A450" s="11"/>
      <x:c r="B450" s="9"/>
      <x:c r="C450" s="9"/>
      <x:c r="D450" s="9"/>
      <x:c r="E450" s="9"/>
      <x:c r="F450" s="15"/>
      <x:c r="G450" s="15"/>
      <x:c r="H450" s="17" t="str">
        <x:f>IF(B450="","",IF(NOT(AND(ISNUMBER(F450),ISNUMBER(G450))),"",SUM(F450:G450)))</x:f>
      </x:c>
      <x:c r="I450" s="9"/>
      <x:c r="J450" s="9"/>
      <x:c r="K450" s="9"/>
    </x:row>
    <x:row r="451" ht="22" customHeight="1">
      <x:c r="A451" s="11"/>
      <x:c r="B451" s="9"/>
      <x:c r="C451" s="9"/>
      <x:c r="D451" s="9"/>
      <x:c r="E451" s="9"/>
      <x:c r="F451" s="15"/>
      <x:c r="G451" s="15"/>
      <x:c r="H451" s="17" t="str">
        <x:f>IF(B451="","",IF(NOT(AND(ISNUMBER(F451),ISNUMBER(G451))),"",SUM(F451:G451)))</x:f>
      </x:c>
      <x:c r="I451" s="9"/>
      <x:c r="J451" s="9"/>
      <x:c r="K451" s="9"/>
    </x:row>
    <x:row r="452" ht="22" customHeight="1">
      <x:c r="A452" s="11"/>
      <x:c r="B452" s="9"/>
      <x:c r="C452" s="9"/>
      <x:c r="D452" s="9"/>
      <x:c r="E452" s="9"/>
      <x:c r="F452" s="15"/>
      <x:c r="G452" s="15"/>
      <x:c r="H452" s="17" t="str">
        <x:f>IF(B452="","",IF(NOT(AND(ISNUMBER(F452),ISNUMBER(G452))),"",SUM(F452:G452)))</x:f>
      </x:c>
      <x:c r="I452" s="9"/>
      <x:c r="J452" s="9"/>
      <x:c r="K452" s="9"/>
    </x:row>
    <x:row r="453" ht="22" customHeight="1">
      <x:c r="A453" s="11"/>
      <x:c r="B453" s="9"/>
      <x:c r="C453" s="9"/>
      <x:c r="D453" s="9"/>
      <x:c r="E453" s="9"/>
      <x:c r="F453" s="15"/>
      <x:c r="G453" s="15"/>
      <x:c r="H453" s="17" t="str">
        <x:f>IF(B453="","",IF(NOT(AND(ISNUMBER(F453),ISNUMBER(G453))),"",SUM(F453:G453)))</x:f>
      </x:c>
      <x:c r="I453" s="9"/>
      <x:c r="J453" s="9"/>
      <x:c r="K453" s="9"/>
    </x:row>
    <x:row r="454" ht="22" customHeight="1">
      <x:c r="A454" s="11"/>
      <x:c r="B454" s="9"/>
      <x:c r="C454" s="9"/>
      <x:c r="D454" s="9"/>
      <x:c r="E454" s="9"/>
      <x:c r="F454" s="15"/>
      <x:c r="G454" s="15"/>
      <x:c r="H454" s="17" t="str">
        <x:f>IF(B454="","",IF(NOT(AND(ISNUMBER(F454),ISNUMBER(G454))),"",SUM(F454:G454)))</x:f>
      </x:c>
      <x:c r="I454" s="9"/>
      <x:c r="J454" s="9"/>
      <x:c r="K454" s="9"/>
    </x:row>
    <x:row r="455" ht="22" customHeight="1">
      <x:c r="A455" s="11"/>
      <x:c r="B455" s="9"/>
      <x:c r="C455" s="9"/>
      <x:c r="D455" s="9"/>
      <x:c r="E455" s="9"/>
      <x:c r="F455" s="15"/>
      <x:c r="G455" s="15"/>
      <x:c r="H455" s="17" t="str">
        <x:f>IF(B455="","",IF(NOT(AND(ISNUMBER(F455),ISNUMBER(G455))),"",SUM(F455:G455)))</x:f>
      </x:c>
      <x:c r="I455" s="9"/>
      <x:c r="J455" s="9"/>
      <x:c r="K455" s="9"/>
    </x:row>
    <x:row r="456" ht="22" customHeight="1">
      <x:c r="A456" s="11"/>
      <x:c r="B456" s="9"/>
      <x:c r="C456" s="9"/>
      <x:c r="D456" s="9"/>
      <x:c r="E456" s="9"/>
      <x:c r="F456" s="15"/>
      <x:c r="G456" s="15"/>
      <x:c r="H456" s="17" t="str">
        <x:f>IF(B456="","",IF(NOT(AND(ISNUMBER(F456),ISNUMBER(G456))),"",SUM(F456:G456)))</x:f>
      </x:c>
      <x:c r="I456" s="9"/>
      <x:c r="J456" s="9"/>
      <x:c r="K456" s="9"/>
    </x:row>
    <x:row r="457" ht="22" customHeight="1">
      <x:c r="A457" s="11"/>
      <x:c r="B457" s="9"/>
      <x:c r="C457" s="9"/>
      <x:c r="D457" s="9"/>
      <x:c r="E457" s="9"/>
      <x:c r="F457" s="15"/>
      <x:c r="G457" s="15"/>
      <x:c r="H457" s="17" t="str">
        <x:f>IF(B457="","",IF(NOT(AND(ISNUMBER(F457),ISNUMBER(G457))),"",SUM(F457:G457)))</x:f>
      </x:c>
      <x:c r="I457" s="9"/>
      <x:c r="J457" s="9"/>
      <x:c r="K457" s="9"/>
    </x:row>
    <x:row r="458" ht="22" customHeight="1">
      <x:c r="A458" s="11"/>
      <x:c r="B458" s="9"/>
      <x:c r="C458" s="9"/>
      <x:c r="D458" s="9"/>
      <x:c r="E458" s="9"/>
      <x:c r="F458" s="15"/>
      <x:c r="G458" s="15"/>
      <x:c r="H458" s="17" t="str">
        <x:f>IF(B458="","",IF(NOT(AND(ISNUMBER(F458),ISNUMBER(G458))),"",SUM(F458:G458)))</x:f>
      </x:c>
      <x:c r="I458" s="9"/>
      <x:c r="J458" s="9"/>
      <x:c r="K458" s="9"/>
    </x:row>
    <x:row r="459" ht="22" customHeight="1">
      <x:c r="A459" s="11"/>
      <x:c r="B459" s="9"/>
      <x:c r="C459" s="9"/>
      <x:c r="D459" s="9"/>
      <x:c r="E459" s="9"/>
      <x:c r="F459" s="15"/>
      <x:c r="G459" s="15"/>
      <x:c r="H459" s="17" t="str">
        <x:f>IF(B459="","",IF(NOT(AND(ISNUMBER(F459),ISNUMBER(G459))),"",SUM(F459:G459)))</x:f>
      </x:c>
      <x:c r="I459" s="9"/>
      <x:c r="J459" s="9"/>
      <x:c r="K459" s="9"/>
    </x:row>
    <x:row r="460" ht="22" customHeight="1">
      <x:c r="A460" s="11"/>
      <x:c r="B460" s="9"/>
      <x:c r="C460" s="9"/>
      <x:c r="D460" s="9"/>
      <x:c r="E460" s="9"/>
      <x:c r="F460" s="15"/>
      <x:c r="G460" s="15"/>
      <x:c r="H460" s="17" t="str">
        <x:f>IF(B460="","",IF(NOT(AND(ISNUMBER(F460),ISNUMBER(G460))),"",SUM(F460:G460)))</x:f>
      </x:c>
      <x:c r="I460" s="9"/>
      <x:c r="J460" s="9"/>
      <x:c r="K460" s="9"/>
    </x:row>
    <x:row r="461" ht="22" customHeight="1">
      <x:c r="A461" s="11"/>
      <x:c r="B461" s="9"/>
      <x:c r="C461" s="9"/>
      <x:c r="D461" s="9"/>
      <x:c r="E461" s="9"/>
      <x:c r="F461" s="15"/>
      <x:c r="G461" s="15"/>
      <x:c r="H461" s="17" t="str">
        <x:f>IF(B461="","",IF(NOT(AND(ISNUMBER(F461),ISNUMBER(G461))),"",SUM(F461:G461)))</x:f>
      </x:c>
      <x:c r="I461" s="9"/>
      <x:c r="J461" s="9"/>
      <x:c r="K461" s="9"/>
    </x:row>
    <x:row r="462" ht="22" customHeight="1">
      <x:c r="A462" s="11"/>
      <x:c r="B462" s="9"/>
      <x:c r="C462" s="9"/>
      <x:c r="D462" s="9"/>
      <x:c r="E462" s="9"/>
      <x:c r="F462" s="15"/>
      <x:c r="G462" s="15"/>
      <x:c r="H462" s="17" t="str">
        <x:f>IF(B462="","",IF(NOT(AND(ISNUMBER(F462),ISNUMBER(G462))),"",SUM(F462:G462)))</x:f>
      </x:c>
      <x:c r="I462" s="9"/>
      <x:c r="J462" s="9"/>
      <x:c r="K462" s="9"/>
    </x:row>
    <x:row r="463" ht="22" customHeight="1">
      <x:c r="A463" s="11"/>
      <x:c r="B463" s="9"/>
      <x:c r="C463" s="9"/>
      <x:c r="D463" s="9"/>
      <x:c r="E463" s="9"/>
      <x:c r="F463" s="15"/>
      <x:c r="G463" s="15"/>
      <x:c r="H463" s="17" t="str">
        <x:f>IF(B463="","",IF(NOT(AND(ISNUMBER(F463),ISNUMBER(G463))),"",SUM(F463:G463)))</x:f>
      </x:c>
      <x:c r="I463" s="9"/>
      <x:c r="J463" s="9"/>
      <x:c r="K463" s="9"/>
    </x:row>
    <x:row r="464" ht="22" customHeight="1">
      <x:c r="A464" s="11"/>
      <x:c r="B464" s="9"/>
      <x:c r="C464" s="9"/>
      <x:c r="D464" s="9"/>
      <x:c r="E464" s="9"/>
      <x:c r="F464" s="15"/>
      <x:c r="G464" s="15"/>
      <x:c r="H464" s="17" t="str">
        <x:f>IF(B464="","",IF(NOT(AND(ISNUMBER(F464),ISNUMBER(G464))),"",SUM(F464:G464)))</x:f>
      </x:c>
      <x:c r="I464" s="9"/>
      <x:c r="J464" s="9"/>
      <x:c r="K464" s="9"/>
    </x:row>
    <x:row r="465" ht="22" customHeight="1">
      <x:c r="A465" s="11"/>
      <x:c r="B465" s="9"/>
      <x:c r="C465" s="9"/>
      <x:c r="D465" s="9"/>
      <x:c r="E465" s="9"/>
      <x:c r="F465" s="15"/>
      <x:c r="G465" s="15"/>
      <x:c r="H465" s="17" t="str">
        <x:f>IF(B465="","",IF(NOT(AND(ISNUMBER(F465),ISNUMBER(G465))),"",SUM(F465:G465)))</x:f>
      </x:c>
      <x:c r="I465" s="9"/>
      <x:c r="J465" s="9"/>
      <x:c r="K465" s="9"/>
    </x:row>
    <x:row r="466" ht="22" customHeight="1">
      <x:c r="A466" s="11"/>
      <x:c r="B466" s="9"/>
      <x:c r="C466" s="9"/>
      <x:c r="D466" s="9"/>
      <x:c r="E466" s="9"/>
      <x:c r="F466" s="15"/>
      <x:c r="G466" s="15"/>
      <x:c r="H466" s="17" t="str">
        <x:f>IF(B466="","",IF(NOT(AND(ISNUMBER(F466),ISNUMBER(G466))),"",SUM(F466:G466)))</x:f>
      </x:c>
      <x:c r="I466" s="9"/>
      <x:c r="J466" s="9"/>
      <x:c r="K466" s="9"/>
    </x:row>
    <x:row r="467" ht="22" customHeight="1">
      <x:c r="A467" s="11"/>
      <x:c r="B467" s="9"/>
      <x:c r="C467" s="9"/>
      <x:c r="D467" s="9"/>
      <x:c r="E467" s="9"/>
      <x:c r="F467" s="15"/>
      <x:c r="G467" s="15"/>
      <x:c r="H467" s="17" t="str">
        <x:f>IF(B467="","",IF(NOT(AND(ISNUMBER(F467),ISNUMBER(G467))),"",SUM(F467:G467)))</x:f>
      </x:c>
      <x:c r="I467" s="9"/>
      <x:c r="J467" s="9"/>
      <x:c r="K467" s="9"/>
    </x:row>
    <x:row r="468" ht="22" customHeight="1">
      <x:c r="A468" s="11"/>
      <x:c r="B468" s="9"/>
      <x:c r="C468" s="9"/>
      <x:c r="D468" s="9"/>
      <x:c r="E468" s="9"/>
      <x:c r="F468" s="15"/>
      <x:c r="G468" s="15"/>
      <x:c r="H468" s="17" t="str">
        <x:f>IF(B468="","",IF(NOT(AND(ISNUMBER(F468),ISNUMBER(G468))),"",SUM(F468:G468)))</x:f>
      </x:c>
      <x:c r="I468" s="9"/>
      <x:c r="J468" s="9"/>
      <x:c r="K468" s="9"/>
    </x:row>
    <x:row r="469" ht="22" customHeight="1">
      <x:c r="A469" s="11"/>
      <x:c r="B469" s="9"/>
      <x:c r="C469" s="9"/>
      <x:c r="D469" s="9"/>
      <x:c r="E469" s="9"/>
      <x:c r="F469" s="15"/>
      <x:c r="G469" s="15"/>
      <x:c r="H469" s="17" t="str">
        <x:f>IF(B469="","",IF(NOT(AND(ISNUMBER(F469),ISNUMBER(G469))),"",SUM(F469:G469)))</x:f>
      </x:c>
      <x:c r="I469" s="9"/>
      <x:c r="J469" s="9"/>
      <x:c r="K469" s="9"/>
    </x:row>
    <x:row r="470" ht="22" customHeight="1">
      <x:c r="A470" s="11"/>
      <x:c r="B470" s="9"/>
      <x:c r="C470" s="9"/>
      <x:c r="D470" s="9"/>
      <x:c r="E470" s="9"/>
      <x:c r="F470" s="15"/>
      <x:c r="G470" s="15"/>
      <x:c r="H470" s="17" t="str">
        <x:f>IF(B470="","",IF(NOT(AND(ISNUMBER(F470),ISNUMBER(G470))),"",SUM(F470:G470)))</x:f>
      </x:c>
      <x:c r="I470" s="9"/>
      <x:c r="J470" s="9"/>
      <x:c r="K470" s="9"/>
    </x:row>
    <x:row r="471" ht="22" customHeight="1">
      <x:c r="A471" s="11"/>
      <x:c r="B471" s="9"/>
      <x:c r="C471" s="9"/>
      <x:c r="D471" s="9"/>
      <x:c r="E471" s="9"/>
      <x:c r="F471" s="15"/>
      <x:c r="G471" s="15"/>
      <x:c r="H471" s="17" t="str">
        <x:f>IF(B471="","",IF(NOT(AND(ISNUMBER(F471),ISNUMBER(G471))),"",SUM(F471:G471)))</x:f>
      </x:c>
      <x:c r="I471" s="9"/>
      <x:c r="J471" s="9"/>
      <x:c r="K471" s="9"/>
    </x:row>
    <x:row r="472" ht="22" customHeight="1">
      <x:c r="A472" s="11"/>
      <x:c r="B472" s="9"/>
      <x:c r="C472" s="9"/>
      <x:c r="D472" s="9"/>
      <x:c r="E472" s="9"/>
      <x:c r="F472" s="15"/>
      <x:c r="G472" s="15"/>
      <x:c r="H472" s="17" t="str">
        <x:f>IF(B472="","",IF(NOT(AND(ISNUMBER(F472),ISNUMBER(G472))),"",SUM(F472:G472)))</x:f>
      </x:c>
      <x:c r="I472" s="9"/>
      <x:c r="J472" s="9"/>
      <x:c r="K472" s="9"/>
    </x:row>
    <x:row r="473" ht="22" customHeight="1">
      <x:c r="A473" s="11"/>
      <x:c r="B473" s="9"/>
      <x:c r="C473" s="9"/>
      <x:c r="D473" s="9"/>
      <x:c r="E473" s="9"/>
      <x:c r="F473" s="15"/>
      <x:c r="G473" s="15"/>
      <x:c r="H473" s="17" t="str">
        <x:f>IF(B473="","",IF(NOT(AND(ISNUMBER(F473),ISNUMBER(G473))),"",SUM(F473:G473)))</x:f>
      </x:c>
      <x:c r="I473" s="9"/>
      <x:c r="J473" s="9"/>
      <x:c r="K473" s="9"/>
    </x:row>
    <x:row r="474" ht="22" customHeight="1">
      <x:c r="A474" s="11"/>
      <x:c r="B474" s="9"/>
      <x:c r="C474" s="9"/>
      <x:c r="D474" s="9"/>
      <x:c r="E474" s="9"/>
      <x:c r="F474" s="15"/>
      <x:c r="G474" s="15"/>
      <x:c r="H474" s="17" t="str">
        <x:f>IF(B474="","",IF(NOT(AND(ISNUMBER(F474),ISNUMBER(G474))),"",SUM(F474:G474)))</x:f>
      </x:c>
      <x:c r="I474" s="9"/>
      <x:c r="J474" s="9"/>
      <x:c r="K474" s="9"/>
    </x:row>
    <x:row r="475" ht="22" customHeight="1">
      <x:c r="A475" s="11"/>
      <x:c r="B475" s="9"/>
      <x:c r="C475" s="9"/>
      <x:c r="D475" s="9"/>
      <x:c r="E475" s="9"/>
      <x:c r="F475" s="15"/>
      <x:c r="G475" s="15"/>
      <x:c r="H475" s="17" t="str">
        <x:f>IF(B475="","",IF(NOT(AND(ISNUMBER(F475),ISNUMBER(G475))),"",SUM(F475:G475)))</x:f>
      </x:c>
      <x:c r="I475" s="9"/>
      <x:c r="J475" s="9"/>
      <x:c r="K475" s="9"/>
    </x:row>
    <x:row r="476" ht="22" customHeight="1">
      <x:c r="A476" s="11"/>
      <x:c r="B476" s="9"/>
      <x:c r="C476" s="9"/>
      <x:c r="D476" s="9"/>
      <x:c r="E476" s="9"/>
      <x:c r="F476" s="15"/>
      <x:c r="G476" s="15"/>
      <x:c r="H476" s="17" t="str">
        <x:f>IF(B476="","",IF(NOT(AND(ISNUMBER(F476),ISNUMBER(G476))),"",SUM(F476:G476)))</x:f>
      </x:c>
      <x:c r="I476" s="9"/>
      <x:c r="J476" s="9"/>
      <x:c r="K476" s="9"/>
    </x:row>
    <x:row r="477" ht="22" customHeight="1">
      <x:c r="A477" s="11"/>
      <x:c r="B477" s="9"/>
      <x:c r="C477" s="9"/>
      <x:c r="D477" s="9"/>
      <x:c r="E477" s="9"/>
      <x:c r="F477" s="15"/>
      <x:c r="G477" s="15"/>
      <x:c r="H477" s="17" t="str">
        <x:f>IF(B477="","",IF(NOT(AND(ISNUMBER(F477),ISNUMBER(G477))),"",SUM(F477:G477)))</x:f>
      </x:c>
      <x:c r="I477" s="9"/>
      <x:c r="J477" s="9"/>
      <x:c r="K477" s="9"/>
    </x:row>
    <x:row r="478" ht="22" customHeight="1">
      <x:c r="A478" s="11"/>
      <x:c r="B478" s="9"/>
      <x:c r="C478" s="9"/>
      <x:c r="D478" s="9"/>
      <x:c r="E478" s="9"/>
      <x:c r="F478" s="15"/>
      <x:c r="G478" s="15"/>
      <x:c r="H478" s="17" t="str">
        <x:f>IF(B478="","",IF(NOT(AND(ISNUMBER(F478),ISNUMBER(G478))),"",SUM(F478:G478)))</x:f>
      </x:c>
      <x:c r="I478" s="9"/>
      <x:c r="J478" s="9"/>
      <x:c r="K478" s="9"/>
    </x:row>
    <x:row r="479" ht="22" customHeight="1">
      <x:c r="A479" s="11"/>
      <x:c r="B479" s="9"/>
      <x:c r="C479" s="9"/>
      <x:c r="D479" s="9"/>
      <x:c r="E479" s="9"/>
      <x:c r="F479" s="15"/>
      <x:c r="G479" s="15"/>
      <x:c r="H479" s="17" t="str">
        <x:f>IF(B479="","",IF(NOT(AND(ISNUMBER(F479),ISNUMBER(G479))),"",SUM(F479:G479)))</x:f>
      </x:c>
      <x:c r="I479" s="9"/>
      <x:c r="J479" s="9"/>
      <x:c r="K479" s="9"/>
    </x:row>
    <x:row r="480" ht="22" customHeight="1">
      <x:c r="A480" s="11"/>
      <x:c r="B480" s="9"/>
      <x:c r="C480" s="9"/>
      <x:c r="D480" s="9"/>
      <x:c r="E480" s="9"/>
      <x:c r="F480" s="15"/>
      <x:c r="G480" s="15"/>
      <x:c r="H480" s="17" t="str">
        <x:f>IF(B480="","",IF(NOT(AND(ISNUMBER(F480),ISNUMBER(G480))),"",SUM(F480:G480)))</x:f>
      </x:c>
      <x:c r="I480" s="9"/>
      <x:c r="J480" s="9"/>
      <x:c r="K480" s="9"/>
    </x:row>
    <x:row r="481" ht="22" customHeight="1">
      <x:c r="A481" s="11"/>
      <x:c r="B481" s="9"/>
      <x:c r="C481" s="9"/>
      <x:c r="D481" s="9"/>
      <x:c r="E481" s="9"/>
      <x:c r="F481" s="15"/>
      <x:c r="G481" s="15"/>
      <x:c r="H481" s="17" t="str">
        <x:f>IF(B481="","",IF(NOT(AND(ISNUMBER(F481),ISNUMBER(G481))),"",SUM(F481:G481)))</x:f>
      </x:c>
      <x:c r="I481" s="9"/>
      <x:c r="J481" s="9"/>
      <x:c r="K481" s="9"/>
    </x:row>
    <x:row r="482" ht="22" customHeight="1">
      <x:c r="A482" s="11"/>
      <x:c r="B482" s="9"/>
      <x:c r="C482" s="9"/>
      <x:c r="D482" s="9"/>
      <x:c r="E482" s="9"/>
      <x:c r="F482" s="15"/>
      <x:c r="G482" s="15"/>
      <x:c r="H482" s="17" t="str">
        <x:f>IF(B482="","",IF(NOT(AND(ISNUMBER(F482),ISNUMBER(G482))),"",SUM(F482:G482)))</x:f>
      </x:c>
      <x:c r="I482" s="9"/>
      <x:c r="J482" s="9"/>
      <x:c r="K482" s="9"/>
    </x:row>
    <x:row r="483" ht="22" customHeight="1">
      <x:c r="A483" s="11"/>
      <x:c r="B483" s="9"/>
      <x:c r="C483" s="9"/>
      <x:c r="D483" s="9"/>
      <x:c r="E483" s="9"/>
      <x:c r="F483" s="15"/>
      <x:c r="G483" s="15"/>
      <x:c r="H483" s="17" t="str">
        <x:f>IF(B483="","",IF(NOT(AND(ISNUMBER(F483),ISNUMBER(G483))),"",SUM(F483:G483)))</x:f>
      </x:c>
      <x:c r="I483" s="9"/>
      <x:c r="J483" s="9"/>
      <x:c r="K483" s="9"/>
    </x:row>
    <x:row r="484" ht="22" customHeight="1">
      <x:c r="A484" s="11"/>
      <x:c r="B484" s="9"/>
      <x:c r="C484" s="9"/>
      <x:c r="D484" s="9"/>
      <x:c r="E484" s="9"/>
      <x:c r="F484" s="15"/>
      <x:c r="G484" s="15"/>
      <x:c r="H484" s="17" t="str">
        <x:f>IF(B484="","",IF(NOT(AND(ISNUMBER(F484),ISNUMBER(G484))),"",SUM(F484:G484)))</x:f>
      </x:c>
      <x:c r="I484" s="9"/>
      <x:c r="J484" s="9"/>
      <x:c r="K484" s="9"/>
    </x:row>
    <x:row r="485" ht="22" customHeight="1">
      <x:c r="A485" s="11"/>
      <x:c r="B485" s="9"/>
      <x:c r="C485" s="9"/>
      <x:c r="D485" s="9"/>
      <x:c r="E485" s="9"/>
      <x:c r="F485" s="15"/>
      <x:c r="G485" s="15"/>
      <x:c r="H485" s="17" t="str">
        <x:f>IF(B485="","",IF(NOT(AND(ISNUMBER(F485),ISNUMBER(G485))),"",SUM(F485:G485)))</x:f>
      </x:c>
      <x:c r="I485" s="9"/>
      <x:c r="J485" s="9"/>
      <x:c r="K485" s="9"/>
    </x:row>
    <x:row r="486" ht="22" customHeight="1">
      <x:c r="A486" s="11"/>
      <x:c r="B486" s="9"/>
      <x:c r="C486" s="9"/>
      <x:c r="D486" s="9"/>
      <x:c r="E486" s="9"/>
      <x:c r="F486" s="15"/>
      <x:c r="G486" s="15"/>
      <x:c r="H486" s="17" t="str">
        <x:f>IF(B486="","",IF(NOT(AND(ISNUMBER(F486),ISNUMBER(G486))),"",SUM(F486:G486)))</x:f>
      </x:c>
      <x:c r="I486" s="9"/>
      <x:c r="J486" s="9"/>
      <x:c r="K486" s="9"/>
    </x:row>
    <x:row r="487" ht="22" customHeight="1">
      <x:c r="A487" s="11"/>
      <x:c r="B487" s="9"/>
      <x:c r="C487" s="9"/>
      <x:c r="D487" s="9"/>
      <x:c r="E487" s="9"/>
      <x:c r="F487" s="15"/>
      <x:c r="G487" s="15"/>
      <x:c r="H487" s="17" t="str">
        <x:f>IF(B487="","",IF(NOT(AND(ISNUMBER(F487),ISNUMBER(G487))),"",SUM(F487:G487)))</x:f>
      </x:c>
      <x:c r="I487" s="9"/>
      <x:c r="J487" s="9"/>
      <x:c r="K487" s="9"/>
    </x:row>
    <x:row r="488" ht="22" customHeight="1">
      <x:c r="A488" s="11"/>
      <x:c r="B488" s="9"/>
      <x:c r="C488" s="9"/>
      <x:c r="D488" s="9"/>
      <x:c r="E488" s="9"/>
      <x:c r="F488" s="15"/>
      <x:c r="G488" s="15"/>
      <x:c r="H488" s="17" t="str">
        <x:f>IF(B488="","",IF(NOT(AND(ISNUMBER(F488),ISNUMBER(G488))),"",SUM(F488:G488)))</x:f>
      </x:c>
      <x:c r="I488" s="9"/>
      <x:c r="J488" s="9"/>
      <x:c r="K488" s="9"/>
    </x:row>
    <x:row r="489" ht="22" customHeight="1">
      <x:c r="A489" s="11"/>
      <x:c r="B489" s="9"/>
      <x:c r="C489" s="9"/>
      <x:c r="D489" s="9"/>
      <x:c r="E489" s="9"/>
      <x:c r="F489" s="15"/>
      <x:c r="G489" s="15"/>
      <x:c r="H489" s="17" t="str">
        <x:f>IF(B489="","",IF(NOT(AND(ISNUMBER(F489),ISNUMBER(G489))),"",SUM(F489:G489)))</x:f>
      </x:c>
      <x:c r="I489" s="9"/>
      <x:c r="J489" s="9"/>
      <x:c r="K489" s="9"/>
    </x:row>
    <x:row r="490" ht="22" customHeight="1">
      <x:c r="A490" s="11"/>
      <x:c r="B490" s="9"/>
      <x:c r="C490" s="9"/>
      <x:c r="D490" s="9"/>
      <x:c r="E490" s="9"/>
      <x:c r="F490" s="15"/>
      <x:c r="G490" s="15"/>
      <x:c r="H490" s="17" t="str">
        <x:f>IF(B490="","",IF(NOT(AND(ISNUMBER(F490),ISNUMBER(G490))),"",SUM(F490:G490)))</x:f>
      </x:c>
      <x:c r="I490" s="9"/>
      <x:c r="J490" s="9"/>
      <x:c r="K490" s="9"/>
    </x:row>
    <x:row r="491" ht="22" customHeight="1">
      <x:c r="A491" s="11"/>
      <x:c r="B491" s="9"/>
      <x:c r="C491" s="9"/>
      <x:c r="D491" s="9"/>
      <x:c r="E491" s="9"/>
      <x:c r="F491" s="15"/>
      <x:c r="G491" s="15"/>
      <x:c r="H491" s="17" t="str">
        <x:f>IF(B491="","",IF(NOT(AND(ISNUMBER(F491),ISNUMBER(G491))),"",SUM(F491:G491)))</x:f>
      </x:c>
      <x:c r="I491" s="9"/>
      <x:c r="J491" s="9"/>
      <x:c r="K491" s="9"/>
    </x:row>
    <x:row r="492" ht="22" customHeight="1">
      <x:c r="A492" s="11"/>
      <x:c r="B492" s="9"/>
      <x:c r="C492" s="9"/>
      <x:c r="D492" s="9"/>
      <x:c r="E492" s="9"/>
      <x:c r="F492" s="15"/>
      <x:c r="G492" s="15"/>
      <x:c r="H492" s="17" t="str">
        <x:f>IF(B492="","",IF(NOT(AND(ISNUMBER(F492),ISNUMBER(G492))),"",SUM(F492:G492)))</x:f>
      </x:c>
      <x:c r="I492" s="9"/>
      <x:c r="J492" s="9"/>
      <x:c r="K492" s="9"/>
    </x:row>
    <x:row r="493" ht="22" customHeight="1">
      <x:c r="A493" s="11"/>
      <x:c r="B493" s="9"/>
      <x:c r="C493" s="9"/>
      <x:c r="D493" s="9"/>
      <x:c r="E493" s="9"/>
      <x:c r="F493" s="15"/>
      <x:c r="G493" s="15"/>
      <x:c r="H493" s="17" t="str">
        <x:f>IF(B493="","",IF(NOT(AND(ISNUMBER(F493),ISNUMBER(G493))),"",SUM(F493:G493)))</x:f>
      </x:c>
      <x:c r="I493" s="9"/>
      <x:c r="J493" s="9"/>
      <x:c r="K493" s="9"/>
    </x:row>
    <x:row r="494" ht="22" customHeight="1">
      <x:c r="A494" s="11"/>
      <x:c r="B494" s="9"/>
      <x:c r="C494" s="9"/>
      <x:c r="D494" s="9"/>
      <x:c r="E494" s="9"/>
      <x:c r="F494" s="15"/>
      <x:c r="G494" s="15"/>
      <x:c r="H494" s="17" t="str">
        <x:f>IF(B494="","",IF(NOT(AND(ISNUMBER(F494),ISNUMBER(G494))),"",SUM(F494:G494)))</x:f>
      </x:c>
      <x:c r="I494" s="9"/>
      <x:c r="J494" s="9"/>
      <x:c r="K494" s="9"/>
    </x:row>
    <x:row r="495" ht="22" customHeight="1">
      <x:c r="A495" s="11"/>
      <x:c r="B495" s="9"/>
      <x:c r="C495" s="9"/>
      <x:c r="D495" s="9"/>
      <x:c r="E495" s="9"/>
      <x:c r="F495" s="15"/>
      <x:c r="G495" s="15"/>
      <x:c r="H495" s="17" t="str">
        <x:f>IF(B495="","",IF(NOT(AND(ISNUMBER(F495),ISNUMBER(G495))),"",SUM(F495:G495)))</x:f>
      </x:c>
      <x:c r="I495" s="9"/>
      <x:c r="J495" s="9"/>
      <x:c r="K495" s="9"/>
    </x:row>
    <x:row r="496" ht="22" customHeight="1">
      <x:c r="A496" s="11"/>
      <x:c r="B496" s="9"/>
      <x:c r="C496" s="9"/>
      <x:c r="D496" s="9"/>
      <x:c r="E496" s="9"/>
      <x:c r="F496" s="15"/>
      <x:c r="G496" s="15"/>
      <x:c r="H496" s="17" t="str">
        <x:f>IF(B496="","",IF(NOT(AND(ISNUMBER(F496),ISNUMBER(G496))),"",SUM(F496:G496)))</x:f>
      </x:c>
      <x:c r="I496" s="9"/>
      <x:c r="J496" s="9"/>
      <x:c r="K496" s="9"/>
    </x:row>
    <x:row r="497" ht="22" customHeight="1">
      <x:c r="A497" s="11"/>
      <x:c r="B497" s="9"/>
      <x:c r="C497" s="9"/>
      <x:c r="D497" s="9"/>
      <x:c r="E497" s="9"/>
      <x:c r="F497" s="15"/>
      <x:c r="G497" s="15"/>
      <x:c r="H497" s="17" t="str">
        <x:f>IF(B497="","",IF(NOT(AND(ISNUMBER(F497),ISNUMBER(G497))),"",SUM(F497:G497)))</x:f>
      </x:c>
      <x:c r="I497" s="9"/>
      <x:c r="J497" s="9"/>
      <x:c r="K497" s="9"/>
    </x:row>
    <x:row r="498" ht="22" customHeight="1">
      <x:c r="A498" s="11"/>
      <x:c r="B498" s="9"/>
      <x:c r="C498" s="9"/>
      <x:c r="D498" s="9"/>
      <x:c r="E498" s="9"/>
      <x:c r="F498" s="15"/>
      <x:c r="G498" s="15"/>
      <x:c r="H498" s="17" t="str">
        <x:f>IF(B498="","",IF(NOT(AND(ISNUMBER(F498),ISNUMBER(G498))),"",SUM(F498:G498)))</x:f>
      </x:c>
      <x:c r="I498" s="9"/>
      <x:c r="J498" s="9"/>
      <x:c r="K498" s="9"/>
    </x:row>
    <x:row r="499" ht="22" customHeight="1">
      <x:c r="A499" s="11"/>
      <x:c r="B499" s="9"/>
      <x:c r="C499" s="9"/>
      <x:c r="D499" s="9"/>
      <x:c r="E499" s="9"/>
      <x:c r="F499" s="15"/>
      <x:c r="G499" s="15"/>
      <x:c r="H499" s="17" t="str">
        <x:f>IF(B499="","",IF(NOT(AND(ISNUMBER(F499),ISNUMBER(G499))),"",SUM(F499:G499)))</x:f>
      </x:c>
      <x:c r="I499" s="9"/>
      <x:c r="J499" s="9"/>
      <x:c r="K499" s="9"/>
    </x:row>
    <x:row r="500" ht="22" customHeight="1">
      <x:c r="A500" s="11"/>
      <x:c r="B500" s="9"/>
      <x:c r="C500" s="9"/>
      <x:c r="D500" s="9"/>
      <x:c r="E500" s="9"/>
      <x:c r="F500" s="15"/>
      <x:c r="G500" s="15"/>
      <x:c r="H500" s="17" t="str">
        <x:f>IF(B500="","",IF(NOT(AND(ISNUMBER(F500),ISNUMBER(G500))),"",SUM(F500:G500)))</x:f>
      </x:c>
      <x:c r="I500" s="9"/>
      <x:c r="J500" s="9"/>
      <x:c r="K500" s="9"/>
    </x:row>
    <x:row r="501" ht="22" customHeight="1">
      <x:c r="A501" s="11"/>
      <x:c r="B501" s="9"/>
      <x:c r="C501" s="9"/>
      <x:c r="D501" s="9"/>
      <x:c r="E501" s="9"/>
      <x:c r="F501" s="15"/>
      <x:c r="G501" s="15"/>
      <x:c r="H501" s="17" t="str">
        <x:f>IF(B501="","",IF(NOT(AND(ISNUMBER(F501),ISNUMBER(G501))),"",SUM(F501:G501)))</x:f>
      </x:c>
      <x:c r="I501" s="9"/>
      <x:c r="J501" s="9"/>
      <x:c r="K501" s="9"/>
    </x:row>
    <x:row r="502" ht="22" customHeight="1">
      <x:c r="A502" s="11"/>
      <x:c r="B502" s="9"/>
      <x:c r="C502" s="9"/>
      <x:c r="D502" s="9"/>
      <x:c r="E502" s="9"/>
      <x:c r="F502" s="15"/>
      <x:c r="G502" s="15"/>
      <x:c r="H502" s="17" t="str">
        <x:f>IF(B502="","",IF(NOT(AND(ISNUMBER(F502),ISNUMBER(G502))),"",SUM(F502:G502)))</x:f>
      </x:c>
      <x:c r="I502" s="9"/>
      <x:c r="J502" s="9"/>
      <x:c r="K502" s="9"/>
    </x:row>
    <x:row r="503" ht="22" customHeight="1">
      <x:c r="A503" s="11"/>
      <x:c r="B503" s="9"/>
      <x:c r="C503" s="9"/>
      <x:c r="D503" s="9"/>
      <x:c r="E503" s="9"/>
      <x:c r="F503" s="15"/>
      <x:c r="G503" s="15"/>
      <x:c r="H503" s="17" t="str">
        <x:f>IF(B503="","",IF(NOT(AND(ISNUMBER(F503),ISNUMBER(G503))),"",SUM(F503:G503)))</x:f>
      </x:c>
      <x:c r="I503" s="9"/>
      <x:c r="J503" s="9"/>
      <x:c r="K503" s="9"/>
    </x:row>
    <x:row r="504" ht="22" customHeight="1">
      <x:c r="A504" s="11"/>
      <x:c r="B504" s="9"/>
      <x:c r="C504" s="9"/>
      <x:c r="D504" s="9"/>
      <x:c r="E504" s="9"/>
      <x:c r="F504" s="15"/>
      <x:c r="G504" s="15"/>
      <x:c r="H504" s="17" t="str">
        <x:f>IF(B504="","",IF(NOT(AND(ISNUMBER(F504),ISNUMBER(G504))),"",SUM(F504:G504)))</x:f>
      </x:c>
      <x:c r="I504" s="9"/>
      <x:c r="J504" s="9"/>
      <x:c r="K504" s="9"/>
    </x:row>
    <x:row r="505" ht="22" customHeight="1">
      <x:c r="A505" s="11"/>
      <x:c r="B505" s="9"/>
      <x:c r="C505" s="9"/>
      <x:c r="D505" s="9"/>
      <x:c r="E505" s="9"/>
      <x:c r="F505" s="15"/>
      <x:c r="G505" s="15"/>
      <x:c r="H505" s="17" t="str">
        <x:f>IF(B505="","",IF(NOT(AND(ISNUMBER(F505),ISNUMBER(G505))),"",SUM(F505:G505)))</x:f>
      </x:c>
      <x:c r="I505" s="9"/>
      <x:c r="J505" s="9"/>
      <x:c r="K505" s="9"/>
    </x:row>
    <x:row r="506" ht="22" customHeight="1">
      <x:c r="A506" s="11"/>
      <x:c r="B506" s="9"/>
      <x:c r="C506" s="9"/>
      <x:c r="D506" s="9"/>
      <x:c r="E506" s="9"/>
      <x:c r="F506" s="15"/>
      <x:c r="G506" s="15"/>
      <x:c r="H506" s="17" t="str">
        <x:f>IF(B506="","",IF(NOT(AND(ISNUMBER(F506),ISNUMBER(G506))),"",SUM(F506:G506)))</x:f>
      </x:c>
      <x:c r="I506" s="9"/>
      <x:c r="J506" s="9"/>
      <x:c r="K506" s="9"/>
    </x:row>
    <x:row r="507" ht="22" customHeight="1">
      <x:c r="A507" s="11"/>
      <x:c r="B507" s="9"/>
      <x:c r="C507" s="9"/>
      <x:c r="D507" s="9"/>
      <x:c r="E507" s="9"/>
      <x:c r="F507" s="15"/>
      <x:c r="G507" s="15"/>
      <x:c r="H507" s="17" t="str">
        <x:f>IF(B507="","",IF(NOT(AND(ISNUMBER(F507),ISNUMBER(G507))),"",SUM(F507:G507)))</x:f>
      </x:c>
      <x:c r="I507" s="9"/>
      <x:c r="J507" s="9"/>
      <x:c r="K507" s="9"/>
    </x:row>
    <x:row r="508" ht="22" customHeight="1">
      <x:c r="A508" s="11"/>
      <x:c r="B508" s="9"/>
      <x:c r="C508" s="9"/>
      <x:c r="D508" s="9"/>
      <x:c r="E508" s="9"/>
      <x:c r="F508" s="15"/>
      <x:c r="G508" s="15"/>
      <x:c r="H508" s="17" t="str">
        <x:f>IF(B508="","",IF(NOT(AND(ISNUMBER(F508),ISNUMBER(G508))),"",SUM(F508:G508)))</x:f>
      </x:c>
      <x:c r="I508" s="9"/>
      <x:c r="J508" s="9"/>
      <x:c r="K508" s="9"/>
    </x:row>
    <x:row r="509" ht="22" customHeight="1">
      <x:c r="A509" s="11"/>
      <x:c r="B509" s="9"/>
      <x:c r="C509" s="9"/>
      <x:c r="D509" s="9"/>
      <x:c r="E509" s="9"/>
      <x:c r="F509" s="15"/>
      <x:c r="G509" s="15"/>
      <x:c r="H509" s="17" t="str">
        <x:f>IF(B509="","",IF(NOT(AND(ISNUMBER(F509),ISNUMBER(G509))),"",SUM(F509:G509)))</x:f>
      </x:c>
      <x:c r="I509" s="9"/>
      <x:c r="J509" s="9"/>
      <x:c r="K509" s="9"/>
    </x:row>
    <x:row r="510" ht="22" customHeight="1">
      <x:c r="A510" s="11"/>
      <x:c r="B510" s="9"/>
      <x:c r="C510" s="9"/>
      <x:c r="D510" s="9"/>
      <x:c r="E510" s="9"/>
      <x:c r="F510" s="15"/>
      <x:c r="G510" s="15"/>
      <x:c r="H510" s="17" t="str">
        <x:f>IF(B510="","",IF(NOT(AND(ISNUMBER(F510),ISNUMBER(G510))),"",SUM(F510:G510)))</x:f>
      </x:c>
      <x:c r="I510" s="9"/>
      <x:c r="J510" s="9"/>
      <x:c r="K510" s="9"/>
    </x:row>
    <x:row r="511" ht="22" customHeight="1">
      <x:c r="A511" s="11"/>
      <x:c r="B511" s="9"/>
      <x:c r="C511" s="9"/>
      <x:c r="D511" s="9"/>
      <x:c r="E511" s="9"/>
      <x:c r="F511" s="15"/>
      <x:c r="G511" s="15"/>
      <x:c r="H511" s="17" t="str">
        <x:f>IF(B511="","",IF(NOT(AND(ISNUMBER(F511),ISNUMBER(G511))),"",SUM(F511:G511)))</x:f>
      </x:c>
      <x:c r="I511" s="9"/>
      <x:c r="J511" s="9"/>
      <x:c r="K511" s="9"/>
    </x:row>
    <x:row r="512" ht="22" customHeight="1">
      <x:c r="A512" s="11"/>
      <x:c r="B512" s="9"/>
      <x:c r="C512" s="9"/>
      <x:c r="D512" s="9"/>
      <x:c r="E512" s="9"/>
      <x:c r="F512" s="15"/>
      <x:c r="G512" s="15"/>
      <x:c r="H512" s="17" t="str">
        <x:f>IF(B512="","",IF(NOT(AND(ISNUMBER(F512),ISNUMBER(G512))),"",SUM(F512:G512)))</x:f>
      </x:c>
      <x:c r="I512" s="9"/>
      <x:c r="J512" s="9"/>
      <x:c r="K512" s="9"/>
    </x:row>
    <x:row r="513" ht="22" customHeight="1">
      <x:c r="A513" s="11"/>
      <x:c r="B513" s="9"/>
      <x:c r="C513" s="9"/>
      <x:c r="D513" s="9"/>
      <x:c r="E513" s="9"/>
      <x:c r="F513" s="15"/>
      <x:c r="G513" s="15"/>
      <x:c r="H513" s="17" t="str">
        <x:f>IF(B513="","",IF(NOT(AND(ISNUMBER(F513),ISNUMBER(G513))),"",SUM(F513:G513)))</x:f>
      </x:c>
      <x:c r="I513" s="9"/>
      <x:c r="J513" s="9"/>
      <x:c r="K513" s="9"/>
    </x:row>
    <x:row r="514" ht="22" customHeight="1">
      <x:c r="A514" s="11"/>
      <x:c r="B514" s="9"/>
      <x:c r="C514" s="9"/>
      <x:c r="D514" s="9"/>
      <x:c r="E514" s="9"/>
      <x:c r="F514" s="15"/>
      <x:c r="G514" s="15"/>
      <x:c r="H514" s="17" t="str">
        <x:f>IF(B514="","",IF(NOT(AND(ISNUMBER(F514),ISNUMBER(G514))),"",SUM(F514:G514)))</x:f>
      </x:c>
      <x:c r="I514" s="9"/>
      <x:c r="J514" s="9"/>
      <x:c r="K514" s="9"/>
    </x:row>
    <x:row r="515" ht="22" customHeight="1">
      <x:c r="A515" s="11"/>
      <x:c r="B515" s="9"/>
      <x:c r="C515" s="9"/>
      <x:c r="D515" s="9"/>
      <x:c r="E515" s="9"/>
      <x:c r="F515" s="15"/>
      <x:c r="G515" s="15"/>
      <x:c r="H515" s="17" t="str">
        <x:f>IF(B515="","",IF(NOT(AND(ISNUMBER(F515),ISNUMBER(G515))),"",SUM(F515:G515)))</x:f>
      </x:c>
      <x:c r="I515" s="9"/>
      <x:c r="J515" s="9"/>
      <x:c r="K515" s="9"/>
    </x:row>
    <x:row r="516" ht="22" customHeight="1">
      <x:c r="A516" s="11"/>
      <x:c r="B516" s="9"/>
      <x:c r="C516" s="9"/>
      <x:c r="D516" s="9"/>
      <x:c r="E516" s="9"/>
      <x:c r="F516" s="15"/>
      <x:c r="G516" s="15"/>
      <x:c r="H516" s="17" t="str">
        <x:f>IF(B516="","",IF(NOT(AND(ISNUMBER(F516),ISNUMBER(G516))),"",SUM(F516:G516)))</x:f>
      </x:c>
      <x:c r="I516" s="9"/>
      <x:c r="J516" s="9"/>
      <x:c r="K516" s="9"/>
    </x:row>
    <x:row r="517" ht="22" customHeight="1">
      <x:c r="A517" s="11"/>
      <x:c r="B517" s="9"/>
      <x:c r="C517" s="9"/>
      <x:c r="D517" s="9"/>
      <x:c r="E517" s="9"/>
      <x:c r="F517" s="15"/>
      <x:c r="G517" s="15"/>
      <x:c r="H517" s="17" t="str">
        <x:f>IF(B517="","",IF(NOT(AND(ISNUMBER(F517),ISNUMBER(G517))),"",SUM(F517:G517)))</x:f>
      </x:c>
      <x:c r="I517" s="9"/>
      <x:c r="J517" s="9"/>
      <x:c r="K517" s="9"/>
    </x:row>
    <x:row r="518" ht="22" customHeight="1">
      <x:c r="A518" s="11"/>
      <x:c r="B518" s="9"/>
      <x:c r="C518" s="9"/>
      <x:c r="D518" s="9"/>
      <x:c r="E518" s="9"/>
      <x:c r="F518" s="15"/>
      <x:c r="G518" s="15"/>
      <x:c r="H518" s="17" t="str">
        <x:f>IF(B518="","",IF(NOT(AND(ISNUMBER(F518),ISNUMBER(G518))),"",SUM(F518:G518)))</x:f>
      </x:c>
      <x:c r="I518" s="9"/>
      <x:c r="J518" s="9"/>
      <x:c r="K518" s="9"/>
    </x:row>
    <x:row r="519" ht="22" customHeight="1">
      <x:c r="A519" s="11"/>
      <x:c r="B519" s="9"/>
      <x:c r="C519" s="9"/>
      <x:c r="D519" s="9"/>
      <x:c r="E519" s="9"/>
      <x:c r="F519" s="15"/>
      <x:c r="G519" s="15"/>
      <x:c r="H519" s="17" t="str">
        <x:f>IF(B519="","",IF(NOT(AND(ISNUMBER(F519),ISNUMBER(G519))),"",SUM(F519:G519)))</x:f>
      </x:c>
      <x:c r="I519" s="9"/>
      <x:c r="J519" s="9"/>
      <x:c r="K519" s="9"/>
    </x:row>
    <x:row r="520" ht="22" customHeight="1">
      <x:c r="A520" s="11"/>
      <x:c r="B520" s="9"/>
      <x:c r="C520" s="9"/>
      <x:c r="D520" s="9"/>
      <x:c r="E520" s="9"/>
      <x:c r="F520" s="15"/>
      <x:c r="G520" s="15"/>
      <x:c r="H520" s="17" t="str">
        <x:f>IF(B520="","",IF(NOT(AND(ISNUMBER(F520),ISNUMBER(G520))),"",SUM(F520:G520)))</x:f>
      </x:c>
      <x:c r="I520" s="9"/>
      <x:c r="J520" s="9"/>
      <x:c r="K520" s="9"/>
    </x:row>
    <x:row r="521" ht="22" customHeight="1">
      <x:c r="A521" s="11"/>
      <x:c r="B521" s="9"/>
      <x:c r="C521" s="9"/>
      <x:c r="D521" s="9"/>
      <x:c r="E521" s="9"/>
      <x:c r="F521" s="15"/>
      <x:c r="G521" s="15"/>
      <x:c r="H521" s="17" t="str">
        <x:f>IF(B521="","",IF(NOT(AND(ISNUMBER(F521),ISNUMBER(G521))),"",SUM(F521:G521)))</x:f>
      </x:c>
      <x:c r="I521" s="9"/>
      <x:c r="J521" s="9"/>
      <x:c r="K521" s="9"/>
    </x:row>
    <x:row r="522" ht="22" customHeight="1">
      <x:c r="A522" s="11"/>
      <x:c r="B522" s="9"/>
      <x:c r="C522" s="9"/>
      <x:c r="D522" s="9"/>
      <x:c r="E522" s="9"/>
      <x:c r="F522" s="15"/>
      <x:c r="G522" s="15"/>
      <x:c r="H522" s="17" t="str">
        <x:f>IF(B522="","",IF(NOT(AND(ISNUMBER(F522),ISNUMBER(G522))),"",SUM(F522:G522)))</x:f>
      </x:c>
      <x:c r="I522" s="9"/>
      <x:c r="J522" s="9"/>
      <x:c r="K522" s="9"/>
    </x:row>
    <x:row r="523" ht="22" customHeight="1">
      <x:c r="A523" s="11"/>
      <x:c r="B523" s="9"/>
      <x:c r="C523" s="9"/>
      <x:c r="D523" s="9"/>
      <x:c r="E523" s="9"/>
      <x:c r="F523" s="15"/>
      <x:c r="G523" s="15"/>
      <x:c r="H523" s="17" t="str">
        <x:f>IF(B523="","",IF(NOT(AND(ISNUMBER(F523),ISNUMBER(G523))),"",SUM(F523:G523)))</x:f>
      </x:c>
      <x:c r="I523" s="9"/>
      <x:c r="J523" s="9"/>
      <x:c r="K523" s="9"/>
    </x:row>
    <x:row r="524" ht="22" customHeight="1">
      <x:c r="A524" s="11"/>
      <x:c r="B524" s="9"/>
      <x:c r="C524" s="9"/>
      <x:c r="D524" s="9"/>
      <x:c r="E524" s="9"/>
      <x:c r="F524" s="15"/>
      <x:c r="G524" s="15"/>
      <x:c r="H524" s="17" t="str">
        <x:f>IF(B524="","",IF(NOT(AND(ISNUMBER(F524),ISNUMBER(G524))),"",SUM(F524:G524)))</x:f>
      </x:c>
      <x:c r="I524" s="9"/>
      <x:c r="J524" s="9"/>
      <x:c r="K524" s="9"/>
    </x:row>
    <x:row r="525" ht="22" customHeight="1">
      <x:c r="A525" s="11"/>
      <x:c r="B525" s="9"/>
      <x:c r="C525" s="9"/>
      <x:c r="D525" s="9"/>
      <x:c r="E525" s="9"/>
      <x:c r="F525" s="15"/>
      <x:c r="G525" s="15"/>
      <x:c r="H525" s="17" t="str">
        <x:f>IF(B525="","",IF(NOT(AND(ISNUMBER(F525),ISNUMBER(G525))),"",SUM(F525:G525)))</x:f>
      </x:c>
      <x:c r="I525" s="9"/>
      <x:c r="J525" s="9"/>
      <x:c r="K525" s="9"/>
    </x:row>
    <x:row r="526" ht="22" customHeight="1">
      <x:c r="A526" s="11"/>
      <x:c r="B526" s="9"/>
      <x:c r="C526" s="9"/>
      <x:c r="D526" s="9"/>
      <x:c r="E526" s="9"/>
      <x:c r="F526" s="15"/>
      <x:c r="G526" s="15"/>
      <x:c r="H526" s="17" t="str">
        <x:f>IF(B526="","",IF(NOT(AND(ISNUMBER(F526),ISNUMBER(G526))),"",SUM(F526:G526)))</x:f>
      </x:c>
      <x:c r="I526" s="9"/>
      <x:c r="J526" s="9"/>
      <x:c r="K526" s="9"/>
    </x:row>
    <x:row r="527" ht="22" customHeight="1">
      <x:c r="A527" s="11"/>
      <x:c r="B527" s="9"/>
      <x:c r="C527" s="9"/>
      <x:c r="D527" s="9"/>
      <x:c r="E527" s="9"/>
      <x:c r="F527" s="15"/>
      <x:c r="G527" s="15"/>
      <x:c r="H527" s="17" t="str">
        <x:f>IF(B527="","",IF(NOT(AND(ISNUMBER(F527),ISNUMBER(G527))),"",SUM(F527:G527)))</x:f>
      </x:c>
      <x:c r="I527" s="9"/>
      <x:c r="J527" s="9"/>
      <x:c r="K527" s="9"/>
    </x:row>
    <x:row r="528" ht="22" customHeight="1">
      <x:c r="A528" s="11"/>
      <x:c r="B528" s="9"/>
      <x:c r="C528" s="9"/>
      <x:c r="D528" s="9"/>
      <x:c r="E528" s="9"/>
      <x:c r="F528" s="15"/>
      <x:c r="G528" s="15"/>
      <x:c r="H528" s="17" t="str">
        <x:f>IF(B528="","",IF(NOT(AND(ISNUMBER(F528),ISNUMBER(G528))),"",SUM(F528:G528)))</x:f>
      </x:c>
      <x:c r="I528" s="9"/>
      <x:c r="J528" s="9"/>
      <x:c r="K528" s="9"/>
    </x:row>
    <x:row r="529" ht="22" customHeight="1">
      <x:c r="A529" s="11"/>
      <x:c r="B529" s="9"/>
      <x:c r="C529" s="9"/>
      <x:c r="D529" s="9"/>
      <x:c r="E529" s="9"/>
      <x:c r="F529" s="15"/>
      <x:c r="G529" s="15"/>
      <x:c r="H529" s="17" t="str">
        <x:f>IF(B529="","",IF(NOT(AND(ISNUMBER(F529),ISNUMBER(G529))),"",SUM(F529:G529)))</x:f>
      </x:c>
      <x:c r="I529" s="9"/>
      <x:c r="J529" s="9"/>
      <x:c r="K529" s="9"/>
    </x:row>
    <x:row r="530" ht="22" customHeight="1">
      <x:c r="A530" s="11"/>
      <x:c r="B530" s="9"/>
      <x:c r="C530" s="9"/>
      <x:c r="D530" s="9"/>
      <x:c r="E530" s="9"/>
      <x:c r="F530" s="15"/>
      <x:c r="G530" s="15"/>
      <x:c r="H530" s="17" t="str">
        <x:f>IF(B530="","",IF(NOT(AND(ISNUMBER(F530),ISNUMBER(G530))),"",SUM(F530:G530)))</x:f>
      </x:c>
      <x:c r="I530" s="9"/>
      <x:c r="J530" s="9"/>
      <x:c r="K530" s="9"/>
    </x:row>
    <x:row r="531" ht="22" customHeight="1">
      <x:c r="A531" s="11"/>
      <x:c r="B531" s="9"/>
      <x:c r="C531" s="9"/>
      <x:c r="D531" s="9"/>
      <x:c r="E531" s="9"/>
      <x:c r="F531" s="15"/>
      <x:c r="G531" s="15"/>
      <x:c r="H531" s="17" t="str">
        <x:f>IF(B531="","",IF(NOT(AND(ISNUMBER(F531),ISNUMBER(G531))),"",SUM(F531:G531)))</x:f>
      </x:c>
      <x:c r="I531" s="9"/>
      <x:c r="J531" s="9"/>
      <x:c r="K531" s="9"/>
    </x:row>
    <x:row r="532" ht="22" customHeight="1">
      <x:c r="A532" s="11"/>
      <x:c r="B532" s="9"/>
      <x:c r="C532" s="9"/>
      <x:c r="D532" s="9"/>
      <x:c r="E532" s="9"/>
      <x:c r="F532" s="15"/>
      <x:c r="G532" s="15"/>
      <x:c r="H532" s="17" t="str">
        <x:f>IF(B532="","",IF(NOT(AND(ISNUMBER(F532),ISNUMBER(G532))),"",SUM(F532:G532)))</x:f>
      </x:c>
      <x:c r="I532" s="9"/>
      <x:c r="J532" s="9"/>
      <x:c r="K532" s="9"/>
    </x:row>
    <x:row r="533" ht="22" customHeight="1">
      <x:c r="A533" s="11"/>
      <x:c r="B533" s="9"/>
      <x:c r="C533" s="9"/>
      <x:c r="D533" s="9"/>
      <x:c r="E533" s="9"/>
      <x:c r="F533" s="15"/>
      <x:c r="G533" s="15"/>
      <x:c r="H533" s="17" t="str">
        <x:f>IF(B533="","",IF(NOT(AND(ISNUMBER(F533),ISNUMBER(G533))),"",SUM(F533:G533)))</x:f>
      </x:c>
      <x:c r="I533" s="9"/>
      <x:c r="J533" s="9"/>
      <x:c r="K533" s="9"/>
    </x:row>
    <x:row r="534" ht="22" customHeight="1">
      <x:c r="A534" s="11"/>
      <x:c r="B534" s="9"/>
      <x:c r="C534" s="9"/>
      <x:c r="D534" s="9"/>
      <x:c r="E534" s="9"/>
      <x:c r="F534" s="15"/>
      <x:c r="G534" s="15"/>
      <x:c r="H534" s="17" t="str">
        <x:f>IF(B534="","",IF(NOT(AND(ISNUMBER(F534),ISNUMBER(G534))),"",SUM(F534:G534)))</x:f>
      </x:c>
      <x:c r="I534" s="9"/>
      <x:c r="J534" s="9"/>
      <x:c r="K534" s="9"/>
    </x:row>
    <x:row r="535" ht="22" customHeight="1">
      <x:c r="A535" s="11"/>
      <x:c r="B535" s="9"/>
      <x:c r="C535" s="9"/>
      <x:c r="D535" s="9"/>
      <x:c r="E535" s="9"/>
      <x:c r="F535" s="15"/>
      <x:c r="G535" s="15"/>
      <x:c r="H535" s="17" t="str">
        <x:f>IF(B535="","",IF(NOT(AND(ISNUMBER(F535),ISNUMBER(G535))),"",SUM(F535:G535)))</x:f>
      </x:c>
      <x:c r="I535" s="9"/>
      <x:c r="J535" s="9"/>
      <x:c r="K535" s="9"/>
    </x:row>
    <x:row r="536" ht="22" customHeight="1">
      <x:c r="A536" s="11"/>
      <x:c r="B536" s="9"/>
      <x:c r="C536" s="9"/>
      <x:c r="D536" s="9"/>
      <x:c r="E536" s="9"/>
      <x:c r="F536" s="15"/>
      <x:c r="G536" s="15"/>
      <x:c r="H536" s="17" t="str">
        <x:f>IF(B536="","",IF(NOT(AND(ISNUMBER(F536),ISNUMBER(G536))),"",SUM(F536:G536)))</x:f>
      </x:c>
      <x:c r="I536" s="9"/>
      <x:c r="J536" s="9"/>
      <x:c r="K536" s="9"/>
    </x:row>
    <x:row r="537" ht="22" customHeight="1">
      <x:c r="A537" s="11"/>
      <x:c r="B537" s="9"/>
      <x:c r="C537" s="9"/>
      <x:c r="D537" s="9"/>
      <x:c r="E537" s="9"/>
      <x:c r="F537" s="15"/>
      <x:c r="G537" s="15"/>
      <x:c r="H537" s="17" t="str">
        <x:f>IF(B537="","",IF(NOT(AND(ISNUMBER(F537),ISNUMBER(G537))),"",SUM(F537:G537)))</x:f>
      </x:c>
      <x:c r="I537" s="9"/>
      <x:c r="J537" s="9"/>
      <x:c r="K537" s="9"/>
    </x:row>
    <x:row r="538" ht="22" customHeight="1">
      <x:c r="A538" s="11"/>
      <x:c r="B538" s="9"/>
      <x:c r="C538" s="9"/>
      <x:c r="D538" s="9"/>
      <x:c r="E538" s="9"/>
      <x:c r="F538" s="15"/>
      <x:c r="G538" s="15"/>
      <x:c r="H538" s="17" t="str">
        <x:f>IF(B538="","",IF(NOT(AND(ISNUMBER(F538),ISNUMBER(G538))),"",SUM(F538:G538)))</x:f>
      </x:c>
      <x:c r="I538" s="9"/>
      <x:c r="J538" s="9"/>
      <x:c r="K538" s="9"/>
    </x:row>
    <x:row r="539" ht="22" customHeight="1">
      <x:c r="A539" s="11"/>
      <x:c r="B539" s="9"/>
      <x:c r="C539" s="9"/>
      <x:c r="D539" s="9"/>
      <x:c r="E539" s="9"/>
      <x:c r="F539" s="15"/>
      <x:c r="G539" s="15"/>
      <x:c r="H539" s="17" t="str">
        <x:f>IF(B539="","",IF(NOT(AND(ISNUMBER(F539),ISNUMBER(G539))),"",SUM(F539:G539)))</x:f>
      </x:c>
      <x:c r="I539" s="9"/>
      <x:c r="J539" s="9"/>
      <x:c r="K539" s="9"/>
    </x:row>
    <x:row r="540" ht="22" customHeight="1">
      <x:c r="A540" s="11"/>
      <x:c r="B540" s="9"/>
      <x:c r="C540" s="9"/>
      <x:c r="D540" s="9"/>
      <x:c r="E540" s="9"/>
      <x:c r="F540" s="15"/>
      <x:c r="G540" s="15"/>
      <x:c r="H540" s="17" t="str">
        <x:f>IF(B540="","",IF(NOT(AND(ISNUMBER(F540),ISNUMBER(G540))),"",SUM(F540:G540)))</x:f>
      </x:c>
      <x:c r="I540" s="9"/>
      <x:c r="J540" s="9"/>
      <x:c r="K540" s="9"/>
    </x:row>
    <x:row r="541" ht="22" customHeight="1">
      <x:c r="A541" s="11"/>
      <x:c r="B541" s="9"/>
      <x:c r="C541" s="9"/>
      <x:c r="D541" s="9"/>
      <x:c r="E541" s="9"/>
      <x:c r="F541" s="15"/>
      <x:c r="G541" s="15"/>
      <x:c r="H541" s="17" t="str">
        <x:f>IF(B541="","",IF(NOT(AND(ISNUMBER(F541),ISNUMBER(G541))),"",SUM(F541:G541)))</x:f>
      </x:c>
      <x:c r="I541" s="9"/>
      <x:c r="J541" s="9"/>
      <x:c r="K541" s="9"/>
    </x:row>
    <x:row r="542" ht="22" customHeight="1">
      <x:c r="A542" s="11"/>
      <x:c r="B542" s="9"/>
      <x:c r="C542" s="9"/>
      <x:c r="D542" s="9"/>
      <x:c r="E542" s="9"/>
      <x:c r="F542" s="15"/>
      <x:c r="G542" s="15"/>
      <x:c r="H542" s="17" t="str">
        <x:f>IF(B542="","",IF(NOT(AND(ISNUMBER(F542),ISNUMBER(G542))),"",SUM(F542:G542)))</x:f>
      </x:c>
      <x:c r="I542" s="9"/>
      <x:c r="J542" s="9"/>
      <x:c r="K542" s="9"/>
    </x:row>
    <x:row r="543" ht="22" customHeight="1">
      <x:c r="A543" s="11"/>
      <x:c r="B543" s="9"/>
      <x:c r="C543" s="9"/>
      <x:c r="D543" s="9"/>
      <x:c r="E543" s="9"/>
      <x:c r="F543" s="15"/>
      <x:c r="G543" s="15"/>
      <x:c r="H543" s="17" t="str">
        <x:f>IF(B543="","",IF(NOT(AND(ISNUMBER(F543),ISNUMBER(G543))),"",SUM(F543:G543)))</x:f>
      </x:c>
      <x:c r="I543" s="9"/>
      <x:c r="J543" s="9"/>
      <x:c r="K543" s="9"/>
    </x:row>
    <x:row r="544" ht="22" customHeight="1">
      <x:c r="A544" s="11"/>
      <x:c r="B544" s="9"/>
      <x:c r="C544" s="9"/>
      <x:c r="D544" s="9"/>
      <x:c r="E544" s="9"/>
      <x:c r="F544" s="15"/>
      <x:c r="G544" s="15"/>
      <x:c r="H544" s="17" t="str">
        <x:f>IF(B544="","",IF(NOT(AND(ISNUMBER(F544),ISNUMBER(G544))),"",SUM(F544:G544)))</x:f>
      </x:c>
      <x:c r="I544" s="9"/>
      <x:c r="J544" s="9"/>
      <x:c r="K544" s="9"/>
    </x:row>
    <x:row r="545" ht="22" customHeight="1">
      <x:c r="A545" s="11"/>
      <x:c r="B545" s="9"/>
      <x:c r="C545" s="9"/>
      <x:c r="D545" s="9"/>
      <x:c r="E545" s="9"/>
      <x:c r="F545" s="15"/>
      <x:c r="G545" s="15"/>
      <x:c r="H545" s="17" t="str">
        <x:f>IF(B545="","",IF(NOT(AND(ISNUMBER(F545),ISNUMBER(G545))),"",SUM(F545:G545)))</x:f>
      </x:c>
      <x:c r="I545" s="9"/>
      <x:c r="J545" s="9"/>
      <x:c r="K545" s="9"/>
    </x:row>
    <x:row r="546" ht="22" customHeight="1">
      <x:c r="A546" s="11"/>
      <x:c r="B546" s="9"/>
      <x:c r="C546" s="9"/>
      <x:c r="D546" s="9"/>
      <x:c r="E546" s="9"/>
      <x:c r="F546" s="15"/>
      <x:c r="G546" s="15"/>
      <x:c r="H546" s="17" t="str">
        <x:f>IF(B546="","",IF(NOT(AND(ISNUMBER(F546),ISNUMBER(G546))),"",SUM(F546:G546)))</x:f>
      </x:c>
      <x:c r="I546" s="9"/>
      <x:c r="J546" s="9"/>
      <x:c r="K546" s="9"/>
    </x:row>
    <x:row r="547" ht="22" customHeight="1">
      <x:c r="A547" s="11"/>
      <x:c r="B547" s="9"/>
      <x:c r="C547" s="9"/>
      <x:c r="D547" s="9"/>
      <x:c r="E547" s="9"/>
      <x:c r="F547" s="15"/>
      <x:c r="G547" s="15"/>
      <x:c r="H547" s="17" t="str">
        <x:f>IF(B547="","",IF(NOT(AND(ISNUMBER(F547),ISNUMBER(G547))),"",SUM(F547:G547)))</x:f>
      </x:c>
      <x:c r="I547" s="9"/>
      <x:c r="J547" s="9"/>
      <x:c r="K547" s="9"/>
    </x:row>
    <x:row r="548" ht="22" customHeight="1">
      <x:c r="A548" s="11"/>
      <x:c r="B548" s="9"/>
      <x:c r="C548" s="9"/>
      <x:c r="D548" s="9"/>
      <x:c r="E548" s="9"/>
      <x:c r="F548" s="15"/>
      <x:c r="G548" s="15"/>
      <x:c r="H548" s="17" t="str">
        <x:f>IF(B548="","",IF(NOT(AND(ISNUMBER(F548),ISNUMBER(G548))),"",SUM(F548:G548)))</x:f>
      </x:c>
      <x:c r="I548" s="9"/>
      <x:c r="J548" s="9"/>
      <x:c r="K548" s="9"/>
    </x:row>
    <x:row r="549" ht="22" customHeight="1">
      <x:c r="A549" s="11"/>
      <x:c r="B549" s="9"/>
      <x:c r="C549" s="9"/>
      <x:c r="D549" s="9"/>
      <x:c r="E549" s="9"/>
      <x:c r="F549" s="15"/>
      <x:c r="G549" s="15"/>
      <x:c r="H549" s="17" t="str">
        <x:f>IF(B549="","",IF(NOT(AND(ISNUMBER(F549),ISNUMBER(G549))),"",SUM(F549:G549)))</x:f>
      </x:c>
      <x:c r="I549" s="9"/>
      <x:c r="J549" s="9"/>
      <x:c r="K549" s="9"/>
    </x:row>
    <x:row r="550" ht="22" customHeight="1">
      <x:c r="A550" s="11"/>
      <x:c r="B550" s="9"/>
      <x:c r="C550" s="9"/>
      <x:c r="D550" s="9"/>
      <x:c r="E550" s="9"/>
      <x:c r="F550" s="15"/>
      <x:c r="G550" s="15"/>
      <x:c r="H550" s="17" t="str">
        <x:f>IF(B550="","",IF(NOT(AND(ISNUMBER(F550),ISNUMBER(G550))),"",SUM(F550:G550)))</x:f>
      </x:c>
      <x:c r="I550" s="9"/>
      <x:c r="J550" s="9"/>
      <x:c r="K550" s="9"/>
    </x:row>
    <x:row r="551" ht="22" customHeight="1">
      <x:c r="A551" s="11"/>
      <x:c r="B551" s="9"/>
      <x:c r="C551" s="9"/>
      <x:c r="D551" s="9"/>
      <x:c r="E551" s="9"/>
      <x:c r="F551" s="15"/>
      <x:c r="G551" s="15"/>
      <x:c r="H551" s="17" t="str">
        <x:f>IF(B551="","",IF(NOT(AND(ISNUMBER(F551),ISNUMBER(G551))),"",SUM(F551:G551)))</x:f>
      </x:c>
      <x:c r="I551" s="9"/>
      <x:c r="J551" s="9"/>
      <x:c r="K551" s="9"/>
    </x:row>
    <x:row r="552" ht="22" customHeight="1">
      <x:c r="A552" s="11"/>
      <x:c r="B552" s="9"/>
      <x:c r="C552" s="9"/>
      <x:c r="D552" s="9"/>
      <x:c r="E552" s="9"/>
      <x:c r="F552" s="15"/>
      <x:c r="G552" s="15"/>
      <x:c r="H552" s="17" t="str">
        <x:f>IF(B552="","",IF(NOT(AND(ISNUMBER(F552),ISNUMBER(G552))),"",SUM(F552:G552)))</x:f>
      </x:c>
      <x:c r="I552" s="9"/>
      <x:c r="J552" s="9"/>
      <x:c r="K552" s="9"/>
    </x:row>
    <x:row r="553" ht="22" customHeight="1">
      <x:c r="A553" s="11"/>
      <x:c r="B553" s="9"/>
      <x:c r="C553" s="9"/>
      <x:c r="D553" s="9"/>
      <x:c r="E553" s="9"/>
      <x:c r="F553" s="15"/>
      <x:c r="G553" s="15"/>
      <x:c r="H553" s="17" t="str">
        <x:f>IF(B553="","",IF(NOT(AND(ISNUMBER(F553),ISNUMBER(G553))),"",SUM(F553:G553)))</x:f>
      </x:c>
      <x:c r="I553" s="9"/>
      <x:c r="J553" s="9"/>
      <x:c r="K553" s="9"/>
    </x:row>
    <x:row r="554" ht="22" customHeight="1">
      <x:c r="A554" s="11"/>
      <x:c r="B554" s="9"/>
      <x:c r="C554" s="9"/>
      <x:c r="D554" s="9"/>
      <x:c r="E554" s="9"/>
      <x:c r="F554" s="15"/>
      <x:c r="G554" s="15"/>
      <x:c r="H554" s="17" t="str">
        <x:f>IF(B554="","",IF(NOT(AND(ISNUMBER(F554),ISNUMBER(G554))),"",SUM(F554:G554)))</x:f>
      </x:c>
      <x:c r="I554" s="9"/>
      <x:c r="J554" s="9"/>
      <x:c r="K554" s="9"/>
    </x:row>
    <x:row r="555" ht="22" customHeight="1">
      <x:c r="A555" s="11"/>
      <x:c r="B555" s="9"/>
      <x:c r="C555" s="9"/>
      <x:c r="D555" s="9"/>
      <x:c r="E555" s="9"/>
      <x:c r="F555" s="15"/>
      <x:c r="G555" s="15"/>
      <x:c r="H555" s="17" t="str">
        <x:f>IF(B555="","",IF(NOT(AND(ISNUMBER(F555),ISNUMBER(G555))),"",SUM(F555:G555)))</x:f>
      </x:c>
      <x:c r="I555" s="9"/>
      <x:c r="J555" s="9"/>
      <x:c r="K555" s="9"/>
    </x:row>
    <x:row r="556" ht="22" customHeight="1">
      <x:c r="A556" s="11"/>
      <x:c r="B556" s="9"/>
      <x:c r="C556" s="9"/>
      <x:c r="D556" s="9"/>
      <x:c r="E556" s="9"/>
      <x:c r="F556" s="15"/>
      <x:c r="G556" s="15"/>
      <x:c r="H556" s="17" t="str">
        <x:f>IF(B556="","",IF(NOT(AND(ISNUMBER(F556),ISNUMBER(G556))),"",SUM(F556:G556)))</x:f>
      </x:c>
      <x:c r="I556" s="9"/>
      <x:c r="J556" s="9"/>
      <x:c r="K556" s="9"/>
    </x:row>
    <x:row r="557" ht="22" customHeight="1">
      <x:c r="A557" s="11"/>
      <x:c r="B557" s="9"/>
      <x:c r="C557" s="9"/>
      <x:c r="D557" s="9"/>
      <x:c r="E557" s="9"/>
      <x:c r="F557" s="15"/>
      <x:c r="G557" s="15"/>
      <x:c r="H557" s="17" t="str">
        <x:f>IF(B557="","",IF(NOT(AND(ISNUMBER(F557),ISNUMBER(G557))),"",SUM(F557:G557)))</x:f>
      </x:c>
      <x:c r="I557" s="9"/>
      <x:c r="J557" s="9"/>
      <x:c r="K557" s="9"/>
    </x:row>
    <x:row r="558" ht="22" customHeight="1">
      <x:c r="A558" s="11"/>
      <x:c r="B558" s="9"/>
      <x:c r="C558" s="9"/>
      <x:c r="D558" s="9"/>
      <x:c r="E558" s="9"/>
      <x:c r="F558" s="15"/>
      <x:c r="G558" s="15"/>
      <x:c r="H558" s="17" t="str">
        <x:f>IF(B558="","",IF(NOT(AND(ISNUMBER(F558),ISNUMBER(G558))),"",SUM(F558:G558)))</x:f>
      </x:c>
      <x:c r="I558" s="9"/>
      <x:c r="J558" s="9"/>
      <x:c r="K558" s="9"/>
    </x:row>
    <x:row r="559" ht="22" customHeight="1">
      <x:c r="A559" s="11"/>
      <x:c r="B559" s="9"/>
      <x:c r="C559" s="9"/>
      <x:c r="D559" s="9"/>
      <x:c r="E559" s="9"/>
      <x:c r="F559" s="15"/>
      <x:c r="G559" s="15"/>
      <x:c r="H559" s="17" t="str">
        <x:f>IF(B559="","",IF(NOT(AND(ISNUMBER(F559),ISNUMBER(G559))),"",SUM(F559:G559)))</x:f>
      </x:c>
      <x:c r="I559" s="9"/>
      <x:c r="J559" s="9"/>
      <x:c r="K559" s="9"/>
    </x:row>
    <x:row r="560" ht="22" customHeight="1">
      <x:c r="A560" s="11"/>
      <x:c r="B560" s="9"/>
      <x:c r="C560" s="9"/>
      <x:c r="D560" s="9"/>
      <x:c r="E560" s="9"/>
      <x:c r="F560" s="15"/>
      <x:c r="G560" s="15"/>
      <x:c r="H560" s="17" t="str">
        <x:f>IF(B560="","",IF(NOT(AND(ISNUMBER(F560),ISNUMBER(G560))),"",SUM(F560:G560)))</x:f>
      </x:c>
      <x:c r="I560" s="9"/>
      <x:c r="J560" s="9"/>
      <x:c r="K560" s="9"/>
    </x:row>
    <x:row r="561" ht="22" customHeight="1">
      <x:c r="A561" s="11"/>
      <x:c r="B561" s="9"/>
      <x:c r="C561" s="9"/>
      <x:c r="D561" s="9"/>
      <x:c r="E561" s="9"/>
      <x:c r="F561" s="15"/>
      <x:c r="G561" s="15"/>
      <x:c r="H561" s="17" t="str">
        <x:f>IF(B561="","",IF(NOT(AND(ISNUMBER(F561),ISNUMBER(G561))),"",SUM(F561:G561)))</x:f>
      </x:c>
      <x:c r="I561" s="9"/>
      <x:c r="J561" s="9"/>
      <x:c r="K561" s="9"/>
    </x:row>
    <x:row r="562" ht="22" customHeight="1">
      <x:c r="A562" s="11"/>
      <x:c r="B562" s="9"/>
      <x:c r="C562" s="9"/>
      <x:c r="D562" s="9"/>
      <x:c r="E562" s="9"/>
      <x:c r="F562" s="15"/>
      <x:c r="G562" s="15"/>
      <x:c r="H562" s="17" t="str">
        <x:f>IF(B562="","",IF(NOT(AND(ISNUMBER(F562),ISNUMBER(G562))),"",SUM(F562:G562)))</x:f>
      </x:c>
      <x:c r="I562" s="9"/>
      <x:c r="J562" s="9"/>
      <x:c r="K562" s="9"/>
    </x:row>
    <x:row r="563" ht="22" customHeight="1">
      <x:c r="A563" s="11"/>
      <x:c r="B563" s="9"/>
      <x:c r="C563" s="9"/>
      <x:c r="D563" s="9"/>
      <x:c r="E563" s="9"/>
      <x:c r="F563" s="15"/>
      <x:c r="G563" s="15"/>
      <x:c r="H563" s="17" t="str">
        <x:f>IF(B563="","",IF(NOT(AND(ISNUMBER(F563),ISNUMBER(G563))),"",SUM(F563:G563)))</x:f>
      </x:c>
      <x:c r="I563" s="9"/>
      <x:c r="J563" s="9"/>
      <x:c r="K563" s="9"/>
    </x:row>
    <x:row r="564" ht="22" customHeight="1">
      <x:c r="A564" s="11"/>
      <x:c r="B564" s="9"/>
      <x:c r="C564" s="9"/>
      <x:c r="D564" s="9"/>
      <x:c r="E564" s="9"/>
      <x:c r="F564" s="15"/>
      <x:c r="G564" s="15"/>
      <x:c r="H564" s="17" t="str">
        <x:f>IF(B564="","",IF(NOT(AND(ISNUMBER(F564),ISNUMBER(G564))),"",SUM(F564:G564)))</x:f>
      </x:c>
      <x:c r="I564" s="9"/>
      <x:c r="J564" s="9"/>
      <x:c r="K564" s="9"/>
    </x:row>
    <x:row r="565" ht="22" customHeight="1">
      <x:c r="A565" s="11"/>
      <x:c r="B565" s="9"/>
      <x:c r="C565" s="9"/>
      <x:c r="D565" s="9"/>
      <x:c r="E565" s="9"/>
      <x:c r="F565" s="15"/>
      <x:c r="G565" s="15"/>
      <x:c r="H565" s="17" t="str">
        <x:f>IF(B565="","",IF(NOT(AND(ISNUMBER(F565),ISNUMBER(G565))),"",SUM(F565:G565)))</x:f>
      </x:c>
      <x:c r="I565" s="9"/>
      <x:c r="J565" s="9"/>
      <x:c r="K565" s="9"/>
    </x:row>
    <x:row r="566" ht="22" customHeight="1">
      <x:c r="A566" s="11"/>
      <x:c r="B566" s="9"/>
      <x:c r="C566" s="9"/>
      <x:c r="D566" s="9"/>
      <x:c r="E566" s="9"/>
      <x:c r="F566" s="15"/>
      <x:c r="G566" s="15"/>
      <x:c r="H566" s="17" t="str">
        <x:f>IF(B566="","",IF(NOT(AND(ISNUMBER(F566),ISNUMBER(G566))),"",SUM(F566:G566)))</x:f>
      </x:c>
      <x:c r="I566" s="9"/>
      <x:c r="J566" s="9"/>
      <x:c r="K566" s="9"/>
    </x:row>
    <x:row r="567" ht="22" customHeight="1">
      <x:c r="A567" s="11"/>
      <x:c r="B567" s="9"/>
      <x:c r="C567" s="9"/>
      <x:c r="D567" s="9"/>
      <x:c r="E567" s="9"/>
      <x:c r="F567" s="15"/>
      <x:c r="G567" s="15"/>
      <x:c r="H567" s="17" t="str">
        <x:f>IF(B567="","",IF(NOT(AND(ISNUMBER(F567),ISNUMBER(G567))),"",SUM(F567:G567)))</x:f>
      </x:c>
      <x:c r="I567" s="9"/>
      <x:c r="J567" s="9"/>
      <x:c r="K567" s="9"/>
    </x:row>
    <x:row r="568" ht="22" customHeight="1">
      <x:c r="A568" s="11"/>
      <x:c r="B568" s="9"/>
      <x:c r="C568" s="9"/>
      <x:c r="D568" s="9"/>
      <x:c r="E568" s="9"/>
      <x:c r="F568" s="15"/>
      <x:c r="G568" s="15"/>
      <x:c r="H568" s="17" t="str">
        <x:f>IF(B568="","",IF(NOT(AND(ISNUMBER(F568),ISNUMBER(G568))),"",SUM(F568:G568)))</x:f>
      </x:c>
      <x:c r="I568" s="9"/>
      <x:c r="J568" s="9"/>
      <x:c r="K568" s="9"/>
    </x:row>
    <x:row r="569" ht="22" customHeight="1">
      <x:c r="A569" s="11"/>
      <x:c r="B569" s="9"/>
      <x:c r="C569" s="9"/>
      <x:c r="D569" s="9"/>
      <x:c r="E569" s="9"/>
      <x:c r="F569" s="15"/>
      <x:c r="G569" s="15"/>
      <x:c r="H569" s="17" t="str">
        <x:f>IF(B569="","",IF(NOT(AND(ISNUMBER(F569),ISNUMBER(G569))),"",SUM(F569:G569)))</x:f>
      </x:c>
      <x:c r="I569" s="9"/>
      <x:c r="J569" s="9"/>
      <x:c r="K569" s="9"/>
    </x:row>
    <x:row r="570" ht="22" customHeight="1">
      <x:c r="A570" s="11"/>
      <x:c r="B570" s="9"/>
      <x:c r="C570" s="9"/>
      <x:c r="D570" s="9"/>
      <x:c r="E570" s="9"/>
      <x:c r="F570" s="15"/>
      <x:c r="G570" s="15"/>
      <x:c r="H570" s="17" t="str">
        <x:f>IF(B570="","",IF(NOT(AND(ISNUMBER(F570),ISNUMBER(G570))),"",SUM(F570:G570)))</x:f>
      </x:c>
      <x:c r="I570" s="9"/>
      <x:c r="J570" s="9"/>
      <x:c r="K570" s="9"/>
    </x:row>
    <x:row r="571" ht="22" customHeight="1">
      <x:c r="A571" s="11"/>
      <x:c r="B571" s="9"/>
      <x:c r="C571" s="9"/>
      <x:c r="D571" s="9"/>
      <x:c r="E571" s="9"/>
      <x:c r="F571" s="15"/>
      <x:c r="G571" s="15"/>
      <x:c r="H571" s="17" t="str">
        <x:f>IF(B571="","",IF(NOT(AND(ISNUMBER(F571),ISNUMBER(G571))),"",SUM(F571:G571)))</x:f>
      </x:c>
      <x:c r="I571" s="9"/>
      <x:c r="J571" s="9"/>
      <x:c r="K571" s="9"/>
    </x:row>
    <x:row r="572" ht="22" customHeight="1">
      <x:c r="A572" s="11"/>
      <x:c r="B572" s="9"/>
      <x:c r="C572" s="9"/>
      <x:c r="D572" s="9"/>
      <x:c r="E572" s="9"/>
      <x:c r="F572" s="15"/>
      <x:c r="G572" s="15"/>
      <x:c r="H572" s="17" t="str">
        <x:f>IF(B572="","",IF(NOT(AND(ISNUMBER(F572),ISNUMBER(G572))),"",SUM(F572:G572)))</x:f>
      </x:c>
      <x:c r="I572" s="9"/>
      <x:c r="J572" s="9"/>
      <x:c r="K572" s="9"/>
    </x:row>
    <x:row r="573" ht="22" customHeight="1">
      <x:c r="A573" s="11"/>
      <x:c r="B573" s="9"/>
      <x:c r="C573" s="9"/>
      <x:c r="D573" s="9"/>
      <x:c r="E573" s="9"/>
      <x:c r="F573" s="15"/>
      <x:c r="G573" s="15"/>
      <x:c r="H573" s="17" t="str">
        <x:f>IF(B573="","",IF(NOT(AND(ISNUMBER(F573),ISNUMBER(G573))),"",SUM(F573:G573)))</x:f>
      </x:c>
      <x:c r="I573" s="9"/>
      <x:c r="J573" s="9"/>
      <x:c r="K573" s="9"/>
    </x:row>
    <x:row r="574" ht="22" customHeight="1">
      <x:c r="A574" s="11"/>
      <x:c r="B574" s="9"/>
      <x:c r="C574" s="9"/>
      <x:c r="D574" s="9"/>
      <x:c r="E574" s="9"/>
      <x:c r="F574" s="15"/>
      <x:c r="G574" s="15"/>
      <x:c r="H574" s="17" t="str">
        <x:f>IF(B574="","",IF(NOT(AND(ISNUMBER(F574),ISNUMBER(G574))),"",SUM(F574:G574)))</x:f>
      </x:c>
      <x:c r="I574" s="9"/>
      <x:c r="J574" s="9"/>
      <x:c r="K574" s="9"/>
    </x:row>
    <x:row r="575" ht="22" customHeight="1">
      <x:c r="A575" s="11"/>
      <x:c r="B575" s="9"/>
      <x:c r="C575" s="9"/>
      <x:c r="D575" s="9"/>
      <x:c r="E575" s="9"/>
      <x:c r="F575" s="15"/>
      <x:c r="G575" s="15"/>
      <x:c r="H575" s="17" t="str">
        <x:f>IF(B575="","",IF(NOT(AND(ISNUMBER(F575),ISNUMBER(G575))),"",SUM(F575:G575)))</x:f>
      </x:c>
      <x:c r="I575" s="9"/>
      <x:c r="J575" s="9"/>
      <x:c r="K575" s="9"/>
    </x:row>
    <x:row r="576" ht="22" customHeight="1">
      <x:c r="A576" s="11"/>
      <x:c r="B576" s="9"/>
      <x:c r="C576" s="9"/>
      <x:c r="D576" s="9"/>
      <x:c r="E576" s="9"/>
      <x:c r="F576" s="15"/>
      <x:c r="G576" s="15"/>
      <x:c r="H576" s="17" t="str">
        <x:f>IF(B576="","",IF(NOT(AND(ISNUMBER(F576),ISNUMBER(G576))),"",SUM(F576:G576)))</x:f>
      </x:c>
      <x:c r="I576" s="9"/>
      <x:c r="J576" s="9"/>
      <x:c r="K576" s="9"/>
    </x:row>
    <x:row r="577" ht="22" customHeight="1">
      <x:c r="A577" s="11"/>
      <x:c r="B577" s="9"/>
      <x:c r="C577" s="9"/>
      <x:c r="D577" s="9"/>
      <x:c r="E577" s="9"/>
      <x:c r="F577" s="15"/>
      <x:c r="G577" s="15"/>
      <x:c r="H577" s="17" t="str">
        <x:f>IF(B577="","",IF(NOT(AND(ISNUMBER(F577),ISNUMBER(G577))),"",SUM(F577:G577)))</x:f>
      </x:c>
      <x:c r="I577" s="9"/>
      <x:c r="J577" s="9"/>
      <x:c r="K577" s="9"/>
    </x:row>
    <x:row r="578" ht="22" customHeight="1">
      <x:c r="A578" s="11"/>
      <x:c r="B578" s="9"/>
      <x:c r="C578" s="9"/>
      <x:c r="D578" s="9"/>
      <x:c r="E578" s="9"/>
      <x:c r="F578" s="15"/>
      <x:c r="G578" s="15"/>
      <x:c r="H578" s="17" t="str">
        <x:f>IF(B578="","",IF(NOT(AND(ISNUMBER(F578),ISNUMBER(G578))),"",SUM(F578:G578)))</x:f>
      </x:c>
      <x:c r="I578" s="9"/>
      <x:c r="J578" s="9"/>
      <x:c r="K578" s="9"/>
    </x:row>
    <x:row r="579" ht="22" customHeight="1">
      <x:c r="A579" s="11"/>
      <x:c r="B579" s="9"/>
      <x:c r="C579" s="9"/>
      <x:c r="D579" s="9"/>
      <x:c r="E579" s="9"/>
      <x:c r="F579" s="15"/>
      <x:c r="G579" s="15"/>
      <x:c r="H579" s="17" t="str">
        <x:f>IF(B579="","",IF(NOT(AND(ISNUMBER(F579),ISNUMBER(G579))),"",SUM(F579:G579)))</x:f>
      </x:c>
      <x:c r="I579" s="9"/>
      <x:c r="J579" s="9"/>
      <x:c r="K579" s="9"/>
    </x:row>
    <x:row r="580" ht="22" customHeight="1">
      <x:c r="A580" s="11"/>
      <x:c r="B580" s="9"/>
      <x:c r="C580" s="9"/>
      <x:c r="D580" s="9"/>
      <x:c r="E580" s="9"/>
      <x:c r="F580" s="15"/>
      <x:c r="G580" s="15"/>
      <x:c r="H580" s="17" t="str">
        <x:f>IF(B580="","",IF(NOT(AND(ISNUMBER(F580),ISNUMBER(G580))),"",SUM(F580:G580)))</x:f>
      </x:c>
      <x:c r="I580" s="9"/>
      <x:c r="J580" s="9"/>
      <x:c r="K580" s="9"/>
    </x:row>
    <x:row r="581" ht="22" customHeight="1">
      <x:c r="A581" s="11"/>
      <x:c r="B581" s="9"/>
      <x:c r="C581" s="9"/>
      <x:c r="D581" s="9"/>
      <x:c r="E581" s="9"/>
      <x:c r="F581" s="15"/>
      <x:c r="G581" s="15"/>
      <x:c r="H581" s="17" t="str">
        <x:f>IF(B581="","",IF(NOT(AND(ISNUMBER(F581),ISNUMBER(G581))),"",SUM(F581:G581)))</x:f>
      </x:c>
      <x:c r="I581" s="9"/>
      <x:c r="J581" s="9"/>
      <x:c r="K581" s="9"/>
    </x:row>
    <x:row r="582" ht="22" customHeight="1">
      <x:c r="A582" s="11"/>
      <x:c r="B582" s="9"/>
      <x:c r="C582" s="9"/>
      <x:c r="D582" s="9"/>
      <x:c r="E582" s="9"/>
      <x:c r="F582" s="15"/>
      <x:c r="G582" s="15"/>
      <x:c r="H582" s="17" t="str">
        <x:f>IF(B582="","",IF(NOT(AND(ISNUMBER(F582),ISNUMBER(G582))),"",SUM(F582:G582)))</x:f>
      </x:c>
      <x:c r="I582" s="9"/>
      <x:c r="J582" s="9"/>
      <x:c r="K582" s="9"/>
    </x:row>
    <x:row r="583" ht="22" customHeight="1">
      <x:c r="A583" s="11"/>
      <x:c r="B583" s="9"/>
      <x:c r="C583" s="9"/>
      <x:c r="D583" s="9"/>
      <x:c r="E583" s="9"/>
      <x:c r="F583" s="15"/>
      <x:c r="G583" s="15"/>
      <x:c r="H583" s="17" t="str">
        <x:f>IF(B583="","",IF(NOT(AND(ISNUMBER(F583),ISNUMBER(G583))),"",SUM(F583:G583)))</x:f>
      </x:c>
      <x:c r="I583" s="9"/>
      <x:c r="J583" s="9"/>
      <x:c r="K583" s="9"/>
    </x:row>
    <x:row r="584" ht="22" customHeight="1">
      <x:c r="A584" s="11"/>
      <x:c r="B584" s="9"/>
      <x:c r="C584" s="9"/>
      <x:c r="D584" s="9"/>
      <x:c r="E584" s="9"/>
      <x:c r="F584" s="15"/>
      <x:c r="G584" s="15"/>
      <x:c r="H584" s="17" t="str">
        <x:f>IF(B584="","",IF(NOT(AND(ISNUMBER(F584),ISNUMBER(G584))),"",SUM(F584:G584)))</x:f>
      </x:c>
      <x:c r="I584" s="9"/>
      <x:c r="J584" s="9"/>
      <x:c r="K584" s="9"/>
    </x:row>
    <x:row r="585" ht="22" customHeight="1">
      <x:c r="A585" s="11"/>
      <x:c r="B585" s="9"/>
      <x:c r="C585" s="9"/>
      <x:c r="D585" s="9"/>
      <x:c r="E585" s="9"/>
      <x:c r="F585" s="15"/>
      <x:c r="G585" s="15"/>
      <x:c r="H585" s="17" t="str">
        <x:f>IF(B585="","",IF(NOT(AND(ISNUMBER(F585),ISNUMBER(G585))),"",SUM(F585:G585)))</x:f>
      </x:c>
      <x:c r="I585" s="9"/>
      <x:c r="J585" s="9"/>
      <x:c r="K585" s="9"/>
    </x:row>
    <x:row r="586" ht="22" customHeight="1">
      <x:c r="A586" s="11"/>
      <x:c r="B586" s="9"/>
      <x:c r="C586" s="9"/>
      <x:c r="D586" s="9"/>
      <x:c r="E586" s="9"/>
      <x:c r="F586" s="15"/>
      <x:c r="G586" s="15"/>
      <x:c r="H586" s="17" t="str">
        <x:f>IF(B586="","",IF(NOT(AND(ISNUMBER(F586),ISNUMBER(G586))),"",SUM(F586:G586)))</x:f>
      </x:c>
      <x:c r="I586" s="9"/>
      <x:c r="J586" s="9"/>
      <x:c r="K586" s="9"/>
    </x:row>
    <x:row r="587" ht="22" customHeight="1">
      <x:c r="A587" s="11"/>
      <x:c r="B587" s="9"/>
      <x:c r="C587" s="9"/>
      <x:c r="D587" s="9"/>
      <x:c r="E587" s="9"/>
      <x:c r="F587" s="15"/>
      <x:c r="G587" s="15"/>
      <x:c r="H587" s="17" t="str">
        <x:f>IF(B587="","",IF(NOT(AND(ISNUMBER(F587),ISNUMBER(G587))),"",SUM(F587:G587)))</x:f>
      </x:c>
      <x:c r="I587" s="9"/>
      <x:c r="J587" s="9"/>
      <x:c r="K587" s="9"/>
    </x:row>
    <x:row r="588" ht="22" customHeight="1">
      <x:c r="A588" s="11"/>
      <x:c r="B588" s="9"/>
      <x:c r="C588" s="9"/>
      <x:c r="D588" s="9"/>
      <x:c r="E588" s="9"/>
      <x:c r="F588" s="15"/>
      <x:c r="G588" s="15"/>
      <x:c r="H588" s="17" t="str">
        <x:f>IF(B588="","",IF(NOT(AND(ISNUMBER(F588),ISNUMBER(G588))),"",SUM(F588:G588)))</x:f>
      </x:c>
      <x:c r="I588" s="9"/>
      <x:c r="J588" s="9"/>
      <x:c r="K588" s="9"/>
    </x:row>
    <x:row r="589" ht="22" customHeight="1">
      <x:c r="A589" s="11"/>
      <x:c r="B589" s="9"/>
      <x:c r="C589" s="9"/>
      <x:c r="D589" s="9"/>
      <x:c r="E589" s="9"/>
      <x:c r="F589" s="15"/>
      <x:c r="G589" s="15"/>
      <x:c r="H589" s="17" t="str">
        <x:f>IF(B589="","",IF(NOT(AND(ISNUMBER(F589),ISNUMBER(G589))),"",SUM(F589:G589)))</x:f>
      </x:c>
      <x:c r="I589" s="9"/>
      <x:c r="J589" s="9"/>
      <x:c r="K589" s="9"/>
    </x:row>
    <x:row r="590" ht="22" customHeight="1">
      <x:c r="A590" s="11"/>
      <x:c r="B590" s="9"/>
      <x:c r="C590" s="9"/>
      <x:c r="D590" s="9"/>
      <x:c r="E590" s="9"/>
      <x:c r="F590" s="15"/>
      <x:c r="G590" s="15"/>
      <x:c r="H590" s="17" t="str">
        <x:f>IF(B590="","",IF(NOT(AND(ISNUMBER(F590),ISNUMBER(G590))),"",SUM(F590:G590)))</x:f>
      </x:c>
      <x:c r="I590" s="9"/>
      <x:c r="J590" s="9"/>
      <x:c r="K590" s="9"/>
    </x:row>
    <x:row r="591" ht="22" customHeight="1">
      <x:c r="A591" s="11"/>
      <x:c r="B591" s="9"/>
      <x:c r="C591" s="9"/>
      <x:c r="D591" s="9"/>
      <x:c r="E591" s="9"/>
      <x:c r="F591" s="15"/>
      <x:c r="G591" s="15"/>
      <x:c r="H591" s="17" t="str">
        <x:f>IF(B591="","",IF(NOT(AND(ISNUMBER(F591),ISNUMBER(G591))),"",SUM(F591:G591)))</x:f>
      </x:c>
      <x:c r="I591" s="9"/>
      <x:c r="J591" s="9"/>
      <x:c r="K591" s="9"/>
    </x:row>
    <x:row r="592" ht="22" customHeight="1">
      <x:c r="A592" s="11"/>
      <x:c r="B592" s="9"/>
      <x:c r="C592" s="9"/>
      <x:c r="D592" s="9"/>
      <x:c r="E592" s="9"/>
      <x:c r="F592" s="15"/>
      <x:c r="G592" s="15"/>
      <x:c r="H592" s="17" t="str">
        <x:f>IF(B592="","",IF(NOT(AND(ISNUMBER(F592),ISNUMBER(G592))),"",SUM(F592:G592)))</x:f>
      </x:c>
      <x:c r="I592" s="9"/>
      <x:c r="J592" s="9"/>
      <x:c r="K592" s="9"/>
    </x:row>
    <x:row r="593" ht="22" customHeight="1">
      <x:c r="A593" s="11"/>
      <x:c r="B593" s="9"/>
      <x:c r="C593" s="9"/>
      <x:c r="D593" s="9"/>
      <x:c r="E593" s="9"/>
      <x:c r="F593" s="15"/>
      <x:c r="G593" s="15"/>
      <x:c r="H593" s="17" t="str">
        <x:f>IF(B593="","",IF(NOT(AND(ISNUMBER(F593),ISNUMBER(G593))),"",SUM(F593:G593)))</x:f>
      </x:c>
      <x:c r="I593" s="9"/>
      <x:c r="J593" s="9"/>
      <x:c r="K593" s="9"/>
    </x:row>
    <x:row r="594" ht="22" customHeight="1">
      <x:c r="A594" s="11"/>
      <x:c r="B594" s="9"/>
      <x:c r="C594" s="9"/>
      <x:c r="D594" s="9"/>
      <x:c r="E594" s="9"/>
      <x:c r="F594" s="15"/>
      <x:c r="G594" s="15"/>
      <x:c r="H594" s="17" t="str">
        <x:f>IF(B594="","",IF(NOT(AND(ISNUMBER(F594),ISNUMBER(G594))),"",SUM(F594:G594)))</x:f>
      </x:c>
      <x:c r="I594" s="9"/>
      <x:c r="J594" s="9"/>
      <x:c r="K594" s="9"/>
    </x:row>
    <x:row r="595" ht="22" customHeight="1">
      <x:c r="A595" s="11"/>
      <x:c r="B595" s="9"/>
      <x:c r="C595" s="9"/>
      <x:c r="D595" s="9"/>
      <x:c r="E595" s="9"/>
      <x:c r="F595" s="15"/>
      <x:c r="G595" s="15"/>
      <x:c r="H595" s="17" t="str">
        <x:f>IF(B595="","",IF(NOT(AND(ISNUMBER(F595),ISNUMBER(G595))),"",SUM(F595:G595)))</x:f>
      </x:c>
      <x:c r="I595" s="9"/>
      <x:c r="J595" s="9"/>
      <x:c r="K595" s="9"/>
    </x:row>
    <x:row r="596" ht="22" customHeight="1">
      <x:c r="A596" s="11"/>
      <x:c r="B596" s="9"/>
      <x:c r="C596" s="9"/>
      <x:c r="D596" s="9"/>
      <x:c r="E596" s="9"/>
      <x:c r="F596" s="15"/>
      <x:c r="G596" s="15"/>
      <x:c r="H596" s="17" t="str">
        <x:f>IF(B596="","",IF(NOT(AND(ISNUMBER(F596),ISNUMBER(G596))),"",SUM(F596:G596)))</x:f>
      </x:c>
      <x:c r="I596" s="9"/>
      <x:c r="J596" s="9"/>
      <x:c r="K596" s="9"/>
    </x:row>
    <x:row r="597" ht="22" customHeight="1">
      <x:c r="A597" s="11"/>
      <x:c r="B597" s="9"/>
      <x:c r="C597" s="9"/>
      <x:c r="D597" s="9"/>
      <x:c r="E597" s="9"/>
      <x:c r="F597" s="15"/>
      <x:c r="G597" s="15"/>
      <x:c r="H597" s="17" t="str">
        <x:f>IF(B597="","",IF(NOT(AND(ISNUMBER(F597),ISNUMBER(G597))),"",SUM(F597:G597)))</x:f>
      </x:c>
      <x:c r="I597" s="9"/>
      <x:c r="J597" s="9"/>
      <x:c r="K597" s="9"/>
    </x:row>
    <x:row r="598" ht="22" customHeight="1">
      <x:c r="A598" s="11"/>
      <x:c r="B598" s="9"/>
      <x:c r="C598" s="9"/>
      <x:c r="D598" s="9"/>
      <x:c r="E598" s="9"/>
      <x:c r="F598" s="15"/>
      <x:c r="G598" s="15"/>
      <x:c r="H598" s="17" t="str">
        <x:f>IF(B598="","",IF(NOT(AND(ISNUMBER(F598),ISNUMBER(G598))),"",SUM(F598:G598)))</x:f>
      </x:c>
      <x:c r="I598" s="9"/>
      <x:c r="J598" s="9"/>
      <x:c r="K598" s="9"/>
    </x:row>
    <x:row r="599" ht="22" customHeight="1">
      <x:c r="A599" s="11"/>
      <x:c r="B599" s="9"/>
      <x:c r="C599" s="9"/>
      <x:c r="D599" s="9"/>
      <x:c r="E599" s="9"/>
      <x:c r="F599" s="15"/>
      <x:c r="G599" s="15"/>
      <x:c r="H599" s="17" t="str">
        <x:f>IF(B599="","",IF(NOT(AND(ISNUMBER(F599),ISNUMBER(G599))),"",SUM(F599:G599)))</x:f>
      </x:c>
      <x:c r="I599" s="9"/>
      <x:c r="J599" s="9"/>
      <x:c r="K599" s="9"/>
    </x:row>
    <x:row r="600" ht="22" customHeight="1">
      <x:c r="A600" s="11"/>
      <x:c r="B600" s="9"/>
      <x:c r="C600" s="9"/>
      <x:c r="D600" s="9"/>
      <x:c r="E600" s="9"/>
      <x:c r="F600" s="15"/>
      <x:c r="G600" s="15"/>
      <x:c r="H600" s="17" t="str">
        <x:f>IF(B600="","",IF(NOT(AND(ISNUMBER(F600),ISNUMBER(G600))),"",SUM(F600:G600)))</x:f>
      </x:c>
      <x:c r="I600" s="9"/>
      <x:c r="J600" s="9"/>
      <x:c r="K600" s="9"/>
    </x:row>
    <x:row r="601" ht="22" customHeight="1">
      <x:c r="A601" s="11"/>
      <x:c r="B601" s="9"/>
      <x:c r="C601" s="9"/>
      <x:c r="D601" s="9"/>
      <x:c r="E601" s="9"/>
      <x:c r="F601" s="15"/>
      <x:c r="G601" s="15"/>
      <x:c r="H601" s="17" t="str">
        <x:f>IF(B601="","",IF(NOT(AND(ISNUMBER(F601),ISNUMBER(G601))),"",SUM(F601:G601)))</x:f>
      </x:c>
      <x:c r="I601" s="9"/>
      <x:c r="J601" s="9"/>
      <x:c r="K601" s="9"/>
    </x:row>
    <x:row r="602" ht="22" customHeight="1">
      <x:c r="A602" s="11"/>
      <x:c r="B602" s="9"/>
      <x:c r="C602" s="9"/>
      <x:c r="D602" s="9"/>
      <x:c r="E602" s="9"/>
      <x:c r="F602" s="15"/>
      <x:c r="G602" s="15"/>
      <x:c r="H602" s="17" t="str">
        <x:f>IF(B602="","",IF(NOT(AND(ISNUMBER(F602),ISNUMBER(G602))),"",SUM(F602:G602)))</x:f>
      </x:c>
      <x:c r="I602" s="9"/>
      <x:c r="J602" s="9"/>
      <x:c r="K602" s="9"/>
    </x:row>
    <x:row r="603" ht="22" customHeight="1">
      <x:c r="A603" s="11"/>
      <x:c r="B603" s="9"/>
      <x:c r="C603" s="9"/>
      <x:c r="D603" s="9"/>
      <x:c r="E603" s="9"/>
      <x:c r="F603" s="15"/>
      <x:c r="G603" s="15"/>
      <x:c r="H603" s="17" t="str">
        <x:f>IF(B603="","",IF(NOT(AND(ISNUMBER(F603),ISNUMBER(G603))),"",SUM(F603:G603)))</x:f>
      </x:c>
      <x:c r="I603" s="9"/>
      <x:c r="J603" s="9"/>
      <x:c r="K603" s="9"/>
    </x:row>
    <x:row r="604" ht="22" customHeight="1">
      <x:c r="A604" s="11"/>
      <x:c r="B604" s="9"/>
      <x:c r="C604" s="9"/>
      <x:c r="D604" s="9"/>
      <x:c r="E604" s="9"/>
      <x:c r="F604" s="15"/>
      <x:c r="G604" s="15"/>
      <x:c r="H604" s="17" t="str">
        <x:f>IF(B604="","",IF(NOT(AND(ISNUMBER(F604),ISNUMBER(G604))),"",SUM(F604:G604)))</x:f>
      </x:c>
      <x:c r="I604" s="9"/>
      <x:c r="J604" s="9"/>
      <x:c r="K604" s="9"/>
    </x:row>
    <x:row r="605" ht="22" customHeight="1">
      <x:c r="A605" s="11"/>
      <x:c r="B605" s="9"/>
      <x:c r="C605" s="9"/>
      <x:c r="D605" s="9"/>
      <x:c r="E605" s="9"/>
      <x:c r="F605" s="15"/>
      <x:c r="G605" s="15"/>
      <x:c r="H605" s="17" t="str">
        <x:f>IF(B605="","",IF(NOT(AND(ISNUMBER(F605),ISNUMBER(G605))),"",SUM(F605:G605)))</x:f>
      </x:c>
      <x:c r="I605" s="9"/>
      <x:c r="J605" s="9"/>
      <x:c r="K605" s="9"/>
    </x:row>
    <x:row r="606" ht="22" customHeight="1">
      <x:c r="A606" s="11"/>
      <x:c r="B606" s="9"/>
      <x:c r="C606" s="9"/>
      <x:c r="D606" s="9"/>
      <x:c r="E606" s="9"/>
      <x:c r="F606" s="15"/>
      <x:c r="G606" s="15"/>
      <x:c r="H606" s="17" t="str">
        <x:f>IF(B606="","",IF(NOT(AND(ISNUMBER(F606),ISNUMBER(G606))),"",SUM(F606:G606)))</x:f>
      </x:c>
      <x:c r="I606" s="9"/>
      <x:c r="J606" s="9"/>
      <x:c r="K606" s="9"/>
    </x:row>
    <x:row r="607" ht="22" customHeight="1">
      <x:c r="A607" s="11"/>
      <x:c r="B607" s="9"/>
      <x:c r="C607" s="9"/>
      <x:c r="D607" s="9"/>
      <x:c r="E607" s="9"/>
      <x:c r="F607" s="15"/>
      <x:c r="G607" s="15"/>
      <x:c r="H607" s="17" t="str">
        <x:f>IF(B607="","",IF(NOT(AND(ISNUMBER(F607),ISNUMBER(G607))),"",SUM(F607:G607)))</x:f>
      </x:c>
      <x:c r="I607" s="9"/>
      <x:c r="J607" s="9"/>
      <x:c r="K607" s="9"/>
    </x:row>
    <x:row r="608" ht="22" customHeight="1">
      <x:c r="A608" s="11"/>
      <x:c r="B608" s="9"/>
      <x:c r="C608" s="9"/>
      <x:c r="D608" s="9"/>
      <x:c r="E608" s="9"/>
      <x:c r="F608" s="15"/>
      <x:c r="G608" s="15"/>
      <x:c r="H608" s="17" t="str">
        <x:f>IF(B608="","",IF(NOT(AND(ISNUMBER(F608),ISNUMBER(G608))),"",SUM(F608:G608)))</x:f>
      </x:c>
      <x:c r="I608" s="9"/>
      <x:c r="J608" s="9"/>
      <x:c r="K608" s="9"/>
    </x:row>
    <x:row r="609" ht="22" customHeight="1">
      <x:c r="A609" s="11"/>
      <x:c r="B609" s="9"/>
      <x:c r="C609" s="9"/>
      <x:c r="D609" s="9"/>
      <x:c r="E609" s="9"/>
      <x:c r="F609" s="15"/>
      <x:c r="G609" s="15"/>
      <x:c r="H609" s="17" t="str">
        <x:f>IF(B609="","",IF(NOT(AND(ISNUMBER(F609),ISNUMBER(G609))),"",SUM(F609:G609)))</x:f>
      </x:c>
      <x:c r="I609" s="9"/>
      <x:c r="J609" s="9"/>
      <x:c r="K609" s="9"/>
    </x:row>
    <x:row r="610" ht="22" customHeight="1">
      <x:c r="A610" s="11"/>
      <x:c r="B610" s="9"/>
      <x:c r="C610" s="9"/>
      <x:c r="D610" s="9"/>
      <x:c r="E610" s="9"/>
      <x:c r="F610" s="15"/>
      <x:c r="G610" s="15"/>
      <x:c r="H610" s="17" t="str">
        <x:f>IF(B610="","",IF(NOT(AND(ISNUMBER(F610),ISNUMBER(G610))),"",SUM(F610:G610)))</x:f>
      </x:c>
      <x:c r="I610" s="9"/>
      <x:c r="J610" s="9"/>
      <x:c r="K610" s="9"/>
    </x:row>
    <x:row r="611" ht="22" customHeight="1">
      <x:c r="A611" s="11"/>
      <x:c r="B611" s="9"/>
      <x:c r="C611" s="9"/>
      <x:c r="D611" s="9"/>
      <x:c r="E611" s="9"/>
      <x:c r="F611" s="15"/>
      <x:c r="G611" s="15"/>
      <x:c r="H611" s="17" t="str">
        <x:f>IF(B611="","",IF(NOT(AND(ISNUMBER(F611),ISNUMBER(G611))),"",SUM(F611:G611)))</x:f>
      </x:c>
      <x:c r="I611" s="9"/>
      <x:c r="J611" s="9"/>
      <x:c r="K611" s="9"/>
    </x:row>
    <x:row r="612" ht="22" customHeight="1">
      <x:c r="A612" s="11"/>
      <x:c r="B612" s="9"/>
      <x:c r="C612" s="9"/>
      <x:c r="D612" s="9"/>
      <x:c r="E612" s="9"/>
      <x:c r="F612" s="15"/>
      <x:c r="G612" s="15"/>
      <x:c r="H612" s="17" t="str">
        <x:f>IF(B612="","",IF(NOT(AND(ISNUMBER(F612),ISNUMBER(G612))),"",SUM(F612:G612)))</x:f>
      </x:c>
      <x:c r="I612" s="9"/>
      <x:c r="J612" s="9"/>
      <x:c r="K612" s="9"/>
    </x:row>
    <x:row r="613" ht="22" customHeight="1">
      <x:c r="A613" s="11"/>
      <x:c r="B613" s="9"/>
      <x:c r="C613" s="9"/>
      <x:c r="D613" s="9"/>
      <x:c r="E613" s="9"/>
      <x:c r="F613" s="15"/>
      <x:c r="G613" s="15"/>
      <x:c r="H613" s="17" t="str">
        <x:f>IF(B613="","",IF(NOT(AND(ISNUMBER(F613),ISNUMBER(G613))),"",SUM(F613:G613)))</x:f>
      </x:c>
      <x:c r="I613" s="9"/>
      <x:c r="J613" s="9"/>
      <x:c r="K613" s="9"/>
    </x:row>
    <x:row r="614" ht="22" customHeight="1">
      <x:c r="A614" s="11"/>
      <x:c r="B614" s="9"/>
      <x:c r="C614" s="9"/>
      <x:c r="D614" s="9"/>
      <x:c r="E614" s="9"/>
      <x:c r="F614" s="15"/>
      <x:c r="G614" s="15"/>
      <x:c r="H614" s="17" t="str">
        <x:f>IF(B614="","",IF(NOT(AND(ISNUMBER(F614),ISNUMBER(G614))),"",SUM(F614:G614)))</x:f>
      </x:c>
      <x:c r="I614" s="9"/>
      <x:c r="J614" s="9"/>
      <x:c r="K614" s="9"/>
    </x:row>
    <x:row r="615" ht="22" customHeight="1">
      <x:c r="A615" s="11"/>
      <x:c r="B615" s="9"/>
      <x:c r="C615" s="9"/>
      <x:c r="D615" s="9"/>
      <x:c r="E615" s="9"/>
      <x:c r="F615" s="15"/>
      <x:c r="G615" s="15"/>
      <x:c r="H615" s="17" t="str">
        <x:f>IF(B615="","",IF(NOT(AND(ISNUMBER(F615),ISNUMBER(G615))),"",SUM(F615:G615)))</x:f>
      </x:c>
      <x:c r="I615" s="9"/>
      <x:c r="J615" s="9"/>
      <x:c r="K615" s="9"/>
    </x:row>
    <x:row r="616" ht="22" customHeight="1">
      <x:c r="A616" s="11"/>
      <x:c r="B616" s="9"/>
      <x:c r="C616" s="9"/>
      <x:c r="D616" s="9"/>
      <x:c r="E616" s="9"/>
      <x:c r="F616" s="15"/>
      <x:c r="G616" s="15"/>
      <x:c r="H616" s="17" t="str">
        <x:f>IF(B616="","",IF(NOT(AND(ISNUMBER(F616),ISNUMBER(G616))),"",SUM(F616:G616)))</x:f>
      </x:c>
      <x:c r="I616" s="9"/>
      <x:c r="J616" s="9"/>
      <x:c r="K616" s="9"/>
    </x:row>
    <x:row r="617" ht="22" customHeight="1">
      <x:c r="A617" s="11"/>
      <x:c r="B617" s="9"/>
      <x:c r="C617" s="9"/>
      <x:c r="D617" s="9"/>
      <x:c r="E617" s="9"/>
      <x:c r="F617" s="15"/>
      <x:c r="G617" s="15"/>
      <x:c r="H617" s="17" t="str">
        <x:f>IF(B617="","",IF(NOT(AND(ISNUMBER(F617),ISNUMBER(G617))),"",SUM(F617:G617)))</x:f>
      </x:c>
      <x:c r="I617" s="9"/>
      <x:c r="J617" s="9"/>
      <x:c r="K617" s="9"/>
    </x:row>
    <x:row r="618" ht="22" customHeight="1">
      <x:c r="A618" s="11"/>
      <x:c r="B618" s="9"/>
      <x:c r="C618" s="9"/>
      <x:c r="D618" s="9"/>
      <x:c r="E618" s="9"/>
      <x:c r="F618" s="15"/>
      <x:c r="G618" s="15"/>
      <x:c r="H618" s="17" t="str">
        <x:f>IF(B618="","",IF(NOT(AND(ISNUMBER(F618),ISNUMBER(G618))),"",SUM(F618:G618)))</x:f>
      </x:c>
      <x:c r="I618" s="9"/>
      <x:c r="J618" s="9"/>
      <x:c r="K618" s="9"/>
    </x:row>
    <x:row r="619" ht="22" customHeight="1">
      <x:c r="A619" s="11"/>
      <x:c r="B619" s="9"/>
      <x:c r="C619" s="9"/>
      <x:c r="D619" s="9"/>
      <x:c r="E619" s="9"/>
      <x:c r="F619" s="15"/>
      <x:c r="G619" s="15"/>
      <x:c r="H619" s="17" t="str">
        <x:f>IF(B619="","",IF(NOT(AND(ISNUMBER(F619),ISNUMBER(G619))),"",SUM(F619:G619)))</x:f>
      </x:c>
      <x:c r="I619" s="9"/>
      <x:c r="J619" s="9"/>
      <x:c r="K619" s="9"/>
    </x:row>
    <x:row r="620" ht="22" customHeight="1">
      <x:c r="A620" s="11"/>
      <x:c r="B620" s="9"/>
      <x:c r="C620" s="9"/>
      <x:c r="D620" s="9"/>
      <x:c r="E620" s="9"/>
      <x:c r="F620" s="15"/>
      <x:c r="G620" s="15"/>
      <x:c r="H620" s="17" t="str">
        <x:f>IF(B620="","",IF(NOT(AND(ISNUMBER(F620),ISNUMBER(G620))),"",SUM(F620:G620)))</x:f>
      </x:c>
      <x:c r="I620" s="9"/>
      <x:c r="J620" s="9"/>
      <x:c r="K620" s="9"/>
    </x:row>
    <x:row r="621" ht="22" customHeight="1">
      <x:c r="A621" s="11"/>
      <x:c r="B621" s="9"/>
      <x:c r="C621" s="9"/>
      <x:c r="D621" s="9"/>
      <x:c r="E621" s="9"/>
      <x:c r="F621" s="15"/>
      <x:c r="G621" s="15"/>
      <x:c r="H621" s="17" t="str">
        <x:f>IF(B621="","",IF(NOT(AND(ISNUMBER(F621),ISNUMBER(G621))),"",SUM(F621:G621)))</x:f>
      </x:c>
      <x:c r="I621" s="9"/>
      <x:c r="J621" s="9"/>
      <x:c r="K621" s="9"/>
    </x:row>
    <x:row r="622" ht="22" customHeight="1">
      <x:c r="A622" s="11"/>
      <x:c r="B622" s="9"/>
      <x:c r="C622" s="9"/>
      <x:c r="D622" s="9"/>
      <x:c r="E622" s="9"/>
      <x:c r="F622" s="15"/>
      <x:c r="G622" s="15"/>
      <x:c r="H622" s="17" t="str">
        <x:f>IF(B622="","",IF(NOT(AND(ISNUMBER(F622),ISNUMBER(G622))),"",SUM(F622:G622)))</x:f>
      </x:c>
      <x:c r="I622" s="9"/>
      <x:c r="J622" s="9"/>
      <x:c r="K622" s="9"/>
    </x:row>
    <x:row r="623" ht="22" customHeight="1">
      <x:c r="A623" s="11"/>
      <x:c r="B623" s="9"/>
      <x:c r="C623" s="9"/>
      <x:c r="D623" s="9"/>
      <x:c r="E623" s="9"/>
      <x:c r="F623" s="15"/>
      <x:c r="G623" s="15"/>
      <x:c r="H623" s="17" t="str">
        <x:f>IF(B623="","",IF(NOT(AND(ISNUMBER(F623),ISNUMBER(G623))),"",SUM(F623:G623)))</x:f>
      </x:c>
      <x:c r="I623" s="9"/>
      <x:c r="J623" s="9"/>
      <x:c r="K623" s="9"/>
    </x:row>
    <x:row r="624" ht="22" customHeight="1">
      <x:c r="A624" s="11"/>
      <x:c r="B624" s="9"/>
      <x:c r="C624" s="9"/>
      <x:c r="D624" s="9"/>
      <x:c r="E624" s="9"/>
      <x:c r="F624" s="15"/>
      <x:c r="G624" s="15"/>
      <x:c r="H624" s="17" t="str">
        <x:f>IF(B624="","",IF(NOT(AND(ISNUMBER(F624),ISNUMBER(G624))),"",SUM(F624:G624)))</x:f>
      </x:c>
      <x:c r="I624" s="9"/>
      <x:c r="J624" s="9"/>
      <x:c r="K624" s="9"/>
    </x:row>
    <x:row r="625" ht="22" customHeight="1">
      <x:c r="A625" s="11"/>
      <x:c r="B625" s="9"/>
      <x:c r="C625" s="9"/>
      <x:c r="D625" s="9"/>
      <x:c r="E625" s="9"/>
      <x:c r="F625" s="15"/>
      <x:c r="G625" s="15"/>
      <x:c r="H625" s="17" t="str">
        <x:f>IF(B625="","",IF(NOT(AND(ISNUMBER(F625),ISNUMBER(G625))),"",SUM(F625:G625)))</x:f>
      </x:c>
      <x:c r="I625" s="9"/>
      <x:c r="J625" s="9"/>
      <x:c r="K625" s="9"/>
    </x:row>
    <x:row r="626" ht="22" customHeight="1">
      <x:c r="A626" s="11"/>
      <x:c r="B626" s="9"/>
      <x:c r="C626" s="9"/>
      <x:c r="D626" s="9"/>
      <x:c r="E626" s="9"/>
      <x:c r="F626" s="15"/>
      <x:c r="G626" s="15"/>
      <x:c r="H626" s="17" t="str">
        <x:f>IF(B626="","",IF(NOT(AND(ISNUMBER(F626),ISNUMBER(G626))),"",SUM(F626:G626)))</x:f>
      </x:c>
      <x:c r="I626" s="9"/>
      <x:c r="J626" s="9"/>
      <x:c r="K626" s="9"/>
    </x:row>
    <x:row r="627" ht="22" customHeight="1">
      <x:c r="A627" s="11"/>
      <x:c r="B627" s="9"/>
      <x:c r="C627" s="9"/>
      <x:c r="D627" s="9"/>
      <x:c r="E627" s="9"/>
      <x:c r="F627" s="15"/>
      <x:c r="G627" s="15"/>
      <x:c r="H627" s="17" t="str">
        <x:f>IF(B627="","",IF(NOT(AND(ISNUMBER(F627),ISNUMBER(G627))),"",SUM(F627:G627)))</x:f>
      </x:c>
      <x:c r="I627" s="9"/>
      <x:c r="J627" s="9"/>
      <x:c r="K627" s="9"/>
    </x:row>
    <x:row r="628" ht="22" customHeight="1">
      <x:c r="A628" s="11"/>
      <x:c r="B628" s="9"/>
      <x:c r="C628" s="9"/>
      <x:c r="D628" s="9"/>
      <x:c r="E628" s="9"/>
      <x:c r="F628" s="15"/>
      <x:c r="G628" s="15"/>
      <x:c r="H628" s="17" t="str">
        <x:f>IF(B628="","",IF(NOT(AND(ISNUMBER(F628),ISNUMBER(G628))),"",SUM(F628:G628)))</x:f>
      </x:c>
      <x:c r="I628" s="9"/>
      <x:c r="J628" s="9"/>
      <x:c r="K628" s="9"/>
    </x:row>
    <x:row r="629" ht="22" customHeight="1">
      <x:c r="A629" s="11"/>
      <x:c r="B629" s="9"/>
      <x:c r="C629" s="9"/>
      <x:c r="D629" s="9"/>
      <x:c r="E629" s="9"/>
      <x:c r="F629" s="15"/>
      <x:c r="G629" s="15"/>
      <x:c r="H629" s="17" t="str">
        <x:f>IF(B629="","",IF(NOT(AND(ISNUMBER(F629),ISNUMBER(G629))),"",SUM(F629:G629)))</x:f>
      </x:c>
      <x:c r="I629" s="9"/>
      <x:c r="J629" s="9"/>
      <x:c r="K629" s="9"/>
    </x:row>
    <x:row r="630" ht="22" customHeight="1">
      <x:c r="A630" s="11"/>
      <x:c r="B630" s="9"/>
      <x:c r="C630" s="9"/>
      <x:c r="D630" s="9"/>
      <x:c r="E630" s="9"/>
      <x:c r="F630" s="15"/>
      <x:c r="G630" s="15"/>
      <x:c r="H630" s="17" t="str">
        <x:f>IF(B630="","",IF(NOT(AND(ISNUMBER(F630),ISNUMBER(G630))),"",SUM(F630:G630)))</x:f>
      </x:c>
      <x:c r="I630" s="9"/>
      <x:c r="J630" s="9"/>
      <x:c r="K630" s="9"/>
    </x:row>
    <x:row r="631" ht="22" customHeight="1">
      <x:c r="A631" s="11"/>
      <x:c r="B631" s="9"/>
      <x:c r="C631" s="9"/>
      <x:c r="D631" s="9"/>
      <x:c r="E631" s="9"/>
      <x:c r="F631" s="15"/>
      <x:c r="G631" s="15"/>
      <x:c r="H631" s="17" t="str">
        <x:f>IF(B631="","",IF(NOT(AND(ISNUMBER(F631),ISNUMBER(G631))),"",SUM(F631:G631)))</x:f>
      </x:c>
      <x:c r="I631" s="9"/>
      <x:c r="J631" s="9"/>
      <x:c r="K631" s="9"/>
    </x:row>
    <x:row r="632" ht="22" customHeight="1">
      <x:c r="A632" s="11"/>
      <x:c r="B632" s="9"/>
      <x:c r="C632" s="9"/>
      <x:c r="D632" s="9"/>
      <x:c r="E632" s="9"/>
      <x:c r="F632" s="15"/>
      <x:c r="G632" s="15"/>
      <x:c r="H632" s="17" t="str">
        <x:f>IF(B632="","",IF(NOT(AND(ISNUMBER(F632),ISNUMBER(G632))),"",SUM(F632:G632)))</x:f>
      </x:c>
      <x:c r="I632" s="9"/>
      <x:c r="J632" s="9"/>
      <x:c r="K632" s="9"/>
    </x:row>
    <x:row r="633" ht="22" customHeight="1">
      <x:c r="A633" s="11"/>
      <x:c r="B633" s="9"/>
      <x:c r="C633" s="9"/>
      <x:c r="D633" s="9"/>
      <x:c r="E633" s="9"/>
      <x:c r="F633" s="15"/>
      <x:c r="G633" s="15"/>
      <x:c r="H633" s="17" t="str">
        <x:f>IF(B633="","",IF(NOT(AND(ISNUMBER(F633),ISNUMBER(G633))),"",SUM(F633:G633)))</x:f>
      </x:c>
      <x:c r="I633" s="9"/>
      <x:c r="J633" s="9"/>
      <x:c r="K633" s="9"/>
    </x:row>
    <x:row r="634" ht="22" customHeight="1">
      <x:c r="A634" s="11"/>
      <x:c r="B634" s="9"/>
      <x:c r="C634" s="9"/>
      <x:c r="D634" s="9"/>
      <x:c r="E634" s="9"/>
      <x:c r="F634" s="15"/>
      <x:c r="G634" s="15"/>
      <x:c r="H634" s="17" t="str">
        <x:f>IF(B634="","",IF(NOT(AND(ISNUMBER(F634),ISNUMBER(G634))),"",SUM(F634:G634)))</x:f>
      </x:c>
      <x:c r="I634" s="9"/>
      <x:c r="J634" s="9"/>
      <x:c r="K634" s="9"/>
    </x:row>
    <x:row r="635" ht="22" customHeight="1">
      <x:c r="A635" s="11"/>
      <x:c r="B635" s="9"/>
      <x:c r="C635" s="9"/>
      <x:c r="D635" s="9"/>
      <x:c r="E635" s="9"/>
      <x:c r="F635" s="15"/>
      <x:c r="G635" s="15"/>
      <x:c r="H635" s="17" t="str">
        <x:f>IF(B635="","",IF(NOT(AND(ISNUMBER(F635),ISNUMBER(G635))),"",SUM(F635:G635)))</x:f>
      </x:c>
      <x:c r="I635" s="9"/>
      <x:c r="J635" s="9"/>
      <x:c r="K635" s="9"/>
    </x:row>
    <x:row r="636" ht="22" customHeight="1">
      <x:c r="A636" s="11"/>
      <x:c r="B636" s="9"/>
      <x:c r="C636" s="9"/>
      <x:c r="D636" s="9"/>
      <x:c r="E636" s="9"/>
      <x:c r="F636" s="15"/>
      <x:c r="G636" s="15"/>
      <x:c r="H636" s="17" t="str">
        <x:f>IF(B636="","",IF(NOT(AND(ISNUMBER(F636),ISNUMBER(G636))),"",SUM(F636:G636)))</x:f>
      </x:c>
      <x:c r="I636" s="9"/>
      <x:c r="J636" s="9"/>
      <x:c r="K636" s="9"/>
    </x:row>
    <x:row r="637" ht="22" customHeight="1">
      <x:c r="A637" s="11"/>
      <x:c r="B637" s="9"/>
      <x:c r="C637" s="9"/>
      <x:c r="D637" s="9"/>
      <x:c r="E637" s="9"/>
      <x:c r="F637" s="15"/>
      <x:c r="G637" s="15"/>
      <x:c r="H637" s="17" t="str">
        <x:f>IF(B637="","",IF(NOT(AND(ISNUMBER(F637),ISNUMBER(G637))),"",SUM(F637:G637)))</x:f>
      </x:c>
      <x:c r="I637" s="9"/>
      <x:c r="J637" s="9"/>
      <x:c r="K637" s="9"/>
    </x:row>
    <x:row r="638" ht="22" customHeight="1">
      <x:c r="A638" s="11"/>
      <x:c r="B638" s="9"/>
      <x:c r="C638" s="9"/>
      <x:c r="D638" s="9"/>
      <x:c r="E638" s="9"/>
      <x:c r="F638" s="15"/>
      <x:c r="G638" s="15"/>
      <x:c r="H638" s="17" t="str">
        <x:f>IF(B638="","",IF(NOT(AND(ISNUMBER(F638),ISNUMBER(G638))),"",SUM(F638:G638)))</x:f>
      </x:c>
      <x:c r="I638" s="9"/>
      <x:c r="J638" s="9"/>
      <x:c r="K638" s="9"/>
    </x:row>
    <x:row r="639" ht="22" customHeight="1">
      <x:c r="A639" s="11"/>
      <x:c r="B639" s="9"/>
      <x:c r="C639" s="9"/>
      <x:c r="D639" s="9"/>
      <x:c r="E639" s="9"/>
      <x:c r="F639" s="15"/>
      <x:c r="G639" s="15"/>
      <x:c r="H639" s="17" t="str">
        <x:f>IF(B639="","",IF(NOT(AND(ISNUMBER(F639),ISNUMBER(G639))),"",SUM(F639:G639)))</x:f>
      </x:c>
      <x:c r="I639" s="9"/>
      <x:c r="J639" s="9"/>
      <x:c r="K639" s="9"/>
    </x:row>
    <x:row r="640" ht="22" customHeight="1">
      <x:c r="A640" s="11"/>
      <x:c r="B640" s="9"/>
      <x:c r="C640" s="9"/>
      <x:c r="D640" s="9"/>
      <x:c r="E640" s="9"/>
      <x:c r="F640" s="15"/>
      <x:c r="G640" s="15"/>
      <x:c r="H640" s="17" t="str">
        <x:f>IF(B640="","",IF(NOT(AND(ISNUMBER(F640),ISNUMBER(G640))),"",SUM(F640:G640)))</x:f>
      </x:c>
      <x:c r="I640" s="9"/>
      <x:c r="J640" s="9"/>
      <x:c r="K640" s="9"/>
    </x:row>
    <x:row r="641" ht="22" customHeight="1">
      <x:c r="A641" s="11"/>
      <x:c r="B641" s="9"/>
      <x:c r="C641" s="9"/>
      <x:c r="D641" s="9"/>
      <x:c r="E641" s="9"/>
      <x:c r="F641" s="15"/>
      <x:c r="G641" s="15"/>
      <x:c r="H641" s="17" t="str">
        <x:f>IF(B641="","",IF(NOT(AND(ISNUMBER(F641),ISNUMBER(G641))),"",SUM(F641:G641)))</x:f>
      </x:c>
      <x:c r="I641" s="9"/>
      <x:c r="J641" s="9"/>
      <x:c r="K641" s="9"/>
    </x:row>
    <x:row r="642" ht="22" customHeight="1">
      <x:c r="A642" s="11"/>
      <x:c r="B642" s="9"/>
      <x:c r="C642" s="9"/>
      <x:c r="D642" s="9"/>
      <x:c r="E642" s="9"/>
      <x:c r="F642" s="15"/>
      <x:c r="G642" s="15"/>
      <x:c r="H642" s="17" t="str">
        <x:f>IF(B642="","",IF(NOT(AND(ISNUMBER(F642),ISNUMBER(G642))),"",SUM(F642:G642)))</x:f>
      </x:c>
      <x:c r="I642" s="9"/>
      <x:c r="J642" s="9"/>
      <x:c r="K642" s="9"/>
    </x:row>
    <x:row r="643" ht="22" customHeight="1">
      <x:c r="A643" s="11"/>
      <x:c r="B643" s="9"/>
      <x:c r="C643" s="9"/>
      <x:c r="D643" s="9"/>
      <x:c r="E643" s="9"/>
      <x:c r="F643" s="15"/>
      <x:c r="G643" s="15"/>
      <x:c r="H643" s="17" t="str">
        <x:f>IF(B643="","",IF(NOT(AND(ISNUMBER(F643),ISNUMBER(G643))),"",SUM(F643:G643)))</x:f>
      </x:c>
      <x:c r="I643" s="9"/>
      <x:c r="J643" s="9"/>
      <x:c r="K643" s="9"/>
    </x:row>
    <x:row r="644" ht="22" customHeight="1">
      <x:c r="A644" s="11"/>
      <x:c r="B644" s="9"/>
      <x:c r="C644" s="9"/>
      <x:c r="D644" s="9"/>
      <x:c r="E644" s="9"/>
      <x:c r="F644" s="15"/>
      <x:c r="G644" s="15"/>
      <x:c r="H644" s="17" t="str">
        <x:f>IF(B644="","",IF(NOT(AND(ISNUMBER(F644),ISNUMBER(G644))),"",SUM(F644:G644)))</x:f>
      </x:c>
      <x:c r="I644" s="9"/>
      <x:c r="J644" s="9"/>
      <x:c r="K644" s="9"/>
    </x:row>
    <x:row r="645" ht="22" customHeight="1">
      <x:c r="A645" s="11"/>
      <x:c r="B645" s="9"/>
      <x:c r="C645" s="9"/>
      <x:c r="D645" s="9"/>
      <x:c r="E645" s="9"/>
      <x:c r="F645" s="15"/>
      <x:c r="G645" s="15"/>
      <x:c r="H645" s="17" t="str">
        <x:f>IF(B645="","",IF(NOT(AND(ISNUMBER(F645),ISNUMBER(G645))),"",SUM(F645:G645)))</x:f>
      </x:c>
      <x:c r="I645" s="9"/>
      <x:c r="J645" s="9"/>
      <x:c r="K645" s="9"/>
    </x:row>
    <x:row r="646" ht="22" customHeight="1">
      <x:c r="A646" s="11"/>
      <x:c r="B646" s="9"/>
      <x:c r="C646" s="9"/>
      <x:c r="D646" s="9"/>
      <x:c r="E646" s="9"/>
      <x:c r="F646" s="15"/>
      <x:c r="G646" s="15"/>
      <x:c r="H646" s="17" t="str">
        <x:f>IF(B646="","",IF(NOT(AND(ISNUMBER(F646),ISNUMBER(G646))),"",SUM(F646:G646)))</x:f>
      </x:c>
      <x:c r="I646" s="9"/>
      <x:c r="J646" s="9"/>
      <x:c r="K646" s="9"/>
    </x:row>
    <x:row r="647" ht="22" customHeight="1">
      <x:c r="A647" s="11"/>
      <x:c r="B647" s="9"/>
      <x:c r="C647" s="9"/>
      <x:c r="D647" s="9"/>
      <x:c r="E647" s="9"/>
      <x:c r="F647" s="15"/>
      <x:c r="G647" s="15"/>
      <x:c r="H647" s="17" t="str">
        <x:f>IF(B647="","",IF(NOT(AND(ISNUMBER(F647),ISNUMBER(G647))),"",SUM(F647:G647)))</x:f>
      </x:c>
      <x:c r="I647" s="9"/>
      <x:c r="J647" s="9"/>
      <x:c r="K647" s="9"/>
    </x:row>
    <x:row r="648" ht="22" customHeight="1">
      <x:c r="A648" s="11"/>
      <x:c r="B648" s="9"/>
      <x:c r="C648" s="9"/>
      <x:c r="D648" s="9"/>
      <x:c r="E648" s="9"/>
      <x:c r="F648" s="15"/>
      <x:c r="G648" s="15"/>
      <x:c r="H648" s="17" t="str">
        <x:f>IF(B648="","",IF(NOT(AND(ISNUMBER(F648),ISNUMBER(G648))),"",SUM(F648:G648)))</x:f>
      </x:c>
      <x:c r="I648" s="9"/>
      <x:c r="J648" s="9"/>
      <x:c r="K648" s="9"/>
    </x:row>
    <x:row r="649" ht="22" customHeight="1">
      <x:c r="A649" s="11"/>
      <x:c r="B649" s="9"/>
      <x:c r="C649" s="9"/>
      <x:c r="D649" s="9"/>
      <x:c r="E649" s="9"/>
      <x:c r="F649" s="15"/>
      <x:c r="G649" s="15"/>
      <x:c r="H649" s="17" t="str">
        <x:f>IF(B649="","",IF(NOT(AND(ISNUMBER(F649),ISNUMBER(G649))),"",SUM(F649:G649)))</x:f>
      </x:c>
      <x:c r="I649" s="9"/>
      <x:c r="J649" s="9"/>
      <x:c r="K649" s="9"/>
    </x:row>
    <x:row r="650" ht="22" customHeight="1">
      <x:c r="A650" s="11"/>
      <x:c r="B650" s="9"/>
      <x:c r="C650" s="9"/>
      <x:c r="D650" s="9"/>
      <x:c r="E650" s="9"/>
      <x:c r="F650" s="15"/>
      <x:c r="G650" s="15"/>
      <x:c r="H650" s="17" t="str">
        <x:f>IF(B650="","",IF(NOT(AND(ISNUMBER(F650),ISNUMBER(G650))),"",SUM(F650:G650)))</x:f>
      </x:c>
      <x:c r="I650" s="9"/>
      <x:c r="J650" s="9"/>
      <x:c r="K650" s="9"/>
    </x:row>
    <x:row r="651" ht="22" customHeight="1">
      <x:c r="A651" s="11"/>
      <x:c r="B651" s="9"/>
      <x:c r="C651" s="9"/>
      <x:c r="D651" s="9"/>
      <x:c r="E651" s="9"/>
      <x:c r="F651" s="15"/>
      <x:c r="G651" s="15"/>
      <x:c r="H651" s="17" t="str">
        <x:f>IF(B651="","",IF(NOT(AND(ISNUMBER(F651),ISNUMBER(G651))),"",SUM(F651:G651)))</x:f>
      </x:c>
      <x:c r="I651" s="9"/>
      <x:c r="J651" s="9"/>
      <x:c r="K651" s="9"/>
    </x:row>
    <x:row r="652" ht="22" customHeight="1">
      <x:c r="A652" s="11"/>
      <x:c r="B652" s="9"/>
      <x:c r="C652" s="9"/>
      <x:c r="D652" s="9"/>
      <x:c r="E652" s="9"/>
      <x:c r="F652" s="15"/>
      <x:c r="G652" s="15"/>
      <x:c r="H652" s="17" t="str">
        <x:f>IF(B652="","",IF(NOT(AND(ISNUMBER(F652),ISNUMBER(G652))),"",SUM(F652:G652)))</x:f>
      </x:c>
      <x:c r="I652" s="9"/>
      <x:c r="J652" s="9"/>
      <x:c r="K652" s="9"/>
    </x:row>
    <x:row r="653" ht="22" customHeight="1">
      <x:c r="A653" s="11"/>
      <x:c r="B653" s="9"/>
      <x:c r="C653" s="9"/>
      <x:c r="D653" s="9"/>
      <x:c r="E653" s="9"/>
      <x:c r="F653" s="15"/>
      <x:c r="G653" s="15"/>
      <x:c r="H653" s="17" t="str">
        <x:f>IF(B653="","",IF(NOT(AND(ISNUMBER(F653),ISNUMBER(G653))),"",SUM(F653:G653)))</x:f>
      </x:c>
      <x:c r="I653" s="9"/>
      <x:c r="J653" s="9"/>
      <x:c r="K653" s="9"/>
    </x:row>
    <x:row r="654" ht="22" customHeight="1">
      <x:c r="A654" s="11"/>
      <x:c r="B654" s="9"/>
      <x:c r="C654" s="9"/>
      <x:c r="D654" s="9"/>
      <x:c r="E654" s="9"/>
      <x:c r="F654" s="15"/>
      <x:c r="G654" s="15"/>
      <x:c r="H654" s="17" t="str">
        <x:f>IF(B654="","",IF(NOT(AND(ISNUMBER(F654),ISNUMBER(G654))),"",SUM(F654:G654)))</x:f>
      </x:c>
      <x:c r="I654" s="9"/>
      <x:c r="J654" s="9"/>
      <x:c r="K654" s="9"/>
    </x:row>
    <x:row r="655" ht="22" customHeight="1">
      <x:c r="A655" s="11"/>
      <x:c r="B655" s="9"/>
      <x:c r="C655" s="9"/>
      <x:c r="D655" s="9"/>
      <x:c r="E655" s="9"/>
      <x:c r="F655" s="15"/>
      <x:c r="G655" s="15"/>
      <x:c r="H655" s="17" t="str">
        <x:f>IF(B655="","",IF(NOT(AND(ISNUMBER(F655),ISNUMBER(G655))),"",SUM(F655:G655)))</x:f>
      </x:c>
      <x:c r="I655" s="9"/>
      <x:c r="J655" s="9"/>
      <x:c r="K655" s="9"/>
    </x:row>
    <x:row r="656" ht="22" customHeight="1">
      <x:c r="A656" s="11"/>
      <x:c r="B656" s="9"/>
      <x:c r="C656" s="9"/>
      <x:c r="D656" s="9"/>
      <x:c r="E656" s="9"/>
      <x:c r="F656" s="15"/>
      <x:c r="G656" s="15"/>
      <x:c r="H656" s="17" t="str">
        <x:f>IF(B656="","",IF(NOT(AND(ISNUMBER(F656),ISNUMBER(G656))),"",SUM(F656:G656)))</x:f>
      </x:c>
      <x:c r="I656" s="9"/>
      <x:c r="J656" s="9"/>
      <x:c r="K656" s="9"/>
    </x:row>
    <x:row r="657" ht="22" customHeight="1">
      <x:c r="A657" s="11"/>
      <x:c r="B657" s="9"/>
      <x:c r="C657" s="9"/>
      <x:c r="D657" s="9"/>
      <x:c r="E657" s="9"/>
      <x:c r="F657" s="15"/>
      <x:c r="G657" s="15"/>
      <x:c r="H657" s="17" t="str">
        <x:f>IF(B657="","",IF(NOT(AND(ISNUMBER(F657),ISNUMBER(G657))),"",SUM(F657:G657)))</x:f>
      </x:c>
      <x:c r="I657" s="9"/>
      <x:c r="J657" s="9"/>
      <x:c r="K657" s="9"/>
    </x:row>
    <x:row r="658" ht="22" customHeight="1">
      <x:c r="A658" s="11"/>
      <x:c r="B658" s="9"/>
      <x:c r="C658" s="9"/>
      <x:c r="D658" s="9"/>
      <x:c r="E658" s="9"/>
      <x:c r="F658" s="15"/>
      <x:c r="G658" s="15"/>
      <x:c r="H658" s="17" t="str">
        <x:f>IF(B658="","",IF(NOT(AND(ISNUMBER(F658),ISNUMBER(G658))),"",SUM(F658:G658)))</x:f>
      </x:c>
      <x:c r="I658" s="9"/>
      <x:c r="J658" s="9"/>
      <x:c r="K658" s="9"/>
    </x:row>
    <x:row r="659" ht="22" customHeight="1">
      <x:c r="A659" s="11"/>
      <x:c r="B659" s="9"/>
      <x:c r="C659" s="9"/>
      <x:c r="D659" s="9"/>
      <x:c r="E659" s="9"/>
      <x:c r="F659" s="15"/>
      <x:c r="G659" s="15"/>
      <x:c r="H659" s="17" t="str">
        <x:f>IF(B659="","",IF(NOT(AND(ISNUMBER(F659),ISNUMBER(G659))),"",SUM(F659:G659)))</x:f>
      </x:c>
      <x:c r="I659" s="9"/>
      <x:c r="J659" s="9"/>
      <x:c r="K659" s="9"/>
    </x:row>
    <x:row r="660" ht="22" customHeight="1">
      <x:c r="A660" s="11"/>
      <x:c r="B660" s="9"/>
      <x:c r="C660" s="9"/>
      <x:c r="D660" s="9"/>
      <x:c r="E660" s="9"/>
      <x:c r="F660" s="15"/>
      <x:c r="G660" s="15"/>
      <x:c r="H660" s="17" t="str">
        <x:f>IF(B660="","",IF(NOT(AND(ISNUMBER(F660),ISNUMBER(G660))),"",SUM(F660:G660)))</x:f>
      </x:c>
      <x:c r="I660" s="9"/>
      <x:c r="J660" s="9"/>
      <x:c r="K660" s="9"/>
    </x:row>
    <x:row r="661" ht="22" customHeight="1">
      <x:c r="A661" s="11"/>
      <x:c r="B661" s="9"/>
      <x:c r="C661" s="9"/>
      <x:c r="D661" s="9"/>
      <x:c r="E661" s="9"/>
      <x:c r="F661" s="15"/>
      <x:c r="G661" s="15"/>
      <x:c r="H661" s="17" t="str">
        <x:f>IF(B661="","",IF(NOT(AND(ISNUMBER(F661),ISNUMBER(G661))),"",SUM(F661:G661)))</x:f>
      </x:c>
      <x:c r="I661" s="9"/>
      <x:c r="J661" s="9"/>
      <x:c r="K661" s="9"/>
    </x:row>
    <x:row r="662" ht="22" customHeight="1">
      <x:c r="A662" s="11"/>
      <x:c r="B662" s="9"/>
      <x:c r="C662" s="9"/>
      <x:c r="D662" s="9"/>
      <x:c r="E662" s="9"/>
      <x:c r="F662" s="15"/>
      <x:c r="G662" s="15"/>
      <x:c r="H662" s="17" t="str">
        <x:f>IF(B662="","",IF(NOT(AND(ISNUMBER(F662),ISNUMBER(G662))),"",SUM(F662:G662)))</x:f>
      </x:c>
      <x:c r="I662" s="9"/>
      <x:c r="J662" s="9"/>
      <x:c r="K662" s="9"/>
    </x:row>
    <x:row r="663" ht="22" customHeight="1">
      <x:c r="A663" s="11"/>
      <x:c r="B663" s="9"/>
      <x:c r="C663" s="9"/>
      <x:c r="D663" s="9"/>
      <x:c r="E663" s="9"/>
      <x:c r="F663" s="15"/>
      <x:c r="G663" s="15"/>
      <x:c r="H663" s="17" t="str">
        <x:f>IF(B663="","",IF(NOT(AND(ISNUMBER(F663),ISNUMBER(G663))),"",SUM(F663:G663)))</x:f>
      </x:c>
      <x:c r="I663" s="9"/>
      <x:c r="J663" s="9"/>
      <x:c r="K663" s="9"/>
    </x:row>
    <x:row r="664" ht="22" customHeight="1">
      <x:c r="A664" s="11"/>
      <x:c r="B664" s="9"/>
      <x:c r="C664" s="9"/>
      <x:c r="D664" s="9"/>
      <x:c r="E664" s="9"/>
      <x:c r="F664" s="15"/>
      <x:c r="G664" s="15"/>
      <x:c r="H664" s="17" t="str">
        <x:f>IF(B664="","",IF(NOT(AND(ISNUMBER(F664),ISNUMBER(G664))),"",SUM(F664:G664)))</x:f>
      </x:c>
      <x:c r="I664" s="9"/>
      <x:c r="J664" s="9"/>
      <x:c r="K664" s="9"/>
    </x:row>
    <x:row r="665" ht="22" customHeight="1">
      <x:c r="A665" s="11"/>
      <x:c r="B665" s="9"/>
      <x:c r="C665" s="9"/>
      <x:c r="D665" s="9"/>
      <x:c r="E665" s="9"/>
      <x:c r="F665" s="15"/>
      <x:c r="G665" s="15"/>
      <x:c r="H665" s="17" t="str">
        <x:f>IF(B665="","",IF(NOT(AND(ISNUMBER(F665),ISNUMBER(G665))),"",SUM(F665:G665)))</x:f>
      </x:c>
      <x:c r="I665" s="9"/>
      <x:c r="J665" s="9"/>
      <x:c r="K665" s="9"/>
    </x:row>
    <x:row r="666" ht="22" customHeight="1">
      <x:c r="A666" s="11"/>
      <x:c r="B666" s="9"/>
      <x:c r="C666" s="9"/>
      <x:c r="D666" s="9"/>
      <x:c r="E666" s="9"/>
      <x:c r="F666" s="15"/>
      <x:c r="G666" s="15"/>
      <x:c r="H666" s="17" t="str">
        <x:f>IF(B666="","",IF(NOT(AND(ISNUMBER(F666),ISNUMBER(G666))),"",SUM(F666:G666)))</x:f>
      </x:c>
      <x:c r="I666" s="9"/>
      <x:c r="J666" s="9"/>
      <x:c r="K666" s="9"/>
    </x:row>
    <x:row r="667" ht="22" customHeight="1">
      <x:c r="A667" s="11"/>
      <x:c r="B667" s="9"/>
      <x:c r="C667" s="9"/>
      <x:c r="D667" s="9"/>
      <x:c r="E667" s="9"/>
      <x:c r="F667" s="15"/>
      <x:c r="G667" s="15"/>
      <x:c r="H667" s="17" t="str">
        <x:f>IF(B667="","",IF(NOT(AND(ISNUMBER(F667),ISNUMBER(G667))),"",SUM(F667:G667)))</x:f>
      </x:c>
      <x:c r="I667" s="9"/>
      <x:c r="J667" s="9"/>
      <x:c r="K667" s="9"/>
    </x:row>
    <x:row r="668" ht="22" customHeight="1">
      <x:c r="A668" s="11"/>
      <x:c r="B668" s="9"/>
      <x:c r="C668" s="9"/>
      <x:c r="D668" s="9"/>
      <x:c r="E668" s="9"/>
      <x:c r="F668" s="15"/>
      <x:c r="G668" s="15"/>
      <x:c r="H668" s="17" t="str">
        <x:f>IF(B668="","",IF(NOT(AND(ISNUMBER(F668),ISNUMBER(G668))),"",SUM(F668:G668)))</x:f>
      </x:c>
      <x:c r="I668" s="9"/>
      <x:c r="J668" s="9"/>
      <x:c r="K668" s="9"/>
    </x:row>
    <x:row r="669" ht="22" customHeight="1">
      <x:c r="A669" s="11"/>
      <x:c r="B669" s="9"/>
      <x:c r="C669" s="9"/>
      <x:c r="D669" s="9"/>
      <x:c r="E669" s="9"/>
      <x:c r="F669" s="15"/>
      <x:c r="G669" s="15"/>
      <x:c r="H669" s="17" t="str">
        <x:f>IF(B669="","",IF(NOT(AND(ISNUMBER(F669),ISNUMBER(G669))),"",SUM(F669:G669)))</x:f>
      </x:c>
      <x:c r="I669" s="9"/>
      <x:c r="J669" s="9"/>
      <x:c r="K669" s="9"/>
    </x:row>
    <x:row r="670" ht="22" customHeight="1">
      <x:c r="A670" s="11"/>
      <x:c r="B670" s="9"/>
      <x:c r="C670" s="9"/>
      <x:c r="D670" s="9"/>
      <x:c r="E670" s="9"/>
      <x:c r="F670" s="15"/>
      <x:c r="G670" s="15"/>
      <x:c r="H670" s="17" t="str">
        <x:f>IF(B670="","",IF(NOT(AND(ISNUMBER(F670),ISNUMBER(G670))),"",SUM(F670:G670)))</x:f>
      </x:c>
      <x:c r="I670" s="9"/>
      <x:c r="J670" s="9"/>
      <x:c r="K670" s="9"/>
    </x:row>
    <x:row r="671" ht="22" customHeight="1">
      <x:c r="A671" s="11"/>
      <x:c r="B671" s="9"/>
      <x:c r="C671" s="9"/>
      <x:c r="D671" s="9"/>
      <x:c r="E671" s="9"/>
      <x:c r="F671" s="15"/>
      <x:c r="G671" s="15"/>
      <x:c r="H671" s="17" t="str">
        <x:f>IF(B671="","",IF(NOT(AND(ISNUMBER(F671),ISNUMBER(G671))),"",SUM(F671:G671)))</x:f>
      </x:c>
      <x:c r="I671" s="9"/>
      <x:c r="J671" s="9"/>
      <x:c r="K671" s="9"/>
    </x:row>
    <x:row r="672" ht="22" customHeight="1">
      <x:c r="A672" s="11"/>
      <x:c r="B672" s="9"/>
      <x:c r="C672" s="9"/>
      <x:c r="D672" s="9"/>
      <x:c r="E672" s="9"/>
      <x:c r="F672" s="15"/>
      <x:c r="G672" s="15"/>
      <x:c r="H672" s="17" t="str">
        <x:f>IF(B672="","",IF(NOT(AND(ISNUMBER(F672),ISNUMBER(G672))),"",SUM(F672:G672)))</x:f>
      </x:c>
      <x:c r="I672" s="9"/>
      <x:c r="J672" s="9"/>
      <x:c r="K672" s="9"/>
    </x:row>
    <x:row r="673" ht="22" customHeight="1">
      <x:c r="A673" s="11"/>
      <x:c r="B673" s="9"/>
      <x:c r="C673" s="9"/>
      <x:c r="D673" s="9"/>
      <x:c r="E673" s="9"/>
      <x:c r="F673" s="15"/>
      <x:c r="G673" s="15"/>
      <x:c r="H673" s="17" t="str">
        <x:f>IF(B673="","",IF(NOT(AND(ISNUMBER(F673),ISNUMBER(G673))),"",SUM(F673:G673)))</x:f>
      </x:c>
      <x:c r="I673" s="9"/>
      <x:c r="J673" s="9"/>
      <x:c r="K673" s="9"/>
    </x:row>
    <x:row r="674" ht="22" customHeight="1">
      <x:c r="A674" s="11"/>
      <x:c r="B674" s="9"/>
      <x:c r="C674" s="9"/>
      <x:c r="D674" s="9"/>
      <x:c r="E674" s="9"/>
      <x:c r="F674" s="15"/>
      <x:c r="G674" s="15"/>
      <x:c r="H674" s="17" t="str">
        <x:f>IF(B674="","",IF(NOT(AND(ISNUMBER(F674),ISNUMBER(G674))),"",SUM(F674:G674)))</x:f>
      </x:c>
      <x:c r="I674" s="9"/>
      <x:c r="J674" s="9"/>
      <x:c r="K674" s="9"/>
    </x:row>
    <x:row r="675" ht="22" customHeight="1">
      <x:c r="A675" s="11"/>
      <x:c r="B675" s="9"/>
      <x:c r="C675" s="9"/>
      <x:c r="D675" s="9"/>
      <x:c r="E675" s="9"/>
      <x:c r="F675" s="15"/>
      <x:c r="G675" s="15"/>
      <x:c r="H675" s="17" t="str">
        <x:f>IF(B675="","",IF(NOT(AND(ISNUMBER(F675),ISNUMBER(G675))),"",SUM(F675:G675)))</x:f>
      </x:c>
      <x:c r="I675" s="9"/>
      <x:c r="J675" s="9"/>
      <x:c r="K675" s="9"/>
    </x:row>
    <x:row r="676" ht="22" customHeight="1">
      <x:c r="A676" s="11"/>
      <x:c r="B676" s="9"/>
      <x:c r="C676" s="9"/>
      <x:c r="D676" s="9"/>
      <x:c r="E676" s="9"/>
      <x:c r="F676" s="15"/>
      <x:c r="G676" s="15"/>
      <x:c r="H676" s="17" t="str">
        <x:f>IF(B676="","",IF(NOT(AND(ISNUMBER(F676),ISNUMBER(G676))),"",SUM(F676:G676)))</x:f>
      </x:c>
      <x:c r="I676" s="9"/>
      <x:c r="J676" s="9"/>
      <x:c r="K676" s="9"/>
    </x:row>
    <x:row r="677" ht="22" customHeight="1">
      <x:c r="A677" s="11"/>
      <x:c r="B677" s="9"/>
      <x:c r="C677" s="9"/>
      <x:c r="D677" s="9"/>
      <x:c r="E677" s="9"/>
      <x:c r="F677" s="15"/>
      <x:c r="G677" s="15"/>
      <x:c r="H677" s="17" t="str">
        <x:f>IF(B677="","",IF(NOT(AND(ISNUMBER(F677),ISNUMBER(G677))),"",SUM(F677:G677)))</x:f>
      </x:c>
      <x:c r="I677" s="9"/>
      <x:c r="J677" s="9"/>
      <x:c r="K677" s="9"/>
    </x:row>
    <x:row r="678" ht="22" customHeight="1">
      <x:c r="A678" s="11"/>
      <x:c r="B678" s="9"/>
      <x:c r="C678" s="9"/>
      <x:c r="D678" s="9"/>
      <x:c r="E678" s="9"/>
      <x:c r="F678" s="15"/>
      <x:c r="G678" s="15"/>
      <x:c r="H678" s="17" t="str">
        <x:f>IF(B678="","",IF(NOT(AND(ISNUMBER(F678),ISNUMBER(G678))),"",SUM(F678:G678)))</x:f>
      </x:c>
      <x:c r="I678" s="9"/>
      <x:c r="J678" s="9"/>
      <x:c r="K678" s="9"/>
    </x:row>
    <x:row r="679" ht="22" customHeight="1">
      <x:c r="A679" s="11"/>
      <x:c r="B679" s="9"/>
      <x:c r="C679" s="9"/>
      <x:c r="D679" s="9"/>
      <x:c r="E679" s="9"/>
      <x:c r="F679" s="15"/>
      <x:c r="G679" s="15"/>
      <x:c r="H679" s="17" t="str">
        <x:f>IF(B679="","",IF(NOT(AND(ISNUMBER(F679),ISNUMBER(G679))),"",SUM(F679:G679)))</x:f>
      </x:c>
      <x:c r="I679" s="9"/>
      <x:c r="J679" s="9"/>
      <x:c r="K679" s="9"/>
    </x:row>
    <x:row r="680" ht="22" customHeight="1">
      <x:c r="A680" s="11"/>
      <x:c r="B680" s="9"/>
      <x:c r="C680" s="9"/>
      <x:c r="D680" s="9"/>
      <x:c r="E680" s="9"/>
      <x:c r="F680" s="15"/>
      <x:c r="G680" s="15"/>
      <x:c r="H680" s="17" t="str">
        <x:f>IF(B680="","",IF(NOT(AND(ISNUMBER(F680),ISNUMBER(G680))),"",SUM(F680:G680)))</x:f>
      </x:c>
      <x:c r="I680" s="9"/>
      <x:c r="J680" s="9"/>
      <x:c r="K680" s="9"/>
    </x:row>
    <x:row r="681" ht="22" customHeight="1">
      <x:c r="A681" s="11"/>
      <x:c r="B681" s="9"/>
      <x:c r="C681" s="9"/>
      <x:c r="D681" s="9"/>
      <x:c r="E681" s="9"/>
      <x:c r="F681" s="15"/>
      <x:c r="G681" s="15"/>
      <x:c r="H681" s="17" t="str">
        <x:f>IF(B681="","",IF(NOT(AND(ISNUMBER(F681),ISNUMBER(G681))),"",SUM(F681:G681)))</x:f>
      </x:c>
      <x:c r="I681" s="9"/>
      <x:c r="J681" s="9"/>
      <x:c r="K681" s="9"/>
    </x:row>
    <x:row r="682" ht="22" customHeight="1">
      <x:c r="A682" s="11"/>
      <x:c r="B682" s="9"/>
      <x:c r="C682" s="9"/>
      <x:c r="D682" s="9"/>
      <x:c r="E682" s="9"/>
      <x:c r="F682" s="15"/>
      <x:c r="G682" s="15"/>
      <x:c r="H682" s="17" t="str">
        <x:f>IF(B682="","",IF(NOT(AND(ISNUMBER(F682),ISNUMBER(G682))),"",SUM(F682:G682)))</x:f>
      </x:c>
      <x:c r="I682" s="9"/>
      <x:c r="J682" s="9"/>
      <x:c r="K682" s="9"/>
    </x:row>
    <x:row r="683" ht="22" customHeight="1">
      <x:c r="A683" s="11"/>
      <x:c r="B683" s="9"/>
      <x:c r="C683" s="9"/>
      <x:c r="D683" s="9"/>
      <x:c r="E683" s="9"/>
      <x:c r="F683" s="15"/>
      <x:c r="G683" s="15"/>
      <x:c r="H683" s="17" t="str">
        <x:f>IF(B683="","",IF(NOT(AND(ISNUMBER(F683),ISNUMBER(G683))),"",SUM(F683:G683)))</x:f>
      </x:c>
      <x:c r="I683" s="9"/>
      <x:c r="J683" s="9"/>
      <x:c r="K683" s="9"/>
    </x:row>
    <x:row r="684" ht="22" customHeight="1">
      <x:c r="A684" s="11"/>
      <x:c r="B684" s="9"/>
      <x:c r="C684" s="9"/>
      <x:c r="D684" s="9"/>
      <x:c r="E684" s="9"/>
      <x:c r="F684" s="15"/>
      <x:c r="G684" s="15"/>
      <x:c r="H684" s="17" t="str">
        <x:f>IF(B684="","",IF(NOT(AND(ISNUMBER(F684),ISNUMBER(G684))),"",SUM(F684:G684)))</x:f>
      </x:c>
      <x:c r="I684" s="9"/>
      <x:c r="J684" s="9"/>
      <x:c r="K684" s="9"/>
    </x:row>
    <x:row r="685" ht="22" customHeight="1">
      <x:c r="A685" s="11"/>
      <x:c r="B685" s="9"/>
      <x:c r="C685" s="9"/>
      <x:c r="D685" s="9"/>
      <x:c r="E685" s="9"/>
      <x:c r="F685" s="15"/>
      <x:c r="G685" s="15"/>
      <x:c r="H685" s="17" t="str">
        <x:f>IF(B685="","",IF(NOT(AND(ISNUMBER(F685),ISNUMBER(G685))),"",SUM(F685:G685)))</x:f>
      </x:c>
      <x:c r="I685" s="9"/>
      <x:c r="J685" s="9"/>
      <x:c r="K685" s="9"/>
    </x:row>
    <x:row r="686" ht="22" customHeight="1">
      <x:c r="A686" s="11"/>
      <x:c r="B686" s="9"/>
      <x:c r="C686" s="9"/>
      <x:c r="D686" s="9"/>
      <x:c r="E686" s="9"/>
      <x:c r="F686" s="15"/>
      <x:c r="G686" s="15"/>
      <x:c r="H686" s="17" t="str">
        <x:f>IF(B686="","",IF(NOT(AND(ISNUMBER(F686),ISNUMBER(G686))),"",SUM(F686:G686)))</x:f>
      </x:c>
      <x:c r="I686" s="9"/>
      <x:c r="J686" s="9"/>
      <x:c r="K686" s="9"/>
    </x:row>
    <x:row r="687" ht="22" customHeight="1">
      <x:c r="A687" s="11"/>
      <x:c r="B687" s="9"/>
      <x:c r="C687" s="9"/>
      <x:c r="D687" s="9"/>
      <x:c r="E687" s="9"/>
      <x:c r="F687" s="15"/>
      <x:c r="G687" s="15"/>
      <x:c r="H687" s="17" t="str">
        <x:f>IF(B687="","",IF(NOT(AND(ISNUMBER(F687),ISNUMBER(G687))),"",SUM(F687:G687)))</x:f>
      </x:c>
      <x:c r="I687" s="9"/>
      <x:c r="J687" s="9"/>
      <x:c r="K687" s="9"/>
    </x:row>
    <x:row r="688" ht="22" customHeight="1">
      <x:c r="A688" s="11"/>
      <x:c r="B688" s="9"/>
      <x:c r="C688" s="9"/>
      <x:c r="D688" s="9"/>
      <x:c r="E688" s="9"/>
      <x:c r="F688" s="15"/>
      <x:c r="G688" s="15"/>
      <x:c r="H688" s="17" t="str">
        <x:f>IF(B688="","",IF(NOT(AND(ISNUMBER(F688),ISNUMBER(G688))),"",SUM(F688:G688)))</x:f>
      </x:c>
      <x:c r="I688" s="9"/>
      <x:c r="J688" s="9"/>
      <x:c r="K688" s="9"/>
    </x:row>
    <x:row r="689" ht="22" customHeight="1">
      <x:c r="A689" s="11"/>
      <x:c r="B689" s="9"/>
      <x:c r="C689" s="9"/>
      <x:c r="D689" s="9"/>
      <x:c r="E689" s="9"/>
      <x:c r="F689" s="15"/>
      <x:c r="G689" s="15"/>
      <x:c r="H689" s="17" t="str">
        <x:f>IF(B689="","",IF(NOT(AND(ISNUMBER(F689),ISNUMBER(G689))),"",SUM(F689:G689)))</x:f>
      </x:c>
      <x:c r="I689" s="9"/>
      <x:c r="J689" s="9"/>
      <x:c r="K689" s="9"/>
    </x:row>
    <x:row r="690" ht="22" customHeight="1">
      <x:c r="A690" s="11"/>
      <x:c r="B690" s="9"/>
      <x:c r="C690" s="9"/>
      <x:c r="D690" s="9"/>
      <x:c r="E690" s="9"/>
      <x:c r="F690" s="15"/>
      <x:c r="G690" s="15"/>
      <x:c r="H690" s="17" t="str">
        <x:f>IF(B690="","",IF(NOT(AND(ISNUMBER(F690),ISNUMBER(G690))),"",SUM(F690:G690)))</x:f>
      </x:c>
      <x:c r="I690" s="9"/>
      <x:c r="J690" s="9"/>
      <x:c r="K690" s="9"/>
    </x:row>
    <x:row r="691" ht="22" customHeight="1">
      <x:c r="A691" s="11"/>
      <x:c r="B691" s="9"/>
      <x:c r="C691" s="9"/>
      <x:c r="D691" s="9"/>
      <x:c r="E691" s="9"/>
      <x:c r="F691" s="15"/>
      <x:c r="G691" s="15"/>
      <x:c r="H691" s="17" t="str">
        <x:f>IF(B691="","",IF(NOT(AND(ISNUMBER(F691),ISNUMBER(G691))),"",SUM(F691:G691)))</x:f>
      </x:c>
      <x:c r="I691" s="9"/>
      <x:c r="J691" s="9"/>
      <x:c r="K691" s="9"/>
    </x:row>
    <x:row r="692" ht="22" customHeight="1">
      <x:c r="A692" s="11"/>
      <x:c r="B692" s="9"/>
      <x:c r="C692" s="9"/>
      <x:c r="D692" s="9"/>
      <x:c r="E692" s="9"/>
      <x:c r="F692" s="15"/>
      <x:c r="G692" s="15"/>
      <x:c r="H692" s="17" t="str">
        <x:f>IF(B692="","",IF(NOT(AND(ISNUMBER(F692),ISNUMBER(G692))),"",SUM(F692:G692)))</x:f>
      </x:c>
      <x:c r="I692" s="9"/>
      <x:c r="J692" s="9"/>
      <x:c r="K692" s="9"/>
    </x:row>
    <x:row r="693" ht="22" customHeight="1">
      <x:c r="A693" s="11"/>
      <x:c r="B693" s="9"/>
      <x:c r="C693" s="9"/>
      <x:c r="D693" s="9"/>
      <x:c r="E693" s="9"/>
      <x:c r="F693" s="15"/>
      <x:c r="G693" s="15"/>
      <x:c r="H693" s="17" t="str">
        <x:f>IF(B693="","",IF(NOT(AND(ISNUMBER(F693),ISNUMBER(G693))),"",SUM(F693:G693)))</x:f>
      </x:c>
      <x:c r="I693" s="9"/>
      <x:c r="J693" s="9"/>
      <x:c r="K693" s="9"/>
    </x:row>
    <x:row r="694" ht="22" customHeight="1">
      <x:c r="A694" s="11"/>
      <x:c r="B694" s="9"/>
      <x:c r="C694" s="9"/>
      <x:c r="D694" s="9"/>
      <x:c r="E694" s="9"/>
      <x:c r="F694" s="15"/>
      <x:c r="G694" s="15"/>
      <x:c r="H694" s="17" t="str">
        <x:f>IF(B694="","",IF(NOT(AND(ISNUMBER(F694),ISNUMBER(G694))),"",SUM(F694:G694)))</x:f>
      </x:c>
      <x:c r="I694" s="9"/>
      <x:c r="J694" s="9"/>
      <x:c r="K694" s="9"/>
    </x:row>
    <x:row r="695" ht="22" customHeight="1">
      <x:c r="A695" s="11"/>
      <x:c r="B695" s="9"/>
      <x:c r="C695" s="9"/>
      <x:c r="D695" s="9"/>
      <x:c r="E695" s="9"/>
      <x:c r="F695" s="15"/>
      <x:c r="G695" s="15"/>
      <x:c r="H695" s="17" t="str">
        <x:f>IF(B695="","",IF(NOT(AND(ISNUMBER(F695),ISNUMBER(G695))),"",SUM(F695:G695)))</x:f>
      </x:c>
      <x:c r="I695" s="9"/>
      <x:c r="J695" s="9"/>
      <x:c r="K695" s="9"/>
    </x:row>
    <x:row r="696" ht="22" customHeight="1">
      <x:c r="A696" s="11"/>
      <x:c r="B696" s="9"/>
      <x:c r="C696" s="9"/>
      <x:c r="D696" s="9"/>
      <x:c r="E696" s="9"/>
      <x:c r="F696" s="15"/>
      <x:c r="G696" s="15"/>
      <x:c r="H696" s="17" t="str">
        <x:f>IF(B696="","",IF(NOT(AND(ISNUMBER(F696),ISNUMBER(G696))),"",SUM(F696:G696)))</x:f>
      </x:c>
      <x:c r="I696" s="9"/>
      <x:c r="J696" s="9"/>
      <x:c r="K696" s="9"/>
    </x:row>
    <x:row r="697" ht="22" customHeight="1">
      <x:c r="A697" s="11"/>
      <x:c r="B697" s="9"/>
      <x:c r="C697" s="9"/>
      <x:c r="D697" s="9"/>
      <x:c r="E697" s="9"/>
      <x:c r="F697" s="15"/>
      <x:c r="G697" s="15"/>
      <x:c r="H697" s="17" t="str">
        <x:f>IF(B697="","",IF(NOT(AND(ISNUMBER(F697),ISNUMBER(G697))),"",SUM(F697:G697)))</x:f>
      </x:c>
      <x:c r="I697" s="9"/>
      <x:c r="J697" s="9"/>
      <x:c r="K697" s="9"/>
    </x:row>
    <x:row r="698" ht="22" customHeight="1">
      <x:c r="A698" s="11"/>
      <x:c r="B698" s="9"/>
      <x:c r="C698" s="9"/>
      <x:c r="D698" s="9"/>
      <x:c r="E698" s="9"/>
      <x:c r="F698" s="15"/>
      <x:c r="G698" s="15"/>
      <x:c r="H698" s="17" t="str">
        <x:f>IF(B698="","",IF(NOT(AND(ISNUMBER(F698),ISNUMBER(G698))),"",SUM(F698:G698)))</x:f>
      </x:c>
      <x:c r="I698" s="9"/>
      <x:c r="J698" s="9"/>
      <x:c r="K698" s="9"/>
    </x:row>
    <x:row r="699" ht="22" customHeight="1">
      <x:c r="A699" s="11"/>
      <x:c r="B699" s="9"/>
      <x:c r="C699" s="9"/>
      <x:c r="D699" s="9"/>
      <x:c r="E699" s="9"/>
      <x:c r="F699" s="15"/>
      <x:c r="G699" s="15"/>
      <x:c r="H699" s="17" t="str">
        <x:f>IF(B699="","",IF(NOT(AND(ISNUMBER(F699),ISNUMBER(G699))),"",SUM(F699:G699)))</x:f>
      </x:c>
      <x:c r="I699" s="9"/>
      <x:c r="J699" s="9"/>
      <x:c r="K699" s="9"/>
    </x:row>
    <x:row r="700" ht="22" customHeight="1">
      <x:c r="A700" s="11"/>
      <x:c r="B700" s="9"/>
      <x:c r="C700" s="9"/>
      <x:c r="D700" s="9"/>
      <x:c r="E700" s="9"/>
      <x:c r="F700" s="15"/>
      <x:c r="G700" s="15"/>
      <x:c r="H700" s="17" t="str">
        <x:f>IF(B700="","",IF(NOT(AND(ISNUMBER(F700),ISNUMBER(G700))),"",SUM(F700:G700)))</x:f>
      </x:c>
      <x:c r="I700" s="9"/>
      <x:c r="J700" s="9"/>
      <x:c r="K700" s="9"/>
    </x:row>
    <x:row r="701" ht="22" customHeight="1">
      <x:c r="A701" s="11"/>
      <x:c r="B701" s="9"/>
      <x:c r="C701" s="9"/>
      <x:c r="D701" s="9"/>
      <x:c r="E701" s="9"/>
      <x:c r="F701" s="15"/>
      <x:c r="G701" s="15"/>
      <x:c r="H701" s="17" t="str">
        <x:f>IF(B701="","",IF(NOT(AND(ISNUMBER(F701),ISNUMBER(G701))),"",SUM(F701:G701)))</x:f>
      </x:c>
      <x:c r="I701" s="9"/>
      <x:c r="J701" s="9"/>
      <x:c r="K701" s="9"/>
    </x:row>
    <x:row r="702" ht="22" customHeight="1">
      <x:c r="A702" s="11"/>
      <x:c r="B702" s="9"/>
      <x:c r="C702" s="9"/>
      <x:c r="D702" s="9"/>
      <x:c r="E702" s="9"/>
      <x:c r="F702" s="15"/>
      <x:c r="G702" s="15"/>
      <x:c r="H702" s="17" t="str">
        <x:f>IF(B702="","",IF(NOT(AND(ISNUMBER(F702),ISNUMBER(G702))),"",SUM(F702:G702)))</x:f>
      </x:c>
      <x:c r="I702" s="9"/>
      <x:c r="J702" s="9"/>
      <x:c r="K702" s="9"/>
    </x:row>
    <x:row r="703" ht="22" customHeight="1">
      <x:c r="A703" s="11"/>
      <x:c r="B703" s="9"/>
      <x:c r="C703" s="9"/>
      <x:c r="D703" s="9"/>
      <x:c r="E703" s="9"/>
      <x:c r="F703" s="15"/>
      <x:c r="G703" s="15"/>
      <x:c r="H703" s="17" t="str">
        <x:f>IF(B703="","",IF(NOT(AND(ISNUMBER(F703),ISNUMBER(G703))),"",SUM(F703:G703)))</x:f>
      </x:c>
      <x:c r="I703" s="9"/>
      <x:c r="J703" s="9"/>
      <x:c r="K703" s="9"/>
    </x:row>
    <x:row r="704" ht="22" customHeight="1">
      <x:c r="A704" s="11"/>
      <x:c r="B704" s="9"/>
      <x:c r="C704" s="9"/>
      <x:c r="D704" s="9"/>
      <x:c r="E704" s="9"/>
      <x:c r="F704" s="15"/>
      <x:c r="G704" s="15"/>
      <x:c r="H704" s="17" t="str">
        <x:f>IF(B704="","",IF(NOT(AND(ISNUMBER(F704),ISNUMBER(G704))),"",SUM(F704:G704)))</x:f>
      </x:c>
      <x:c r="I704" s="9"/>
      <x:c r="J704" s="9"/>
      <x:c r="K704" s="9"/>
    </x:row>
    <x:row r="705" ht="22" customHeight="1">
      <x:c r="A705" s="11"/>
      <x:c r="B705" s="9"/>
      <x:c r="C705" s="9"/>
      <x:c r="D705" s="9"/>
      <x:c r="E705" s="9"/>
      <x:c r="F705" s="15"/>
      <x:c r="G705" s="15"/>
      <x:c r="H705" s="17" t="str">
        <x:f>IF(B705="","",IF(NOT(AND(ISNUMBER(F705),ISNUMBER(G705))),"",SUM(F705:G705)))</x:f>
      </x:c>
      <x:c r="I705" s="9"/>
      <x:c r="J705" s="9"/>
      <x:c r="K705" s="9"/>
    </x:row>
    <x:row r="706" ht="22" customHeight="1">
      <x:c r="A706" s="11"/>
      <x:c r="B706" s="9"/>
      <x:c r="C706" s="9"/>
      <x:c r="D706" s="9"/>
      <x:c r="E706" s="9"/>
      <x:c r="F706" s="15"/>
      <x:c r="G706" s="15"/>
      <x:c r="H706" s="17" t="str">
        <x:f>IF(B706="","",IF(NOT(AND(ISNUMBER(F706),ISNUMBER(G706))),"",SUM(F706:G706)))</x:f>
      </x:c>
      <x:c r="I706" s="9"/>
      <x:c r="J706" s="9"/>
      <x:c r="K706" s="9"/>
    </x:row>
    <x:row r="707" ht="22" customHeight="1">
      <x:c r="A707" s="11"/>
      <x:c r="B707" s="9"/>
      <x:c r="C707" s="9"/>
      <x:c r="D707" s="9"/>
      <x:c r="E707" s="9"/>
      <x:c r="F707" s="15"/>
      <x:c r="G707" s="15"/>
      <x:c r="H707" s="17" t="str">
        <x:f>IF(B707="","",IF(NOT(AND(ISNUMBER(F707),ISNUMBER(G707))),"",SUM(F707:G707)))</x:f>
      </x:c>
      <x:c r="I707" s="9"/>
      <x:c r="J707" s="9"/>
      <x:c r="K707" s="9"/>
    </x:row>
    <x:row r="708" ht="22" customHeight="1">
      <x:c r="A708" s="11"/>
      <x:c r="B708" s="9"/>
      <x:c r="C708" s="9"/>
      <x:c r="D708" s="9"/>
      <x:c r="E708" s="9"/>
      <x:c r="F708" s="15"/>
      <x:c r="G708" s="15"/>
      <x:c r="H708" s="17" t="str">
        <x:f>IF(B708="","",IF(NOT(AND(ISNUMBER(F708),ISNUMBER(G708))),"",SUM(F708:G708)))</x:f>
      </x:c>
      <x:c r="I708" s="9"/>
      <x:c r="J708" s="9"/>
      <x:c r="K708" s="9"/>
    </x:row>
    <x:row r="709" ht="22" customHeight="1">
      <x:c r="A709" s="11"/>
      <x:c r="B709" s="9"/>
      <x:c r="C709" s="9"/>
      <x:c r="D709" s="9"/>
      <x:c r="E709" s="9"/>
      <x:c r="F709" s="15"/>
      <x:c r="G709" s="15"/>
      <x:c r="H709" s="17" t="str">
        <x:f>IF(B709="","",IF(NOT(AND(ISNUMBER(F709),ISNUMBER(G709))),"",SUM(F709:G709)))</x:f>
      </x:c>
      <x:c r="I709" s="9"/>
      <x:c r="J709" s="9"/>
      <x:c r="K709" s="9"/>
    </x:row>
    <x:row r="710" ht="22" customHeight="1">
      <x:c r="A710" s="11"/>
      <x:c r="B710" s="9"/>
      <x:c r="C710" s="9"/>
      <x:c r="D710" s="9"/>
      <x:c r="E710" s="9"/>
      <x:c r="F710" s="15"/>
      <x:c r="G710" s="15"/>
      <x:c r="H710" s="17" t="str">
        <x:f>IF(B710="","",IF(NOT(AND(ISNUMBER(F710),ISNUMBER(G710))),"",SUM(F710:G710)))</x:f>
      </x:c>
      <x:c r="I710" s="9"/>
      <x:c r="J710" s="9"/>
      <x:c r="K710" s="9"/>
    </x:row>
    <x:row r="711" ht="22" customHeight="1">
      <x:c r="A711" s="11"/>
      <x:c r="B711" s="9"/>
      <x:c r="C711" s="9"/>
      <x:c r="D711" s="9"/>
      <x:c r="E711" s="9"/>
      <x:c r="F711" s="15"/>
      <x:c r="G711" s="15"/>
      <x:c r="H711" s="17" t="str">
        <x:f>IF(B711="","",IF(NOT(AND(ISNUMBER(F711),ISNUMBER(G711))),"",SUM(F711:G711)))</x:f>
      </x:c>
      <x:c r="I711" s="9"/>
      <x:c r="J711" s="9"/>
      <x:c r="K711" s="9"/>
    </x:row>
    <x:row r="712" ht="22" customHeight="1">
      <x:c r="A712" s="11"/>
      <x:c r="B712" s="9"/>
      <x:c r="C712" s="9"/>
      <x:c r="D712" s="9"/>
      <x:c r="E712" s="9"/>
      <x:c r="F712" s="15"/>
      <x:c r="G712" s="15"/>
      <x:c r="H712" s="17" t="str">
        <x:f>IF(B712="","",IF(NOT(AND(ISNUMBER(F712),ISNUMBER(G712))),"",SUM(F712:G712)))</x:f>
      </x:c>
      <x:c r="I712" s="9"/>
      <x:c r="J712" s="9"/>
      <x:c r="K712" s="9"/>
    </x:row>
    <x:row r="713" ht="22" customHeight="1">
      <x:c r="A713" s="11"/>
      <x:c r="B713" s="9"/>
      <x:c r="C713" s="9"/>
      <x:c r="D713" s="9"/>
      <x:c r="E713" s="9"/>
      <x:c r="F713" s="15"/>
      <x:c r="G713" s="15"/>
      <x:c r="H713" s="17" t="str">
        <x:f>IF(B713="","",IF(NOT(AND(ISNUMBER(F713),ISNUMBER(G713))),"",SUM(F713:G713)))</x:f>
      </x:c>
      <x:c r="I713" s="9"/>
      <x:c r="J713" s="9"/>
      <x:c r="K713" s="9"/>
    </x:row>
    <x:row r="714" ht="22" customHeight="1">
      <x:c r="A714" s="11"/>
      <x:c r="B714" s="9"/>
      <x:c r="C714" s="9"/>
      <x:c r="D714" s="9"/>
      <x:c r="E714" s="9"/>
      <x:c r="F714" s="15"/>
      <x:c r="G714" s="15"/>
      <x:c r="H714" s="17" t="str">
        <x:f>IF(B714="","",IF(NOT(AND(ISNUMBER(F714),ISNUMBER(G714))),"",SUM(F714:G714)))</x:f>
      </x:c>
      <x:c r="I714" s="9"/>
      <x:c r="J714" s="9"/>
      <x:c r="K714" s="9"/>
    </x:row>
    <x:row r="715" ht="22" customHeight="1">
      <x:c r="A715" s="11"/>
      <x:c r="B715" s="9"/>
      <x:c r="C715" s="9"/>
      <x:c r="D715" s="9"/>
      <x:c r="E715" s="9"/>
      <x:c r="F715" s="15"/>
      <x:c r="G715" s="15"/>
      <x:c r="H715" s="17" t="str">
        <x:f>IF(B715="","",IF(NOT(AND(ISNUMBER(F715),ISNUMBER(G715))),"",SUM(F715:G715)))</x:f>
      </x:c>
      <x:c r="I715" s="9"/>
      <x:c r="J715" s="9"/>
      <x:c r="K715" s="9"/>
    </x:row>
    <x:row r="716" ht="22" customHeight="1">
      <x:c r="A716" s="11"/>
      <x:c r="B716" s="9"/>
      <x:c r="C716" s="9"/>
      <x:c r="D716" s="9"/>
      <x:c r="E716" s="9"/>
      <x:c r="F716" s="15"/>
      <x:c r="G716" s="15"/>
      <x:c r="H716" s="17" t="str">
        <x:f>IF(B716="","",IF(NOT(AND(ISNUMBER(F716),ISNUMBER(G716))),"",SUM(F716:G716)))</x:f>
      </x:c>
      <x:c r="I716" s="9"/>
      <x:c r="J716" s="9"/>
      <x:c r="K716" s="9"/>
    </x:row>
    <x:row r="717" ht="22" customHeight="1">
      <x:c r="A717" s="11"/>
      <x:c r="B717" s="9"/>
      <x:c r="C717" s="9"/>
      <x:c r="D717" s="9"/>
      <x:c r="E717" s="9"/>
      <x:c r="F717" s="15"/>
      <x:c r="G717" s="15"/>
      <x:c r="H717" s="17" t="str">
        <x:f>IF(B717="","",IF(NOT(AND(ISNUMBER(F717),ISNUMBER(G717))),"",SUM(F717:G717)))</x:f>
      </x:c>
      <x:c r="I717" s="9"/>
      <x:c r="J717" s="9"/>
      <x:c r="K717" s="9"/>
    </x:row>
    <x:row r="718" ht="22" customHeight="1">
      <x:c r="A718" s="11"/>
      <x:c r="B718" s="9"/>
      <x:c r="C718" s="9"/>
      <x:c r="D718" s="9"/>
      <x:c r="E718" s="9"/>
      <x:c r="F718" s="15"/>
      <x:c r="G718" s="15"/>
      <x:c r="H718" s="17" t="str">
        <x:f>IF(B718="","",IF(NOT(AND(ISNUMBER(F718),ISNUMBER(G718))),"",SUM(F718:G718)))</x:f>
      </x:c>
      <x:c r="I718" s="9"/>
      <x:c r="J718" s="9"/>
      <x:c r="K718" s="9"/>
    </x:row>
    <x:row r="719" ht="22" customHeight="1">
      <x:c r="A719" s="11"/>
      <x:c r="B719" s="9"/>
      <x:c r="C719" s="9"/>
      <x:c r="D719" s="9"/>
      <x:c r="E719" s="9"/>
      <x:c r="F719" s="15"/>
      <x:c r="G719" s="15"/>
      <x:c r="H719" s="17" t="str">
        <x:f>IF(B719="","",IF(NOT(AND(ISNUMBER(F719),ISNUMBER(G719))),"",SUM(F719:G719)))</x:f>
      </x:c>
      <x:c r="I719" s="9"/>
      <x:c r="J719" s="9"/>
      <x:c r="K719" s="9"/>
    </x:row>
    <x:row r="720" ht="22" customHeight="1">
      <x:c r="A720" s="11"/>
      <x:c r="B720" s="9"/>
      <x:c r="C720" s="9"/>
      <x:c r="D720" s="9"/>
      <x:c r="E720" s="9"/>
      <x:c r="F720" s="15"/>
      <x:c r="G720" s="15"/>
      <x:c r="H720" s="17" t="str">
        <x:f>IF(B720="","",IF(NOT(AND(ISNUMBER(F720),ISNUMBER(G720))),"",SUM(F720:G720)))</x:f>
      </x:c>
      <x:c r="I720" s="9"/>
      <x:c r="J720" s="9"/>
      <x:c r="K720" s="9"/>
    </x:row>
    <x:row r="721" ht="22" customHeight="1">
      <x:c r="A721" s="11"/>
      <x:c r="B721" s="9"/>
      <x:c r="C721" s="9"/>
      <x:c r="D721" s="9"/>
      <x:c r="E721" s="9"/>
      <x:c r="F721" s="15"/>
      <x:c r="G721" s="15"/>
      <x:c r="H721" s="17" t="str">
        <x:f>IF(B721="","",IF(NOT(AND(ISNUMBER(F721),ISNUMBER(G721))),"",SUM(F721:G721)))</x:f>
      </x:c>
      <x:c r="I721" s="9"/>
      <x:c r="J721" s="9"/>
      <x:c r="K721" s="9"/>
    </x:row>
    <x:row r="722" ht="22" customHeight="1">
      <x:c r="A722" s="11"/>
      <x:c r="B722" s="9"/>
      <x:c r="C722" s="9"/>
      <x:c r="D722" s="9"/>
      <x:c r="E722" s="9"/>
      <x:c r="F722" s="15"/>
      <x:c r="G722" s="15"/>
      <x:c r="H722" s="17" t="str">
        <x:f>IF(B722="","",IF(NOT(AND(ISNUMBER(F722),ISNUMBER(G722))),"",SUM(F722:G722)))</x:f>
      </x:c>
      <x:c r="I722" s="9"/>
      <x:c r="J722" s="9"/>
      <x:c r="K722" s="9"/>
    </x:row>
    <x:row r="723" ht="22" customHeight="1">
      <x:c r="A723" s="11"/>
      <x:c r="B723" s="9"/>
      <x:c r="C723" s="9"/>
      <x:c r="D723" s="9"/>
      <x:c r="E723" s="9"/>
      <x:c r="F723" s="15"/>
      <x:c r="G723" s="15"/>
      <x:c r="H723" s="17" t="str">
        <x:f>IF(B723="","",IF(NOT(AND(ISNUMBER(F723),ISNUMBER(G723))),"",SUM(F723:G723)))</x:f>
      </x:c>
      <x:c r="I723" s="9"/>
      <x:c r="J723" s="9"/>
      <x:c r="K723" s="9"/>
    </x:row>
    <x:row r="724" ht="22" customHeight="1">
      <x:c r="A724" s="11"/>
      <x:c r="B724" s="9"/>
      <x:c r="C724" s="9"/>
      <x:c r="D724" s="9"/>
      <x:c r="E724" s="9"/>
      <x:c r="F724" s="15"/>
      <x:c r="G724" s="15"/>
      <x:c r="H724" s="17" t="str">
        <x:f>IF(B724="","",IF(NOT(AND(ISNUMBER(F724),ISNUMBER(G724))),"",SUM(F724:G724)))</x:f>
      </x:c>
      <x:c r="I724" s="9"/>
      <x:c r="J724" s="9"/>
      <x:c r="K724" s="9"/>
    </x:row>
    <x:row r="725" ht="22" customHeight="1">
      <x:c r="A725" s="11"/>
      <x:c r="B725" s="9"/>
      <x:c r="C725" s="9"/>
      <x:c r="D725" s="9"/>
      <x:c r="E725" s="9"/>
      <x:c r="F725" s="15"/>
      <x:c r="G725" s="15"/>
      <x:c r="H725" s="17" t="str">
        <x:f>IF(B725="","",IF(NOT(AND(ISNUMBER(F725),ISNUMBER(G725))),"",SUM(F725:G725)))</x:f>
      </x:c>
      <x:c r="I725" s="9"/>
      <x:c r="J725" s="9"/>
      <x:c r="K725" s="9"/>
    </x:row>
    <x:row r="726" ht="22" customHeight="1">
      <x:c r="A726" s="11"/>
      <x:c r="B726" s="9"/>
      <x:c r="C726" s="9"/>
      <x:c r="D726" s="9"/>
      <x:c r="E726" s="9"/>
      <x:c r="F726" s="15"/>
      <x:c r="G726" s="15"/>
      <x:c r="H726" s="17" t="str">
        <x:f>IF(B726="","",IF(NOT(AND(ISNUMBER(F726),ISNUMBER(G726))),"",SUM(F726:G726)))</x:f>
      </x:c>
      <x:c r="I726" s="9"/>
      <x:c r="J726" s="9"/>
      <x:c r="K726" s="9"/>
    </x:row>
    <x:row r="727" ht="22" customHeight="1">
      <x:c r="A727" s="11"/>
      <x:c r="B727" s="9"/>
      <x:c r="C727" s="9"/>
      <x:c r="D727" s="9"/>
      <x:c r="E727" s="9"/>
      <x:c r="F727" s="15"/>
      <x:c r="G727" s="15"/>
      <x:c r="H727" s="17" t="str">
        <x:f>IF(B727="","",IF(NOT(AND(ISNUMBER(F727),ISNUMBER(G727))),"",SUM(F727:G727)))</x:f>
      </x:c>
      <x:c r="I727" s="9"/>
      <x:c r="J727" s="9"/>
      <x:c r="K727" s="9"/>
    </x:row>
    <x:row r="728" ht="22" customHeight="1">
      <x:c r="A728" s="11"/>
      <x:c r="B728" s="9"/>
      <x:c r="C728" s="9"/>
      <x:c r="D728" s="9"/>
      <x:c r="E728" s="9"/>
      <x:c r="F728" s="15"/>
      <x:c r="G728" s="15"/>
      <x:c r="H728" s="17" t="str">
        <x:f>IF(B728="","",IF(NOT(AND(ISNUMBER(F728),ISNUMBER(G728))),"",SUM(F728:G728)))</x:f>
      </x:c>
      <x:c r="I728" s="9"/>
      <x:c r="J728" s="9"/>
      <x:c r="K728" s="9"/>
    </x:row>
    <x:row r="729" ht="22" customHeight="1">
      <x:c r="A729" s="11"/>
      <x:c r="B729" s="9"/>
      <x:c r="C729" s="9"/>
      <x:c r="D729" s="9"/>
      <x:c r="E729" s="9"/>
      <x:c r="F729" s="15"/>
      <x:c r="G729" s="15"/>
      <x:c r="H729" s="17" t="str">
        <x:f>IF(B729="","",IF(NOT(AND(ISNUMBER(F729),ISNUMBER(G729))),"",SUM(F729:G729)))</x:f>
      </x:c>
      <x:c r="I729" s="9"/>
      <x:c r="J729" s="9"/>
      <x:c r="K729" s="9"/>
    </x:row>
    <x:row r="730" ht="22" customHeight="1">
      <x:c r="A730" s="11"/>
      <x:c r="B730" s="9"/>
      <x:c r="C730" s="9"/>
      <x:c r="D730" s="9"/>
      <x:c r="E730" s="9"/>
      <x:c r="F730" s="15"/>
      <x:c r="G730" s="15"/>
      <x:c r="H730" s="17" t="str">
        <x:f>IF(B730="","",IF(NOT(AND(ISNUMBER(F730),ISNUMBER(G730))),"",SUM(F730:G730)))</x:f>
      </x:c>
      <x:c r="I730" s="9"/>
      <x:c r="J730" s="9"/>
      <x:c r="K730" s="9"/>
    </x:row>
    <x:row r="731" ht="22" customHeight="1">
      <x:c r="A731" s="11"/>
      <x:c r="B731" s="9"/>
      <x:c r="C731" s="9"/>
      <x:c r="D731" s="9"/>
      <x:c r="E731" s="9"/>
      <x:c r="F731" s="15"/>
      <x:c r="G731" s="15"/>
      <x:c r="H731" s="17" t="str">
        <x:f>IF(B731="","",IF(NOT(AND(ISNUMBER(F731),ISNUMBER(G731))),"",SUM(F731:G731)))</x:f>
      </x:c>
      <x:c r="I731" s="9"/>
      <x:c r="J731" s="9"/>
      <x:c r="K731" s="9"/>
    </x:row>
    <x:row r="732" ht="22" customHeight="1">
      <x:c r="A732" s="11"/>
      <x:c r="B732" s="9"/>
      <x:c r="C732" s="9"/>
      <x:c r="D732" s="9"/>
      <x:c r="E732" s="9"/>
      <x:c r="F732" s="15"/>
      <x:c r="G732" s="15"/>
      <x:c r="H732" s="17" t="str">
        <x:f>IF(B732="","",IF(NOT(AND(ISNUMBER(F732),ISNUMBER(G732))),"",SUM(F732:G732)))</x:f>
      </x:c>
      <x:c r="I732" s="9"/>
      <x:c r="J732" s="9"/>
      <x:c r="K732" s="9"/>
    </x:row>
    <x:row r="733" ht="22" customHeight="1">
      <x:c r="A733" s="11"/>
      <x:c r="B733" s="9"/>
      <x:c r="C733" s="9"/>
      <x:c r="D733" s="9"/>
      <x:c r="E733" s="9"/>
      <x:c r="F733" s="15"/>
      <x:c r="G733" s="15"/>
      <x:c r="H733" s="17" t="str">
        <x:f>IF(B733="","",IF(NOT(AND(ISNUMBER(F733),ISNUMBER(G733))),"",SUM(F733:G733)))</x:f>
      </x:c>
      <x:c r="I733" s="9"/>
      <x:c r="J733" s="9"/>
      <x:c r="K733" s="9"/>
    </x:row>
    <x:row r="734" ht="22" customHeight="1">
      <x:c r="A734" s="11"/>
      <x:c r="B734" s="9"/>
      <x:c r="C734" s="9"/>
      <x:c r="D734" s="9"/>
      <x:c r="E734" s="9"/>
      <x:c r="F734" s="15"/>
      <x:c r="G734" s="15"/>
      <x:c r="H734" s="17" t="str">
        <x:f>IF(B734="","",IF(NOT(AND(ISNUMBER(F734),ISNUMBER(G734))),"",SUM(F734:G734)))</x:f>
      </x:c>
      <x:c r="I734" s="9"/>
      <x:c r="J734" s="9"/>
      <x:c r="K734" s="9"/>
    </x:row>
    <x:row r="735" ht="22" customHeight="1">
      <x:c r="A735" s="11"/>
      <x:c r="B735" s="9"/>
      <x:c r="C735" s="9"/>
      <x:c r="D735" s="9"/>
      <x:c r="E735" s="9"/>
      <x:c r="F735" s="15"/>
      <x:c r="G735" s="15"/>
      <x:c r="H735" s="17" t="str">
        <x:f>IF(B735="","",IF(NOT(AND(ISNUMBER(F735),ISNUMBER(G735))),"",SUM(F735:G735)))</x:f>
      </x:c>
      <x:c r="I735" s="9"/>
      <x:c r="J735" s="9"/>
      <x:c r="K735" s="9"/>
    </x:row>
    <x:row r="736" ht="22" customHeight="1">
      <x:c r="A736" s="11"/>
      <x:c r="B736" s="9"/>
      <x:c r="C736" s="9"/>
      <x:c r="D736" s="9"/>
      <x:c r="E736" s="9"/>
      <x:c r="F736" s="15"/>
      <x:c r="G736" s="15"/>
      <x:c r="H736" s="17" t="str">
        <x:f>IF(B736="","",IF(NOT(AND(ISNUMBER(F736),ISNUMBER(G736))),"",SUM(F736:G736)))</x:f>
      </x:c>
      <x:c r="I736" s="9"/>
      <x:c r="J736" s="9"/>
      <x:c r="K736" s="9"/>
    </x:row>
    <x:row r="737" ht="22" customHeight="1">
      <x:c r="A737" s="11"/>
      <x:c r="B737" s="9"/>
      <x:c r="C737" s="9"/>
      <x:c r="D737" s="9"/>
      <x:c r="E737" s="9"/>
      <x:c r="F737" s="15"/>
      <x:c r="G737" s="15"/>
      <x:c r="H737" s="17" t="str">
        <x:f>IF(B737="","",IF(NOT(AND(ISNUMBER(F737),ISNUMBER(G737))),"",SUM(F737:G737)))</x:f>
      </x:c>
      <x:c r="I737" s="9"/>
      <x:c r="J737" s="9"/>
      <x:c r="K737" s="9"/>
    </x:row>
    <x:row r="738" ht="22" customHeight="1">
      <x:c r="A738" s="11"/>
      <x:c r="B738" s="9"/>
      <x:c r="C738" s="9"/>
      <x:c r="D738" s="9"/>
      <x:c r="E738" s="9"/>
      <x:c r="F738" s="15"/>
      <x:c r="G738" s="15"/>
      <x:c r="H738" s="17" t="str">
        <x:f>IF(B738="","",IF(NOT(AND(ISNUMBER(F738),ISNUMBER(G738))),"",SUM(F738:G738)))</x:f>
      </x:c>
      <x:c r="I738" s="9"/>
      <x:c r="J738" s="9"/>
      <x:c r="K738" s="9"/>
    </x:row>
    <x:row r="739" ht="22" customHeight="1">
      <x:c r="A739" s="11"/>
      <x:c r="B739" s="9"/>
      <x:c r="C739" s="9"/>
      <x:c r="D739" s="9"/>
      <x:c r="E739" s="9"/>
      <x:c r="F739" s="15"/>
      <x:c r="G739" s="15"/>
      <x:c r="H739" s="17" t="str">
        <x:f>IF(B739="","",IF(NOT(AND(ISNUMBER(F739),ISNUMBER(G739))),"",SUM(F739:G739)))</x:f>
      </x:c>
      <x:c r="I739" s="9"/>
      <x:c r="J739" s="9"/>
      <x:c r="K739" s="9"/>
    </x:row>
    <x:row r="740" ht="22" customHeight="1">
      <x:c r="A740" s="11"/>
      <x:c r="B740" s="9"/>
      <x:c r="C740" s="9"/>
      <x:c r="D740" s="9"/>
      <x:c r="E740" s="9"/>
      <x:c r="F740" s="15"/>
      <x:c r="G740" s="15"/>
      <x:c r="H740" s="17" t="str">
        <x:f>IF(B740="","",IF(NOT(AND(ISNUMBER(F740),ISNUMBER(G740))),"",SUM(F740:G740)))</x:f>
      </x:c>
      <x:c r="I740" s="9"/>
      <x:c r="J740" s="9"/>
      <x:c r="K740" s="9"/>
    </x:row>
    <x:row r="741" ht="22" customHeight="1">
      <x:c r="A741" s="11"/>
      <x:c r="B741" s="9"/>
      <x:c r="C741" s="9"/>
      <x:c r="D741" s="9"/>
      <x:c r="E741" s="9"/>
      <x:c r="F741" s="15"/>
      <x:c r="G741" s="15"/>
      <x:c r="H741" s="17" t="str">
        <x:f>IF(B741="","",IF(NOT(AND(ISNUMBER(F741),ISNUMBER(G741))),"",SUM(F741:G741)))</x:f>
      </x:c>
      <x:c r="I741" s="9"/>
      <x:c r="J741" s="9"/>
      <x:c r="K741" s="9"/>
    </x:row>
    <x:row r="742" ht="22" customHeight="1">
      <x:c r="A742" s="11"/>
      <x:c r="B742" s="9"/>
      <x:c r="C742" s="9"/>
      <x:c r="D742" s="9"/>
      <x:c r="E742" s="9"/>
      <x:c r="F742" s="15"/>
      <x:c r="G742" s="15"/>
      <x:c r="H742" s="17" t="str">
        <x:f>IF(B742="","",IF(NOT(AND(ISNUMBER(F742),ISNUMBER(G742))),"",SUM(F742:G742)))</x:f>
      </x:c>
      <x:c r="I742" s="9"/>
      <x:c r="J742" s="9"/>
      <x:c r="K742" s="9"/>
    </x:row>
    <x:row r="743" ht="22" customHeight="1">
      <x:c r="A743" s="11"/>
      <x:c r="B743" s="9"/>
      <x:c r="C743" s="9"/>
      <x:c r="D743" s="9"/>
      <x:c r="E743" s="9"/>
      <x:c r="F743" s="15"/>
      <x:c r="G743" s="15"/>
      <x:c r="H743" s="17" t="str">
        <x:f>IF(B743="","",IF(NOT(AND(ISNUMBER(F743),ISNUMBER(G743))),"",SUM(F743:G743)))</x:f>
      </x:c>
      <x:c r="I743" s="9"/>
      <x:c r="J743" s="9"/>
      <x:c r="K743" s="9"/>
    </x:row>
    <x:row r="744" ht="22" customHeight="1">
      <x:c r="A744" s="11"/>
      <x:c r="B744" s="9"/>
      <x:c r="C744" s="9"/>
      <x:c r="D744" s="9"/>
      <x:c r="E744" s="9"/>
      <x:c r="F744" s="15"/>
      <x:c r="G744" s="15"/>
      <x:c r="H744" s="17" t="str">
        <x:f>IF(B744="","",IF(NOT(AND(ISNUMBER(F744),ISNUMBER(G744))),"",SUM(F744:G744)))</x:f>
      </x:c>
      <x:c r="I744" s="9"/>
      <x:c r="J744" s="9"/>
      <x:c r="K744" s="9"/>
    </x:row>
    <x:row r="745" ht="22" customHeight="1">
      <x:c r="A745" s="11"/>
      <x:c r="B745" s="9"/>
      <x:c r="C745" s="9"/>
      <x:c r="D745" s="9"/>
      <x:c r="E745" s="9"/>
      <x:c r="F745" s="15"/>
      <x:c r="G745" s="15"/>
      <x:c r="H745" s="17" t="str">
        <x:f>IF(B745="","",IF(NOT(AND(ISNUMBER(F745),ISNUMBER(G745))),"",SUM(F745:G745)))</x:f>
      </x:c>
      <x:c r="I745" s="9"/>
      <x:c r="J745" s="9"/>
      <x:c r="K745" s="9"/>
    </x:row>
    <x:row r="746" ht="22" customHeight="1">
      <x:c r="A746" s="11"/>
      <x:c r="B746" s="9"/>
      <x:c r="C746" s="9"/>
      <x:c r="D746" s="9"/>
      <x:c r="E746" s="9"/>
      <x:c r="F746" s="15"/>
      <x:c r="G746" s="15"/>
      <x:c r="H746" s="17" t="str">
        <x:f>IF(B746="","",IF(NOT(AND(ISNUMBER(F746),ISNUMBER(G746))),"",SUM(F746:G746)))</x:f>
      </x:c>
      <x:c r="I746" s="9"/>
      <x:c r="J746" s="9"/>
      <x:c r="K746" s="9"/>
    </x:row>
    <x:row r="747" ht="22" customHeight="1">
      <x:c r="A747" s="11"/>
      <x:c r="B747" s="9"/>
      <x:c r="C747" s="9"/>
      <x:c r="D747" s="9"/>
      <x:c r="E747" s="9"/>
      <x:c r="F747" s="15"/>
      <x:c r="G747" s="15"/>
      <x:c r="H747" s="17" t="str">
        <x:f>IF(B747="","",IF(NOT(AND(ISNUMBER(F747),ISNUMBER(G747))),"",SUM(F747:G747)))</x:f>
      </x:c>
      <x:c r="I747" s="9"/>
      <x:c r="J747" s="9"/>
      <x:c r="K747" s="9"/>
    </x:row>
    <x:row r="748" ht="22" customHeight="1">
      <x:c r="A748" s="11"/>
      <x:c r="B748" s="9"/>
      <x:c r="C748" s="9"/>
      <x:c r="D748" s="9"/>
      <x:c r="E748" s="9"/>
      <x:c r="F748" s="15"/>
      <x:c r="G748" s="15"/>
      <x:c r="H748" s="17" t="str">
        <x:f>IF(B748="","",IF(NOT(AND(ISNUMBER(F748),ISNUMBER(G748))),"",SUM(F748:G748)))</x:f>
      </x:c>
      <x:c r="I748" s="9"/>
      <x:c r="J748" s="9"/>
      <x:c r="K748" s="9"/>
    </x:row>
    <x:row r="749" ht="22" customHeight="1">
      <x:c r="A749" s="11"/>
      <x:c r="B749" s="9"/>
      <x:c r="C749" s="9"/>
      <x:c r="D749" s="9"/>
      <x:c r="E749" s="9"/>
      <x:c r="F749" s="15"/>
      <x:c r="G749" s="15"/>
      <x:c r="H749" s="17" t="str">
        <x:f>IF(B749="","",IF(NOT(AND(ISNUMBER(F749),ISNUMBER(G749))),"",SUM(F749:G749)))</x:f>
      </x:c>
      <x:c r="I749" s="9"/>
      <x:c r="J749" s="9"/>
      <x:c r="K749" s="9"/>
    </x:row>
    <x:row r="750" ht="22" customHeight="1">
      <x:c r="A750" s="11"/>
      <x:c r="B750" s="9"/>
      <x:c r="C750" s="9"/>
      <x:c r="D750" s="9"/>
      <x:c r="E750" s="9"/>
      <x:c r="F750" s="15"/>
      <x:c r="G750" s="15"/>
      <x:c r="H750" s="17" t="str">
        <x:f>IF(B750="","",IF(NOT(AND(ISNUMBER(F750),ISNUMBER(G750))),"",SUM(F750:G750)))</x:f>
      </x:c>
      <x:c r="I750" s="9"/>
      <x:c r="J750" s="9"/>
      <x:c r="K750" s="9"/>
    </x:row>
    <x:row r="751" ht="22" customHeight="1">
      <x:c r="A751" s="11"/>
      <x:c r="B751" s="9"/>
      <x:c r="C751" s="9"/>
      <x:c r="D751" s="9"/>
      <x:c r="E751" s="9"/>
      <x:c r="F751" s="15"/>
      <x:c r="G751" s="15"/>
      <x:c r="H751" s="17" t="str">
        <x:f>IF(B751="","",IF(NOT(AND(ISNUMBER(F751),ISNUMBER(G751))),"",SUM(F751:G751)))</x:f>
      </x:c>
      <x:c r="I751" s="9"/>
      <x:c r="J751" s="9"/>
      <x:c r="K751" s="9"/>
    </x:row>
    <x:row r="752" ht="22" customHeight="1">
      <x:c r="A752" s="11"/>
      <x:c r="B752" s="9"/>
      <x:c r="C752" s="9"/>
      <x:c r="D752" s="9"/>
      <x:c r="E752" s="9"/>
      <x:c r="F752" s="15"/>
      <x:c r="G752" s="15"/>
      <x:c r="H752" s="17" t="str">
        <x:f>IF(B752="","",IF(NOT(AND(ISNUMBER(F752),ISNUMBER(G752))),"",SUM(F752:G752)))</x:f>
      </x:c>
      <x:c r="I752" s="9"/>
      <x:c r="J752" s="9"/>
      <x:c r="K752" s="9"/>
    </x:row>
    <x:row r="753" ht="22" customHeight="1">
      <x:c r="A753" s="11"/>
      <x:c r="B753" s="9"/>
      <x:c r="C753" s="9"/>
      <x:c r="D753" s="9"/>
      <x:c r="E753" s="9"/>
      <x:c r="F753" s="15"/>
      <x:c r="G753" s="15"/>
      <x:c r="H753" s="17" t="str">
        <x:f>IF(B753="","",IF(NOT(AND(ISNUMBER(F753),ISNUMBER(G753))),"",SUM(F753:G753)))</x:f>
      </x:c>
      <x:c r="I753" s="9"/>
      <x:c r="J753" s="9"/>
      <x:c r="K753" s="9"/>
    </x:row>
    <x:row r="754" ht="22" customHeight="1">
      <x:c r="A754" s="11"/>
      <x:c r="B754" s="9"/>
      <x:c r="C754" s="9"/>
      <x:c r="D754" s="9"/>
      <x:c r="E754" s="9"/>
      <x:c r="F754" s="15"/>
      <x:c r="G754" s="15"/>
      <x:c r="H754" s="17" t="str">
        <x:f>IF(B754="","",IF(NOT(AND(ISNUMBER(F754),ISNUMBER(G754))),"",SUM(F754:G754)))</x:f>
      </x:c>
      <x:c r="I754" s="9"/>
      <x:c r="J754" s="9"/>
      <x:c r="K754" s="9"/>
    </x:row>
    <x:row r="755" ht="22" customHeight="1">
      <x:c r="A755" s="11"/>
      <x:c r="B755" s="9"/>
      <x:c r="C755" s="9"/>
      <x:c r="D755" s="9"/>
      <x:c r="E755" s="9"/>
      <x:c r="F755" s="15"/>
      <x:c r="G755" s="15"/>
      <x:c r="H755" s="17" t="str">
        <x:f>IF(B755="","",IF(NOT(AND(ISNUMBER(F755),ISNUMBER(G755))),"",SUM(F755:G755)))</x:f>
      </x:c>
      <x:c r="I755" s="9"/>
      <x:c r="J755" s="9"/>
      <x:c r="K755" s="9"/>
    </x:row>
    <x:row r="756" ht="22" customHeight="1">
      <x:c r="A756" s="11"/>
      <x:c r="B756" s="9"/>
      <x:c r="C756" s="9"/>
      <x:c r="D756" s="9"/>
      <x:c r="E756" s="9"/>
      <x:c r="F756" s="15"/>
      <x:c r="G756" s="15"/>
      <x:c r="H756" s="17" t="str">
        <x:f>IF(B756="","",IF(NOT(AND(ISNUMBER(F756),ISNUMBER(G756))),"",SUM(F756:G756)))</x:f>
      </x:c>
      <x:c r="I756" s="9"/>
      <x:c r="J756" s="9"/>
      <x:c r="K756" s="9"/>
    </x:row>
    <x:row r="757" ht="22" customHeight="1">
      <x:c r="A757" s="11"/>
      <x:c r="B757" s="9"/>
      <x:c r="C757" s="9"/>
      <x:c r="D757" s="9"/>
      <x:c r="E757" s="9"/>
      <x:c r="F757" s="15"/>
      <x:c r="G757" s="15"/>
      <x:c r="H757" s="17" t="str">
        <x:f>IF(B757="","",IF(NOT(AND(ISNUMBER(F757),ISNUMBER(G757))),"",SUM(F757:G757)))</x:f>
      </x:c>
      <x:c r="I757" s="9"/>
      <x:c r="J757" s="9"/>
      <x:c r="K757" s="9"/>
    </x:row>
    <x:row r="758" ht="22" customHeight="1">
      <x:c r="A758" s="11"/>
      <x:c r="B758" s="9"/>
      <x:c r="C758" s="9"/>
      <x:c r="D758" s="9"/>
      <x:c r="E758" s="9"/>
      <x:c r="F758" s="15"/>
      <x:c r="G758" s="15"/>
      <x:c r="H758" s="17" t="str">
        <x:f>IF(B758="","",IF(NOT(AND(ISNUMBER(F758),ISNUMBER(G758))),"",SUM(F758:G758)))</x:f>
      </x:c>
      <x:c r="I758" s="9"/>
      <x:c r="J758" s="9"/>
      <x:c r="K758" s="9"/>
    </x:row>
    <x:row r="759" ht="22" customHeight="1">
      <x:c r="A759" s="11"/>
      <x:c r="B759" s="9"/>
      <x:c r="C759" s="9"/>
      <x:c r="D759" s="9"/>
      <x:c r="E759" s="9"/>
      <x:c r="F759" s="15"/>
      <x:c r="G759" s="15"/>
      <x:c r="H759" s="17" t="str">
        <x:f>IF(B759="","",IF(NOT(AND(ISNUMBER(F759),ISNUMBER(G759))),"",SUM(F759:G759)))</x:f>
      </x:c>
      <x:c r="I759" s="9"/>
      <x:c r="J759" s="9"/>
      <x:c r="K759" s="9"/>
    </x:row>
    <x:row r="760" ht="22" customHeight="1">
      <x:c r="A760" s="11"/>
      <x:c r="B760" s="9"/>
      <x:c r="C760" s="9"/>
      <x:c r="D760" s="9"/>
      <x:c r="E760" s="9"/>
      <x:c r="F760" s="15"/>
      <x:c r="G760" s="15"/>
      <x:c r="H760" s="17" t="str">
        <x:f>IF(B760="","",IF(NOT(AND(ISNUMBER(F760),ISNUMBER(G760))),"",SUM(F760:G760)))</x:f>
      </x:c>
      <x:c r="I760" s="9"/>
      <x:c r="J760" s="9"/>
      <x:c r="K760" s="9"/>
    </x:row>
    <x:row r="761" ht="22" customHeight="1">
      <x:c r="A761" s="11"/>
      <x:c r="B761" s="9"/>
      <x:c r="C761" s="9"/>
      <x:c r="D761" s="9"/>
      <x:c r="E761" s="9"/>
      <x:c r="F761" s="15"/>
      <x:c r="G761" s="15"/>
      <x:c r="H761" s="17" t="str">
        <x:f>IF(B761="","",IF(NOT(AND(ISNUMBER(F761),ISNUMBER(G761))),"",SUM(F761:G761)))</x:f>
      </x:c>
      <x:c r="I761" s="9"/>
      <x:c r="J761" s="9"/>
      <x:c r="K761" s="9"/>
    </x:row>
    <x:row r="762" ht="22" customHeight="1">
      <x:c r="A762" s="11"/>
      <x:c r="B762" s="9"/>
      <x:c r="C762" s="9"/>
      <x:c r="D762" s="9"/>
      <x:c r="E762" s="9"/>
      <x:c r="F762" s="15"/>
      <x:c r="G762" s="15"/>
      <x:c r="H762" s="17" t="str">
        <x:f>IF(B762="","",IF(NOT(AND(ISNUMBER(F762),ISNUMBER(G762))),"",SUM(F762:G762)))</x:f>
      </x:c>
      <x:c r="I762" s="9"/>
      <x:c r="J762" s="9"/>
      <x:c r="K762" s="9"/>
    </x:row>
    <x:row r="763" ht="22" customHeight="1">
      <x:c r="A763" s="11"/>
      <x:c r="B763" s="9"/>
      <x:c r="C763" s="9"/>
      <x:c r="D763" s="9"/>
      <x:c r="E763" s="9"/>
      <x:c r="F763" s="15"/>
      <x:c r="G763" s="15"/>
      <x:c r="H763" s="17" t="str">
        <x:f>IF(B763="","",IF(NOT(AND(ISNUMBER(F763),ISNUMBER(G763))),"",SUM(F763:G763)))</x:f>
      </x:c>
      <x:c r="I763" s="9"/>
      <x:c r="J763" s="9"/>
      <x:c r="K763" s="9"/>
    </x:row>
    <x:row r="764" ht="22" customHeight="1">
      <x:c r="A764" s="11"/>
      <x:c r="B764" s="9"/>
      <x:c r="C764" s="9"/>
      <x:c r="D764" s="9"/>
      <x:c r="E764" s="9"/>
      <x:c r="F764" s="15"/>
      <x:c r="G764" s="15"/>
      <x:c r="H764" s="17" t="str">
        <x:f>IF(B764="","",IF(NOT(AND(ISNUMBER(F764),ISNUMBER(G764))),"",SUM(F764:G764)))</x:f>
      </x:c>
      <x:c r="I764" s="9"/>
      <x:c r="J764" s="9"/>
      <x:c r="K764" s="9"/>
    </x:row>
    <x:row r="765" ht="22" customHeight="1">
      <x:c r="A765" s="11"/>
      <x:c r="B765" s="9"/>
      <x:c r="C765" s="9"/>
      <x:c r="D765" s="9"/>
      <x:c r="E765" s="9"/>
      <x:c r="F765" s="15"/>
      <x:c r="G765" s="15"/>
      <x:c r="H765" s="17" t="str">
        <x:f>IF(B765="","",IF(NOT(AND(ISNUMBER(F765),ISNUMBER(G765))),"",SUM(F765:G765)))</x:f>
      </x:c>
      <x:c r="I765" s="9"/>
      <x:c r="J765" s="9"/>
      <x:c r="K765" s="9"/>
    </x:row>
    <x:row r="766" ht="22" customHeight="1">
      <x:c r="A766" s="11"/>
      <x:c r="B766" s="9"/>
      <x:c r="C766" s="9"/>
      <x:c r="D766" s="9"/>
      <x:c r="E766" s="9"/>
      <x:c r="F766" s="15"/>
      <x:c r="G766" s="15"/>
      <x:c r="H766" s="17" t="str">
        <x:f>IF(B766="","",IF(NOT(AND(ISNUMBER(F766),ISNUMBER(G766))),"",SUM(F766:G766)))</x:f>
      </x:c>
      <x:c r="I766" s="9"/>
      <x:c r="J766" s="9"/>
      <x:c r="K766" s="9"/>
    </x:row>
    <x:row r="767" ht="22" customHeight="1">
      <x:c r="A767" s="11"/>
      <x:c r="B767" s="9"/>
      <x:c r="C767" s="9"/>
      <x:c r="D767" s="9"/>
      <x:c r="E767" s="9"/>
      <x:c r="F767" s="15"/>
      <x:c r="G767" s="15"/>
      <x:c r="H767" s="17" t="str">
        <x:f>IF(B767="","",IF(NOT(AND(ISNUMBER(F767),ISNUMBER(G767))),"",SUM(F767:G767)))</x:f>
      </x:c>
      <x:c r="I767" s="9"/>
      <x:c r="J767" s="9"/>
      <x:c r="K767" s="9"/>
    </x:row>
    <x:row r="768" ht="22" customHeight="1">
      <x:c r="A768" s="11"/>
      <x:c r="B768" s="9"/>
      <x:c r="C768" s="9"/>
      <x:c r="D768" s="9"/>
      <x:c r="E768" s="9"/>
      <x:c r="F768" s="15"/>
      <x:c r="G768" s="15"/>
      <x:c r="H768" s="17" t="str">
        <x:f>IF(B768="","",IF(NOT(AND(ISNUMBER(F768),ISNUMBER(G768))),"",SUM(F768:G768)))</x:f>
      </x:c>
      <x:c r="I768" s="9"/>
      <x:c r="J768" s="9"/>
      <x:c r="K768" s="9"/>
    </x:row>
    <x:row r="769" ht="22" customHeight="1">
      <x:c r="A769" s="11"/>
      <x:c r="B769" s="9"/>
      <x:c r="C769" s="9"/>
      <x:c r="D769" s="9"/>
      <x:c r="E769" s="9"/>
      <x:c r="F769" s="15"/>
      <x:c r="G769" s="15"/>
      <x:c r="H769" s="17" t="str">
        <x:f>IF(B769="","",IF(NOT(AND(ISNUMBER(F769),ISNUMBER(G769))),"",SUM(F769:G769)))</x:f>
      </x:c>
      <x:c r="I769" s="9"/>
      <x:c r="J769" s="9"/>
      <x:c r="K769" s="9"/>
    </x:row>
    <x:row r="770" ht="22" customHeight="1">
      <x:c r="A770" s="11"/>
      <x:c r="B770" s="9"/>
      <x:c r="C770" s="9"/>
      <x:c r="D770" s="9"/>
      <x:c r="E770" s="9"/>
      <x:c r="F770" s="15"/>
      <x:c r="G770" s="15"/>
      <x:c r="H770" s="17" t="str">
        <x:f>IF(B770="","",IF(NOT(AND(ISNUMBER(F770),ISNUMBER(G770))),"",SUM(F770:G770)))</x:f>
      </x:c>
      <x:c r="I770" s="9"/>
      <x:c r="J770" s="9"/>
      <x:c r="K770" s="9"/>
    </x:row>
    <x:row r="771" ht="22" customHeight="1">
      <x:c r="A771" s="11"/>
      <x:c r="B771" s="9"/>
      <x:c r="C771" s="9"/>
      <x:c r="D771" s="9"/>
      <x:c r="E771" s="9"/>
      <x:c r="F771" s="15"/>
      <x:c r="G771" s="15"/>
      <x:c r="H771" s="17" t="str">
        <x:f>IF(B771="","",IF(NOT(AND(ISNUMBER(F771),ISNUMBER(G771))),"",SUM(F771:G771)))</x:f>
      </x:c>
      <x:c r="I771" s="9"/>
      <x:c r="J771" s="9"/>
      <x:c r="K771" s="9"/>
    </x:row>
    <x:row r="772" ht="22" customHeight="1">
      <x:c r="A772" s="11"/>
      <x:c r="B772" s="9"/>
      <x:c r="C772" s="9"/>
      <x:c r="D772" s="9"/>
      <x:c r="E772" s="9"/>
      <x:c r="F772" s="15"/>
      <x:c r="G772" s="15"/>
      <x:c r="H772" s="17" t="str">
        <x:f>IF(B772="","",IF(NOT(AND(ISNUMBER(F772),ISNUMBER(G772))),"",SUM(F772:G772)))</x:f>
      </x:c>
      <x:c r="I772" s="9"/>
      <x:c r="J772" s="9"/>
      <x:c r="K772" s="9"/>
    </x:row>
    <x:row r="773" ht="22" customHeight="1">
      <x:c r="A773" s="11"/>
      <x:c r="B773" s="9"/>
      <x:c r="C773" s="9"/>
      <x:c r="D773" s="9"/>
      <x:c r="E773" s="9"/>
      <x:c r="F773" s="15"/>
      <x:c r="G773" s="15"/>
      <x:c r="H773" s="17" t="str">
        <x:f>IF(B773="","",IF(NOT(AND(ISNUMBER(F773),ISNUMBER(G773))),"",SUM(F773:G773)))</x:f>
      </x:c>
      <x:c r="I773" s="9"/>
      <x:c r="J773" s="9"/>
      <x:c r="K773" s="9"/>
    </x:row>
    <x:row r="774" ht="22" customHeight="1">
      <x:c r="A774" s="11"/>
      <x:c r="B774" s="9"/>
      <x:c r="C774" s="9"/>
      <x:c r="D774" s="9"/>
      <x:c r="E774" s="9"/>
      <x:c r="F774" s="15"/>
      <x:c r="G774" s="15"/>
      <x:c r="H774" s="17" t="str">
        <x:f>IF(B774="","",IF(NOT(AND(ISNUMBER(F774),ISNUMBER(G774))),"",SUM(F774:G774)))</x:f>
      </x:c>
      <x:c r="I774" s="9"/>
      <x:c r="J774" s="9"/>
      <x:c r="K774" s="9"/>
    </x:row>
    <x:row r="775" ht="22" customHeight="1">
      <x:c r="A775" s="11"/>
      <x:c r="B775" s="9"/>
      <x:c r="C775" s="9"/>
      <x:c r="D775" s="9"/>
      <x:c r="E775" s="9"/>
      <x:c r="F775" s="15"/>
      <x:c r="G775" s="15"/>
      <x:c r="H775" s="17" t="str">
        <x:f>IF(B775="","",IF(NOT(AND(ISNUMBER(F775),ISNUMBER(G775))),"",SUM(F775:G775)))</x:f>
      </x:c>
      <x:c r="I775" s="9"/>
      <x:c r="J775" s="9"/>
      <x:c r="K775" s="9"/>
    </x:row>
    <x:row r="776" ht="22" customHeight="1">
      <x:c r="A776" s="11"/>
      <x:c r="B776" s="9"/>
      <x:c r="C776" s="9"/>
      <x:c r="D776" s="9"/>
      <x:c r="E776" s="9"/>
      <x:c r="F776" s="15"/>
      <x:c r="G776" s="15"/>
      <x:c r="H776" s="17" t="str">
        <x:f>IF(B776="","",IF(NOT(AND(ISNUMBER(F776),ISNUMBER(G776))),"",SUM(F776:G776)))</x:f>
      </x:c>
      <x:c r="I776" s="9"/>
      <x:c r="J776" s="9"/>
      <x:c r="K776" s="9"/>
    </x:row>
    <x:row r="777" ht="22" customHeight="1">
      <x:c r="A777" s="11"/>
      <x:c r="B777" s="9"/>
      <x:c r="C777" s="9"/>
      <x:c r="D777" s="9"/>
      <x:c r="E777" s="9"/>
      <x:c r="F777" s="15"/>
      <x:c r="G777" s="15"/>
      <x:c r="H777" s="17" t="str">
        <x:f>IF(B777="","",IF(NOT(AND(ISNUMBER(F777),ISNUMBER(G777))),"",SUM(F777:G777)))</x:f>
      </x:c>
      <x:c r="I777" s="9"/>
      <x:c r="J777" s="9"/>
      <x:c r="K777" s="9"/>
    </x:row>
    <x:row r="778" ht="22" customHeight="1">
      <x:c r="A778" s="11"/>
      <x:c r="B778" s="9"/>
      <x:c r="C778" s="9"/>
      <x:c r="D778" s="9"/>
      <x:c r="E778" s="9"/>
      <x:c r="F778" s="15"/>
      <x:c r="G778" s="15"/>
      <x:c r="H778" s="17" t="str">
        <x:f>IF(B778="","",IF(NOT(AND(ISNUMBER(F778),ISNUMBER(G778))),"",SUM(F778:G778)))</x:f>
      </x:c>
      <x:c r="I778" s="9"/>
      <x:c r="J778" s="9"/>
      <x:c r="K778" s="9"/>
    </x:row>
    <x:row r="779" ht="22" customHeight="1">
      <x:c r="A779" s="11"/>
      <x:c r="B779" s="9"/>
      <x:c r="C779" s="9"/>
      <x:c r="D779" s="9"/>
      <x:c r="E779" s="9"/>
      <x:c r="F779" s="15"/>
      <x:c r="G779" s="15"/>
      <x:c r="H779" s="17" t="str">
        <x:f>IF(B779="","",IF(NOT(AND(ISNUMBER(F779),ISNUMBER(G779))),"",SUM(F779:G779)))</x:f>
      </x:c>
      <x:c r="I779" s="9"/>
      <x:c r="J779" s="9"/>
      <x:c r="K779" s="9"/>
    </x:row>
    <x:row r="780" ht="22" customHeight="1">
      <x:c r="A780" s="11"/>
      <x:c r="B780" s="9"/>
      <x:c r="C780" s="9"/>
      <x:c r="D780" s="9"/>
      <x:c r="E780" s="9"/>
      <x:c r="F780" s="15"/>
      <x:c r="G780" s="15"/>
      <x:c r="H780" s="17" t="str">
        <x:f>IF(B780="","",IF(NOT(AND(ISNUMBER(F780),ISNUMBER(G780))),"",SUM(F780:G780)))</x:f>
      </x:c>
      <x:c r="I780" s="9"/>
      <x:c r="J780" s="9"/>
      <x:c r="K780" s="9"/>
    </x:row>
    <x:row r="781" ht="22" customHeight="1">
      <x:c r="A781" s="11"/>
      <x:c r="B781" s="9"/>
      <x:c r="C781" s="9"/>
      <x:c r="D781" s="9"/>
      <x:c r="E781" s="9"/>
      <x:c r="F781" s="15"/>
      <x:c r="G781" s="15"/>
      <x:c r="H781" s="17" t="str">
        <x:f>IF(B781="","",IF(NOT(AND(ISNUMBER(F781),ISNUMBER(G781))),"",SUM(F781:G781)))</x:f>
      </x:c>
      <x:c r="I781" s="9"/>
      <x:c r="J781" s="9"/>
      <x:c r="K781" s="9"/>
    </x:row>
    <x:row r="782" ht="22" customHeight="1">
      <x:c r="A782" s="11"/>
      <x:c r="B782" s="9"/>
      <x:c r="C782" s="9"/>
      <x:c r="D782" s="9"/>
      <x:c r="E782" s="9"/>
      <x:c r="F782" s="15"/>
      <x:c r="G782" s="15"/>
      <x:c r="H782" s="17" t="str">
        <x:f>IF(B782="","",IF(NOT(AND(ISNUMBER(F782),ISNUMBER(G782))),"",SUM(F782:G782)))</x:f>
      </x:c>
      <x:c r="I782" s="9"/>
      <x:c r="J782" s="9"/>
      <x:c r="K782" s="9"/>
    </x:row>
    <x:row r="783" ht="22" customHeight="1">
      <x:c r="A783" s="11"/>
      <x:c r="B783" s="9"/>
      <x:c r="C783" s="9"/>
      <x:c r="D783" s="9"/>
      <x:c r="E783" s="9"/>
      <x:c r="F783" s="15"/>
      <x:c r="G783" s="15"/>
      <x:c r="H783" s="17" t="str">
        <x:f>IF(B783="","",IF(NOT(AND(ISNUMBER(F783),ISNUMBER(G783))),"",SUM(F783:G783)))</x:f>
      </x:c>
      <x:c r="I783" s="9"/>
      <x:c r="J783" s="9"/>
      <x:c r="K783" s="9"/>
    </x:row>
    <x:row r="784" ht="22" customHeight="1">
      <x:c r="A784" s="11"/>
      <x:c r="B784" s="9"/>
      <x:c r="C784" s="9"/>
      <x:c r="D784" s="9"/>
      <x:c r="E784" s="9"/>
      <x:c r="F784" s="15"/>
      <x:c r="G784" s="15"/>
      <x:c r="H784" s="17" t="str">
        <x:f>IF(B784="","",IF(NOT(AND(ISNUMBER(F784),ISNUMBER(G784))),"",SUM(F784:G784)))</x:f>
      </x:c>
      <x:c r="I784" s="9"/>
      <x:c r="J784" s="9"/>
      <x:c r="K784" s="9"/>
    </x:row>
    <x:row r="785" ht="22" customHeight="1">
      <x:c r="A785" s="11"/>
      <x:c r="B785" s="9"/>
      <x:c r="C785" s="9"/>
      <x:c r="D785" s="9"/>
      <x:c r="E785" s="9"/>
      <x:c r="F785" s="15"/>
      <x:c r="G785" s="15"/>
      <x:c r="H785" s="17" t="str">
        <x:f>IF(B785="","",IF(NOT(AND(ISNUMBER(F785),ISNUMBER(G785))),"",SUM(F785:G785)))</x:f>
      </x:c>
      <x:c r="I785" s="9"/>
      <x:c r="J785" s="9"/>
      <x:c r="K785" s="9"/>
    </x:row>
    <x:row r="786" ht="22" customHeight="1">
      <x:c r="A786" s="11"/>
      <x:c r="B786" s="9"/>
      <x:c r="C786" s="9"/>
      <x:c r="D786" s="9"/>
      <x:c r="E786" s="9"/>
      <x:c r="F786" s="15"/>
      <x:c r="G786" s="15"/>
      <x:c r="H786" s="17" t="str">
        <x:f>IF(B786="","",IF(NOT(AND(ISNUMBER(F786),ISNUMBER(G786))),"",SUM(F786:G786)))</x:f>
      </x:c>
      <x:c r="I786" s="9"/>
      <x:c r="J786" s="9"/>
      <x:c r="K786" s="9"/>
    </x:row>
    <x:row r="787" ht="22" customHeight="1">
      <x:c r="A787" s="11"/>
      <x:c r="B787" s="9"/>
      <x:c r="C787" s="9"/>
      <x:c r="D787" s="9"/>
      <x:c r="E787" s="9"/>
      <x:c r="F787" s="15"/>
      <x:c r="G787" s="15"/>
      <x:c r="H787" s="17" t="str">
        <x:f>IF(B787="","",IF(NOT(AND(ISNUMBER(F787),ISNUMBER(G787))),"",SUM(F787:G787)))</x:f>
      </x:c>
      <x:c r="I787" s="9"/>
      <x:c r="J787" s="9"/>
      <x:c r="K787" s="9"/>
    </x:row>
    <x:row r="788" ht="22" customHeight="1">
      <x:c r="A788" s="11"/>
      <x:c r="B788" s="9"/>
      <x:c r="C788" s="9"/>
      <x:c r="D788" s="9"/>
      <x:c r="E788" s="9"/>
      <x:c r="F788" s="15"/>
      <x:c r="G788" s="15"/>
      <x:c r="H788" s="17" t="str">
        <x:f>IF(B788="","",IF(NOT(AND(ISNUMBER(F788),ISNUMBER(G788))),"",SUM(F788:G788)))</x:f>
      </x:c>
      <x:c r="I788" s="9"/>
      <x:c r="J788" s="9"/>
      <x:c r="K788" s="9"/>
    </x:row>
    <x:row r="789" ht="22" customHeight="1">
      <x:c r="A789" s="11"/>
      <x:c r="B789" s="9"/>
      <x:c r="C789" s="9"/>
      <x:c r="D789" s="9"/>
      <x:c r="E789" s="9"/>
      <x:c r="F789" s="15"/>
      <x:c r="G789" s="15"/>
      <x:c r="H789" s="17" t="str">
        <x:f>IF(B789="","",IF(NOT(AND(ISNUMBER(F789),ISNUMBER(G789))),"",SUM(F789:G789)))</x:f>
      </x:c>
      <x:c r="I789" s="9"/>
      <x:c r="J789" s="9"/>
      <x:c r="K789" s="9"/>
    </x:row>
    <x:row r="790" ht="22" customHeight="1">
      <x:c r="A790" s="11"/>
      <x:c r="B790" s="9"/>
      <x:c r="C790" s="9"/>
      <x:c r="D790" s="9"/>
      <x:c r="E790" s="9"/>
      <x:c r="F790" s="15"/>
      <x:c r="G790" s="15"/>
      <x:c r="H790" s="17" t="str">
        <x:f>IF(B790="","",IF(NOT(AND(ISNUMBER(F790),ISNUMBER(G790))),"",SUM(F790:G790)))</x:f>
      </x:c>
      <x:c r="I790" s="9"/>
      <x:c r="J790" s="9"/>
      <x:c r="K790" s="9"/>
    </x:row>
    <x:row r="791" ht="22" customHeight="1">
      <x:c r="A791" s="11"/>
      <x:c r="B791" s="9"/>
      <x:c r="C791" s="9"/>
      <x:c r="D791" s="9"/>
      <x:c r="E791" s="9"/>
      <x:c r="F791" s="15"/>
      <x:c r="G791" s="15"/>
      <x:c r="H791" s="17" t="str">
        <x:f>IF(B791="","",IF(NOT(AND(ISNUMBER(F791),ISNUMBER(G791))),"",SUM(F791:G791)))</x:f>
      </x:c>
      <x:c r="I791" s="9"/>
      <x:c r="J791" s="9"/>
      <x:c r="K791" s="9"/>
    </x:row>
    <x:row r="792" ht="22" customHeight="1">
      <x:c r="A792" s="11"/>
      <x:c r="B792" s="9"/>
      <x:c r="C792" s="9"/>
      <x:c r="D792" s="9"/>
      <x:c r="E792" s="9"/>
      <x:c r="F792" s="15"/>
      <x:c r="G792" s="15"/>
      <x:c r="H792" s="17" t="str">
        <x:f>IF(B792="","",IF(NOT(AND(ISNUMBER(F792),ISNUMBER(G792))),"",SUM(F792:G792)))</x:f>
      </x:c>
      <x:c r="I792" s="9"/>
      <x:c r="J792" s="9"/>
      <x:c r="K792" s="9"/>
    </x:row>
    <x:row r="793" ht="22" customHeight="1">
      <x:c r="A793" s="11"/>
      <x:c r="B793" s="9"/>
      <x:c r="C793" s="9"/>
      <x:c r="D793" s="9"/>
      <x:c r="E793" s="9"/>
      <x:c r="F793" s="15"/>
      <x:c r="G793" s="15"/>
      <x:c r="H793" s="17" t="str">
        <x:f>IF(B793="","",IF(NOT(AND(ISNUMBER(F793),ISNUMBER(G793))),"",SUM(F793:G793)))</x:f>
      </x:c>
      <x:c r="I793" s="9"/>
      <x:c r="J793" s="9"/>
      <x:c r="K793" s="9"/>
    </x:row>
    <x:row r="794" ht="22" customHeight="1">
      <x:c r="A794" s="11"/>
      <x:c r="B794" s="9"/>
      <x:c r="C794" s="9"/>
      <x:c r="D794" s="9"/>
      <x:c r="E794" s="9"/>
      <x:c r="F794" s="15"/>
      <x:c r="G794" s="15"/>
      <x:c r="H794" s="17" t="str">
        <x:f>IF(B794="","",IF(NOT(AND(ISNUMBER(F794),ISNUMBER(G794))),"",SUM(F794:G794)))</x:f>
      </x:c>
      <x:c r="I794" s="9"/>
      <x:c r="J794" s="9"/>
      <x:c r="K794" s="9"/>
    </x:row>
    <x:row r="795" ht="22" customHeight="1">
      <x:c r="A795" s="11"/>
      <x:c r="B795" s="9"/>
      <x:c r="C795" s="9"/>
      <x:c r="D795" s="9"/>
      <x:c r="E795" s="9"/>
      <x:c r="F795" s="15"/>
      <x:c r="G795" s="15"/>
      <x:c r="H795" s="17" t="str">
        <x:f>IF(B795="","",IF(NOT(AND(ISNUMBER(F795),ISNUMBER(G795))),"",SUM(F795:G795)))</x:f>
      </x:c>
      <x:c r="I795" s="9"/>
      <x:c r="J795" s="9"/>
      <x:c r="K795" s="9"/>
    </x:row>
    <x:row r="796" ht="22" customHeight="1">
      <x:c r="A796" s="11"/>
      <x:c r="B796" s="9"/>
      <x:c r="C796" s="9"/>
      <x:c r="D796" s="9"/>
      <x:c r="E796" s="9"/>
      <x:c r="F796" s="15"/>
      <x:c r="G796" s="15"/>
      <x:c r="H796" s="17" t="str">
        <x:f>IF(B796="","",IF(NOT(AND(ISNUMBER(F796),ISNUMBER(G796))),"",SUM(F796:G796)))</x:f>
      </x:c>
      <x:c r="I796" s="9"/>
      <x:c r="J796" s="9"/>
      <x:c r="K796" s="9"/>
    </x:row>
    <x:row r="797" ht="22" customHeight="1">
      <x:c r="A797" s="11"/>
      <x:c r="B797" s="9"/>
      <x:c r="C797" s="9"/>
      <x:c r="D797" s="9"/>
      <x:c r="E797" s="9"/>
      <x:c r="F797" s="15"/>
      <x:c r="G797" s="15"/>
      <x:c r="H797" s="17" t="str">
        <x:f>IF(B797="","",IF(NOT(AND(ISNUMBER(F797),ISNUMBER(G797))),"",SUM(F797:G797)))</x:f>
      </x:c>
      <x:c r="I797" s="9"/>
      <x:c r="J797" s="9"/>
      <x:c r="K797" s="9"/>
    </x:row>
    <x:row r="798" ht="22" customHeight="1">
      <x:c r="A798" s="11"/>
      <x:c r="B798" s="9"/>
      <x:c r="C798" s="9"/>
      <x:c r="D798" s="9"/>
      <x:c r="E798" s="9"/>
      <x:c r="F798" s="15"/>
      <x:c r="G798" s="15"/>
      <x:c r="H798" s="17" t="str">
        <x:f>IF(B798="","",IF(NOT(AND(ISNUMBER(F798),ISNUMBER(G798))),"",SUM(F798:G798)))</x:f>
      </x:c>
      <x:c r="I798" s="9"/>
      <x:c r="J798" s="9"/>
      <x:c r="K798" s="9"/>
    </x:row>
    <x:row r="799" ht="22" customHeight="1">
      <x:c r="A799" s="11"/>
      <x:c r="B799" s="9"/>
      <x:c r="C799" s="9"/>
      <x:c r="D799" s="9"/>
      <x:c r="E799" s="9"/>
      <x:c r="F799" s="15"/>
      <x:c r="G799" s="15"/>
      <x:c r="H799" s="17" t="str">
        <x:f>IF(B799="","",IF(NOT(AND(ISNUMBER(F799),ISNUMBER(G799))),"",SUM(F799:G799)))</x:f>
      </x:c>
      <x:c r="I799" s="9"/>
      <x:c r="J799" s="9"/>
      <x:c r="K799" s="9"/>
    </x:row>
    <x:row r="800" ht="22" customHeight="1">
      <x:c r="A800" s="11"/>
      <x:c r="B800" s="9"/>
      <x:c r="C800" s="9"/>
      <x:c r="D800" s="9"/>
      <x:c r="E800" s="9"/>
      <x:c r="F800" s="15"/>
      <x:c r="G800" s="15"/>
      <x:c r="H800" s="17" t="str">
        <x:f>IF(B800="","",IF(NOT(AND(ISNUMBER(F800),ISNUMBER(G800))),"",SUM(F800:G800)))</x:f>
      </x:c>
      <x:c r="I800" s="9"/>
      <x:c r="J800" s="9"/>
      <x:c r="K800" s="9"/>
    </x:row>
    <x:row r="801" ht="22" customHeight="1">
      <x:c r="A801" s="11"/>
      <x:c r="B801" s="9"/>
      <x:c r="C801" s="9"/>
      <x:c r="D801" s="9"/>
      <x:c r="E801" s="9"/>
      <x:c r="F801" s="15"/>
      <x:c r="G801" s="15"/>
      <x:c r="H801" s="17" t="str">
        <x:f>IF(B801="","",IF(NOT(AND(ISNUMBER(F801),ISNUMBER(G801))),"",SUM(F801:G801)))</x:f>
      </x:c>
      <x:c r="I801" s="9"/>
      <x:c r="J801" s="9"/>
      <x:c r="K801" s="9"/>
    </x:row>
    <x:row r="802" ht="22" customHeight="1">
      <x:c r="A802" s="11"/>
      <x:c r="B802" s="9"/>
      <x:c r="C802" s="9"/>
      <x:c r="D802" s="9"/>
      <x:c r="E802" s="9"/>
      <x:c r="F802" s="15"/>
      <x:c r="G802" s="15"/>
      <x:c r="H802" s="17" t="str">
        <x:f>IF(B802="","",IF(NOT(AND(ISNUMBER(F802),ISNUMBER(G802))),"",SUM(F802:G802)))</x:f>
      </x:c>
      <x:c r="I802" s="9"/>
      <x:c r="J802" s="9"/>
      <x:c r="K802" s="9"/>
    </x:row>
    <x:row r="803" ht="22" customHeight="1">
      <x:c r="A803" s="11"/>
      <x:c r="B803" s="9"/>
      <x:c r="C803" s="9"/>
      <x:c r="D803" s="9"/>
      <x:c r="E803" s="9"/>
      <x:c r="F803" s="15"/>
      <x:c r="G803" s="15"/>
      <x:c r="H803" s="17" t="str">
        <x:f>IF(B803="","",IF(NOT(AND(ISNUMBER(F803),ISNUMBER(G803))),"",SUM(F803:G803)))</x:f>
      </x:c>
      <x:c r="I803" s="9"/>
      <x:c r="J803" s="9"/>
      <x:c r="K803" s="9"/>
    </x:row>
    <x:row r="804" ht="22" customHeight="1">
      <x:c r="A804" s="11"/>
      <x:c r="B804" s="9"/>
      <x:c r="C804" s="9"/>
      <x:c r="D804" s="9"/>
      <x:c r="E804" s="9"/>
      <x:c r="F804" s="15"/>
      <x:c r="G804" s="15"/>
      <x:c r="H804" s="17" t="str">
        <x:f>IF(B804="","",IF(NOT(AND(ISNUMBER(F804),ISNUMBER(G804))),"",SUM(F804:G804)))</x:f>
      </x:c>
      <x:c r="I804" s="9"/>
      <x:c r="J804" s="9"/>
      <x:c r="K804" s="9"/>
    </x:row>
    <x:row r="805" ht="22" customHeight="1">
      <x:c r="A805" s="11"/>
      <x:c r="B805" s="9"/>
      <x:c r="C805" s="9"/>
      <x:c r="D805" s="9"/>
      <x:c r="E805" s="9"/>
      <x:c r="F805" s="15"/>
      <x:c r="G805" s="15"/>
      <x:c r="H805" s="17" t="str">
        <x:f>IF(B805="","",IF(NOT(AND(ISNUMBER(F805),ISNUMBER(G805))),"",SUM(F805:G805)))</x:f>
      </x:c>
      <x:c r="I805" s="9"/>
      <x:c r="J805" s="9"/>
      <x:c r="K805" s="9"/>
    </x:row>
    <x:row r="806" ht="22" customHeight="1">
      <x:c r="A806" s="11"/>
      <x:c r="B806" s="9"/>
      <x:c r="C806" s="9"/>
      <x:c r="D806" s="9"/>
      <x:c r="E806" s="9"/>
      <x:c r="F806" s="15"/>
      <x:c r="G806" s="15"/>
      <x:c r="H806" s="17" t="str">
        <x:f>IF(B806="","",IF(NOT(AND(ISNUMBER(F806),ISNUMBER(G806))),"",SUM(F806:G806)))</x:f>
      </x:c>
      <x:c r="I806" s="9"/>
      <x:c r="J806" s="9"/>
      <x:c r="K806" s="9"/>
    </x:row>
    <x:row r="807" ht="22" customHeight="1">
      <x:c r="A807" s="11"/>
      <x:c r="B807" s="9"/>
      <x:c r="C807" s="9"/>
      <x:c r="D807" s="9"/>
      <x:c r="E807" s="9"/>
      <x:c r="F807" s="15"/>
      <x:c r="G807" s="15"/>
      <x:c r="H807" s="17" t="str">
        <x:f>IF(B807="","",IF(NOT(AND(ISNUMBER(F807),ISNUMBER(G807))),"",SUM(F807:G807)))</x:f>
      </x:c>
      <x:c r="I807" s="9"/>
      <x:c r="J807" s="9"/>
      <x:c r="K807" s="9"/>
    </x:row>
    <x:row r="808" ht="22" customHeight="1">
      <x:c r="A808" s="11"/>
      <x:c r="B808" s="9"/>
      <x:c r="C808" s="9"/>
      <x:c r="D808" s="9"/>
      <x:c r="E808" s="9"/>
      <x:c r="F808" s="15"/>
      <x:c r="G808" s="15"/>
      <x:c r="H808" s="17" t="str">
        <x:f>IF(B808="","",IF(NOT(AND(ISNUMBER(F808),ISNUMBER(G808))),"",SUM(F808:G808)))</x:f>
      </x:c>
      <x:c r="I808" s="9"/>
      <x:c r="J808" s="9"/>
      <x:c r="K808" s="9"/>
    </x:row>
    <x:row r="809" ht="22" customHeight="1">
      <x:c r="A809" s="11"/>
      <x:c r="B809" s="9"/>
      <x:c r="C809" s="9"/>
      <x:c r="D809" s="9"/>
      <x:c r="E809" s="9"/>
      <x:c r="F809" s="15"/>
      <x:c r="G809" s="15"/>
      <x:c r="H809" s="17" t="str">
        <x:f>IF(B809="","",IF(NOT(AND(ISNUMBER(F809),ISNUMBER(G809))),"",SUM(F809:G809)))</x:f>
      </x:c>
      <x:c r="I809" s="9"/>
      <x:c r="J809" s="9"/>
      <x:c r="K809" s="9"/>
    </x:row>
    <x:row r="810" ht="22" customHeight="1">
      <x:c r="A810" s="11"/>
      <x:c r="B810" s="9"/>
      <x:c r="C810" s="9"/>
      <x:c r="D810" s="9"/>
      <x:c r="E810" s="9"/>
      <x:c r="F810" s="15"/>
      <x:c r="G810" s="15"/>
      <x:c r="H810" s="17" t="str">
        <x:f>IF(B810="","",IF(NOT(AND(ISNUMBER(F810),ISNUMBER(G810))),"",SUM(F810:G810)))</x:f>
      </x:c>
      <x:c r="I810" s="9"/>
      <x:c r="J810" s="9"/>
      <x:c r="K810" s="9"/>
    </x:row>
    <x:row r="811" ht="22" customHeight="1">
      <x:c r="A811" s="11"/>
      <x:c r="B811" s="9"/>
      <x:c r="C811" s="9"/>
      <x:c r="D811" s="9"/>
      <x:c r="E811" s="9"/>
      <x:c r="F811" s="15"/>
      <x:c r="G811" s="15"/>
      <x:c r="H811" s="17" t="str">
        <x:f>IF(B811="","",IF(NOT(AND(ISNUMBER(F811),ISNUMBER(G811))),"",SUM(F811:G811)))</x:f>
      </x:c>
      <x:c r="I811" s="9"/>
      <x:c r="J811" s="9"/>
      <x:c r="K811" s="9"/>
    </x:row>
    <x:row r="812" ht="22" customHeight="1">
      <x:c r="A812" s="11"/>
      <x:c r="B812" s="9"/>
      <x:c r="C812" s="9"/>
      <x:c r="D812" s="9"/>
      <x:c r="E812" s="9"/>
      <x:c r="F812" s="15"/>
      <x:c r="G812" s="15"/>
      <x:c r="H812" s="17" t="str">
        <x:f>IF(B812="","",IF(NOT(AND(ISNUMBER(F812),ISNUMBER(G812))),"",SUM(F812:G812)))</x:f>
      </x:c>
      <x:c r="I812" s="9"/>
      <x:c r="J812" s="9"/>
      <x:c r="K812" s="9"/>
    </x:row>
    <x:row r="813" ht="22" customHeight="1">
      <x:c r="A813" s="11"/>
      <x:c r="B813" s="9"/>
      <x:c r="C813" s="9"/>
      <x:c r="D813" s="9"/>
      <x:c r="E813" s="9"/>
      <x:c r="F813" s="15"/>
      <x:c r="G813" s="15"/>
      <x:c r="H813" s="17" t="str">
        <x:f>IF(B813="","",IF(NOT(AND(ISNUMBER(F813),ISNUMBER(G813))),"",SUM(F813:G813)))</x:f>
      </x:c>
      <x:c r="I813" s="9"/>
      <x:c r="J813" s="9"/>
      <x:c r="K813" s="9"/>
    </x:row>
    <x:row r="814" ht="22" customHeight="1">
      <x:c r="A814" s="11"/>
      <x:c r="B814" s="9"/>
      <x:c r="C814" s="9"/>
      <x:c r="D814" s="9"/>
      <x:c r="E814" s="9"/>
      <x:c r="F814" s="15"/>
      <x:c r="G814" s="15"/>
      <x:c r="H814" s="17" t="str">
        <x:f>IF(B814="","",IF(NOT(AND(ISNUMBER(F814),ISNUMBER(G814))),"",SUM(F814:G814)))</x:f>
      </x:c>
      <x:c r="I814" s="9"/>
      <x:c r="J814" s="9"/>
      <x:c r="K814" s="9"/>
    </x:row>
    <x:row r="815" ht="22" customHeight="1">
      <x:c r="A815" s="11"/>
      <x:c r="B815" s="9"/>
      <x:c r="C815" s="9"/>
      <x:c r="D815" s="9"/>
      <x:c r="E815" s="9"/>
      <x:c r="F815" s="15"/>
      <x:c r="G815" s="15"/>
      <x:c r="H815" s="17" t="str">
        <x:f>IF(B815="","",IF(NOT(AND(ISNUMBER(F815),ISNUMBER(G815))),"",SUM(F815:G815)))</x:f>
      </x:c>
      <x:c r="I815" s="9"/>
      <x:c r="J815" s="9"/>
      <x:c r="K815" s="9"/>
    </x:row>
    <x:row r="816" ht="22" customHeight="1">
      <x:c r="A816" s="11"/>
      <x:c r="B816" s="9"/>
      <x:c r="C816" s="9"/>
      <x:c r="D816" s="9"/>
      <x:c r="E816" s="9"/>
      <x:c r="F816" s="15"/>
      <x:c r="G816" s="15"/>
      <x:c r="H816" s="17" t="str">
        <x:f>IF(B816="","",IF(NOT(AND(ISNUMBER(F816),ISNUMBER(G816))),"",SUM(F816:G816)))</x:f>
      </x:c>
      <x:c r="I816" s="9"/>
      <x:c r="J816" s="9"/>
      <x:c r="K816" s="9"/>
    </x:row>
    <x:row r="817" ht="22" customHeight="1">
      <x:c r="A817" s="11"/>
      <x:c r="B817" s="9"/>
      <x:c r="C817" s="9"/>
      <x:c r="D817" s="9"/>
      <x:c r="E817" s="9"/>
      <x:c r="F817" s="15"/>
      <x:c r="G817" s="15"/>
      <x:c r="H817" s="17" t="str">
        <x:f>IF(B817="","",IF(NOT(AND(ISNUMBER(F817),ISNUMBER(G817))),"",SUM(F817:G817)))</x:f>
      </x:c>
      <x:c r="I817" s="9"/>
      <x:c r="J817" s="9"/>
      <x:c r="K817" s="9"/>
    </x:row>
    <x:row r="818" ht="22" customHeight="1">
      <x:c r="A818" s="11"/>
      <x:c r="B818" s="9"/>
      <x:c r="C818" s="9"/>
      <x:c r="D818" s="9"/>
      <x:c r="E818" s="9"/>
      <x:c r="F818" s="15"/>
      <x:c r="G818" s="15"/>
      <x:c r="H818" s="17" t="str">
        <x:f>IF(B818="","",IF(NOT(AND(ISNUMBER(F818),ISNUMBER(G818))),"",SUM(F818:G818)))</x:f>
      </x:c>
      <x:c r="I818" s="9"/>
      <x:c r="J818" s="9"/>
      <x:c r="K818" s="9"/>
    </x:row>
    <x:row r="819" ht="22" customHeight="1">
      <x:c r="A819" s="11"/>
      <x:c r="B819" s="9"/>
      <x:c r="C819" s="9"/>
      <x:c r="D819" s="9"/>
      <x:c r="E819" s="9"/>
      <x:c r="F819" s="15"/>
      <x:c r="G819" s="15"/>
      <x:c r="H819" s="17" t="str">
        <x:f>IF(B819="","",IF(NOT(AND(ISNUMBER(F819),ISNUMBER(G819))),"",SUM(F819:G819)))</x:f>
      </x:c>
      <x:c r="I819" s="9"/>
      <x:c r="J819" s="9"/>
      <x:c r="K819" s="9"/>
    </x:row>
    <x:row r="820" ht="22" customHeight="1">
      <x:c r="A820" s="11"/>
      <x:c r="B820" s="9"/>
      <x:c r="C820" s="9"/>
      <x:c r="D820" s="9"/>
      <x:c r="E820" s="9"/>
      <x:c r="F820" s="15"/>
      <x:c r="G820" s="15"/>
      <x:c r="H820" s="17" t="str">
        <x:f>IF(B820="","",IF(NOT(AND(ISNUMBER(F820),ISNUMBER(G820))),"",SUM(F820:G820)))</x:f>
      </x:c>
      <x:c r="I820" s="9"/>
      <x:c r="J820" s="9"/>
      <x:c r="K820" s="9"/>
    </x:row>
    <x:row r="821" ht="22" customHeight="1">
      <x:c r="A821" s="11"/>
      <x:c r="B821" s="9"/>
      <x:c r="C821" s="9"/>
      <x:c r="D821" s="9"/>
      <x:c r="E821" s="9"/>
      <x:c r="F821" s="15"/>
      <x:c r="G821" s="15"/>
      <x:c r="H821" s="17" t="str">
        <x:f>IF(B821="","",IF(NOT(AND(ISNUMBER(F821),ISNUMBER(G821))),"",SUM(F821:G821)))</x:f>
      </x:c>
      <x:c r="I821" s="9"/>
      <x:c r="J821" s="9"/>
      <x:c r="K821" s="9"/>
    </x:row>
    <x:row r="822" ht="22" customHeight="1">
      <x:c r="A822" s="11"/>
      <x:c r="B822" s="9"/>
      <x:c r="C822" s="9"/>
      <x:c r="D822" s="9"/>
      <x:c r="E822" s="9"/>
      <x:c r="F822" s="15"/>
      <x:c r="G822" s="15"/>
      <x:c r="H822" s="17" t="str">
        <x:f>IF(B822="","",IF(NOT(AND(ISNUMBER(F822),ISNUMBER(G822))),"",SUM(F822:G822)))</x:f>
      </x:c>
      <x:c r="I822" s="9"/>
      <x:c r="J822" s="9"/>
      <x:c r="K822" s="9"/>
    </x:row>
    <x:row r="823" ht="22" customHeight="1">
      <x:c r="A823" s="11"/>
      <x:c r="B823" s="9"/>
      <x:c r="C823" s="9"/>
      <x:c r="D823" s="9"/>
      <x:c r="E823" s="9"/>
      <x:c r="F823" s="15"/>
      <x:c r="G823" s="15"/>
      <x:c r="H823" s="17" t="str">
        <x:f>IF(B823="","",IF(NOT(AND(ISNUMBER(F823),ISNUMBER(G823))),"",SUM(F823:G823)))</x:f>
      </x:c>
      <x:c r="I823" s="9"/>
      <x:c r="J823" s="9"/>
      <x:c r="K823" s="9"/>
    </x:row>
    <x:row r="824" ht="22" customHeight="1">
      <x:c r="A824" s="11"/>
      <x:c r="B824" s="9"/>
      <x:c r="C824" s="9"/>
      <x:c r="D824" s="9"/>
      <x:c r="E824" s="9"/>
      <x:c r="F824" s="15"/>
      <x:c r="G824" s="15"/>
      <x:c r="H824" s="17" t="str">
        <x:f>IF(B824="","",IF(NOT(AND(ISNUMBER(F824),ISNUMBER(G824))),"",SUM(F824:G824)))</x:f>
      </x:c>
      <x:c r="I824" s="9"/>
      <x:c r="J824" s="9"/>
      <x:c r="K824" s="9"/>
    </x:row>
    <x:row r="825" ht="22" customHeight="1">
      <x:c r="A825" s="11"/>
      <x:c r="B825" s="9"/>
      <x:c r="C825" s="9"/>
      <x:c r="D825" s="9"/>
      <x:c r="E825" s="9"/>
      <x:c r="F825" s="15"/>
      <x:c r="G825" s="15"/>
      <x:c r="H825" s="17" t="str">
        <x:f>IF(B825="","",IF(NOT(AND(ISNUMBER(F825),ISNUMBER(G825))),"",SUM(F825:G825)))</x:f>
      </x:c>
      <x:c r="I825" s="9"/>
      <x:c r="J825" s="9"/>
      <x:c r="K825" s="9"/>
    </x:row>
    <x:row r="826" ht="22" customHeight="1">
      <x:c r="A826" s="11"/>
      <x:c r="B826" s="9"/>
      <x:c r="C826" s="9"/>
      <x:c r="D826" s="9"/>
      <x:c r="E826" s="9"/>
      <x:c r="F826" s="15"/>
      <x:c r="G826" s="15"/>
      <x:c r="H826" s="17" t="str">
        <x:f>IF(B826="","",IF(NOT(AND(ISNUMBER(F826),ISNUMBER(G826))),"",SUM(F826:G826)))</x:f>
      </x:c>
      <x:c r="I826" s="9"/>
      <x:c r="J826" s="9"/>
      <x:c r="K826" s="9"/>
    </x:row>
    <x:row r="827" ht="22" customHeight="1">
      <x:c r="A827" s="11"/>
      <x:c r="B827" s="9"/>
      <x:c r="C827" s="9"/>
      <x:c r="D827" s="9"/>
      <x:c r="E827" s="9"/>
      <x:c r="F827" s="15"/>
      <x:c r="G827" s="15"/>
      <x:c r="H827" s="17" t="str">
        <x:f>IF(B827="","",IF(NOT(AND(ISNUMBER(F827),ISNUMBER(G827))),"",SUM(F827:G827)))</x:f>
      </x:c>
      <x:c r="I827" s="9"/>
      <x:c r="J827" s="9"/>
      <x:c r="K827" s="9"/>
    </x:row>
    <x:row r="828" ht="22" customHeight="1">
      <x:c r="A828" s="11"/>
      <x:c r="B828" s="9"/>
      <x:c r="C828" s="9"/>
      <x:c r="D828" s="9"/>
      <x:c r="E828" s="9"/>
      <x:c r="F828" s="15"/>
      <x:c r="G828" s="15"/>
      <x:c r="H828" s="17" t="str">
        <x:f>IF(B828="","",IF(NOT(AND(ISNUMBER(F828),ISNUMBER(G828))),"",SUM(F828:G828)))</x:f>
      </x:c>
      <x:c r="I828" s="9"/>
      <x:c r="J828" s="9"/>
      <x:c r="K828" s="9"/>
    </x:row>
    <x:row r="829" ht="22" customHeight="1">
      <x:c r="A829" s="11"/>
      <x:c r="B829" s="9"/>
      <x:c r="C829" s="9"/>
      <x:c r="D829" s="9"/>
      <x:c r="E829" s="9"/>
      <x:c r="F829" s="15"/>
      <x:c r="G829" s="15"/>
      <x:c r="H829" s="17" t="str">
        <x:f>IF(B829="","",IF(NOT(AND(ISNUMBER(F829),ISNUMBER(G829))),"",SUM(F829:G829)))</x:f>
      </x:c>
      <x:c r="I829" s="9"/>
      <x:c r="J829" s="9"/>
      <x:c r="K829" s="9"/>
    </x:row>
    <x:row r="830" ht="22" customHeight="1">
      <x:c r="A830" s="11"/>
      <x:c r="B830" s="9"/>
      <x:c r="C830" s="9"/>
      <x:c r="D830" s="9"/>
      <x:c r="E830" s="9"/>
      <x:c r="F830" s="15"/>
      <x:c r="G830" s="15"/>
      <x:c r="H830" s="17" t="str">
        <x:f>IF(B830="","",IF(NOT(AND(ISNUMBER(F830),ISNUMBER(G830))),"",SUM(F830:G830)))</x:f>
      </x:c>
      <x:c r="I830" s="9"/>
      <x:c r="J830" s="9"/>
      <x:c r="K830" s="9"/>
    </x:row>
    <x:row r="831" ht="22" customHeight="1">
      <x:c r="A831" s="11"/>
      <x:c r="B831" s="9"/>
      <x:c r="C831" s="9"/>
      <x:c r="D831" s="9"/>
      <x:c r="E831" s="9"/>
      <x:c r="F831" s="15"/>
      <x:c r="G831" s="15"/>
      <x:c r="H831" s="17" t="str">
        <x:f>IF(B831="","",IF(NOT(AND(ISNUMBER(F831),ISNUMBER(G831))),"",SUM(F831:G831)))</x:f>
      </x:c>
      <x:c r="I831" s="9"/>
      <x:c r="J831" s="9"/>
      <x:c r="K831" s="9"/>
    </x:row>
    <x:row r="832" ht="22" customHeight="1">
      <x:c r="A832" s="11"/>
      <x:c r="B832" s="9"/>
      <x:c r="C832" s="9"/>
      <x:c r="D832" s="9"/>
      <x:c r="E832" s="9"/>
      <x:c r="F832" s="15"/>
      <x:c r="G832" s="15"/>
      <x:c r="H832" s="17" t="str">
        <x:f>IF(B832="","",IF(NOT(AND(ISNUMBER(F832),ISNUMBER(G832))),"",SUM(F832:G832)))</x:f>
      </x:c>
      <x:c r="I832" s="9"/>
      <x:c r="J832" s="9"/>
      <x:c r="K832" s="9"/>
    </x:row>
    <x:row r="833" ht="22" customHeight="1">
      <x:c r="A833" s="11"/>
      <x:c r="B833" s="9"/>
      <x:c r="C833" s="9"/>
      <x:c r="D833" s="9"/>
      <x:c r="E833" s="9"/>
      <x:c r="F833" s="15"/>
      <x:c r="G833" s="15"/>
      <x:c r="H833" s="17" t="str">
        <x:f>IF(B833="","",IF(NOT(AND(ISNUMBER(F833),ISNUMBER(G833))),"",SUM(F833:G833)))</x:f>
      </x:c>
      <x:c r="I833" s="9"/>
      <x:c r="J833" s="9"/>
      <x:c r="K833" s="9"/>
    </x:row>
    <x:row r="834" ht="22" customHeight="1">
      <x:c r="A834" s="11"/>
      <x:c r="B834" s="9"/>
      <x:c r="C834" s="9"/>
      <x:c r="D834" s="9"/>
      <x:c r="E834" s="9"/>
      <x:c r="F834" s="15"/>
      <x:c r="G834" s="15"/>
      <x:c r="H834" s="17" t="str">
        <x:f>IF(B834="","",IF(NOT(AND(ISNUMBER(F834),ISNUMBER(G834))),"",SUM(F834:G834)))</x:f>
      </x:c>
      <x:c r="I834" s="9"/>
      <x:c r="J834" s="9"/>
      <x:c r="K834" s="9"/>
    </x:row>
    <x:row r="835" ht="22" customHeight="1">
      <x:c r="A835" s="11"/>
      <x:c r="B835" s="9"/>
      <x:c r="C835" s="9"/>
      <x:c r="D835" s="9"/>
      <x:c r="E835" s="9"/>
      <x:c r="F835" s="15"/>
      <x:c r="G835" s="15"/>
      <x:c r="H835" s="17" t="str">
        <x:f>IF(B835="","",IF(NOT(AND(ISNUMBER(F835),ISNUMBER(G835))),"",SUM(F835:G835)))</x:f>
      </x:c>
      <x:c r="I835" s="9"/>
      <x:c r="J835" s="9"/>
      <x:c r="K835" s="9"/>
    </x:row>
    <x:row r="836" ht="22" customHeight="1">
      <x:c r="A836" s="11"/>
      <x:c r="B836" s="9"/>
      <x:c r="C836" s="9"/>
      <x:c r="D836" s="9"/>
      <x:c r="E836" s="9"/>
      <x:c r="F836" s="15"/>
      <x:c r="G836" s="15"/>
      <x:c r="H836" s="17" t="str">
        <x:f>IF(B836="","",IF(NOT(AND(ISNUMBER(F836),ISNUMBER(G836))),"",SUM(F836:G836)))</x:f>
      </x:c>
      <x:c r="I836" s="9"/>
      <x:c r="J836" s="9"/>
      <x:c r="K836" s="9"/>
    </x:row>
    <x:row r="837" ht="22" customHeight="1">
      <x:c r="A837" s="11"/>
      <x:c r="B837" s="9"/>
      <x:c r="C837" s="9"/>
      <x:c r="D837" s="9"/>
      <x:c r="E837" s="9"/>
      <x:c r="F837" s="15"/>
      <x:c r="G837" s="15"/>
      <x:c r="H837" s="17" t="str">
        <x:f>IF(B837="","",IF(NOT(AND(ISNUMBER(F837),ISNUMBER(G837))),"",SUM(F837:G837)))</x:f>
      </x:c>
      <x:c r="I837" s="9"/>
      <x:c r="J837" s="9"/>
      <x:c r="K837" s="9"/>
    </x:row>
    <x:row r="838" ht="22" customHeight="1">
      <x:c r="A838" s="11"/>
      <x:c r="B838" s="9"/>
      <x:c r="C838" s="9"/>
      <x:c r="D838" s="9"/>
      <x:c r="E838" s="9"/>
      <x:c r="F838" s="15"/>
      <x:c r="G838" s="15"/>
      <x:c r="H838" s="17" t="str">
        <x:f>IF(B838="","",IF(NOT(AND(ISNUMBER(F838),ISNUMBER(G838))),"",SUM(F838:G838)))</x:f>
      </x:c>
      <x:c r="I838" s="9"/>
      <x:c r="J838" s="9"/>
      <x:c r="K838" s="9"/>
    </x:row>
    <x:row r="839" ht="22" customHeight="1">
      <x:c r="A839" s="11"/>
      <x:c r="B839" s="9"/>
      <x:c r="C839" s="9"/>
      <x:c r="D839" s="9"/>
      <x:c r="E839" s="9"/>
      <x:c r="F839" s="15"/>
      <x:c r="G839" s="15"/>
      <x:c r="H839" s="17" t="str">
        <x:f>IF(B839="","",IF(NOT(AND(ISNUMBER(F839),ISNUMBER(G839))),"",SUM(F839:G839)))</x:f>
      </x:c>
      <x:c r="I839" s="9"/>
      <x:c r="J839" s="9"/>
      <x:c r="K839" s="9"/>
    </x:row>
    <x:row r="840" ht="22" customHeight="1">
      <x:c r="A840" s="11"/>
      <x:c r="B840" s="9"/>
      <x:c r="C840" s="9"/>
      <x:c r="D840" s="9"/>
      <x:c r="E840" s="9"/>
      <x:c r="F840" s="15"/>
      <x:c r="G840" s="15"/>
      <x:c r="H840" s="17" t="str">
        <x:f>IF(B840="","",IF(NOT(AND(ISNUMBER(F840),ISNUMBER(G840))),"",SUM(F840:G840)))</x:f>
      </x:c>
      <x:c r="I840" s="9"/>
      <x:c r="J840" s="9"/>
      <x:c r="K840" s="9"/>
    </x:row>
    <x:row r="841" ht="22" customHeight="1">
      <x:c r="A841" s="11"/>
      <x:c r="B841" s="9"/>
      <x:c r="C841" s="9"/>
      <x:c r="D841" s="9"/>
      <x:c r="E841" s="9"/>
      <x:c r="F841" s="15"/>
      <x:c r="G841" s="15"/>
      <x:c r="H841" s="17" t="str">
        <x:f>IF(B841="","",IF(NOT(AND(ISNUMBER(F841),ISNUMBER(G841))),"",SUM(F841:G841)))</x:f>
      </x:c>
      <x:c r="I841" s="9"/>
      <x:c r="J841" s="9"/>
      <x:c r="K841" s="9"/>
    </x:row>
    <x:row r="842" ht="22" customHeight="1">
      <x:c r="A842" s="11"/>
      <x:c r="B842" s="9"/>
      <x:c r="C842" s="9"/>
      <x:c r="D842" s="9"/>
      <x:c r="E842" s="9"/>
      <x:c r="F842" s="15"/>
      <x:c r="G842" s="15"/>
      <x:c r="H842" s="17" t="str">
        <x:f>IF(B842="","",IF(NOT(AND(ISNUMBER(F842),ISNUMBER(G842))),"",SUM(F842:G842)))</x:f>
      </x:c>
      <x:c r="I842" s="9"/>
      <x:c r="J842" s="9"/>
      <x:c r="K842" s="9"/>
    </x:row>
    <x:row r="843" ht="22" customHeight="1">
      <x:c r="A843" s="11"/>
      <x:c r="B843" s="9"/>
      <x:c r="C843" s="9"/>
      <x:c r="D843" s="9"/>
      <x:c r="E843" s="9"/>
      <x:c r="F843" s="15"/>
      <x:c r="G843" s="15"/>
      <x:c r="H843" s="17" t="str">
        <x:f>IF(B843="","",IF(NOT(AND(ISNUMBER(F843),ISNUMBER(G843))),"",SUM(F843:G843)))</x:f>
      </x:c>
      <x:c r="I843" s="9"/>
      <x:c r="J843" s="9"/>
      <x:c r="K843" s="9"/>
    </x:row>
    <x:row r="844" ht="22" customHeight="1">
      <x:c r="A844" s="11"/>
      <x:c r="B844" s="9"/>
      <x:c r="C844" s="9"/>
      <x:c r="D844" s="9"/>
      <x:c r="E844" s="9"/>
      <x:c r="F844" s="15"/>
      <x:c r="G844" s="15"/>
      <x:c r="H844" s="17" t="str">
        <x:f>IF(B844="","",IF(NOT(AND(ISNUMBER(F844),ISNUMBER(G844))),"",SUM(F844:G844)))</x:f>
      </x:c>
      <x:c r="I844" s="9"/>
      <x:c r="J844" s="9"/>
      <x:c r="K844" s="9"/>
    </x:row>
    <x:row r="845" ht="22" customHeight="1">
      <x:c r="A845" s="11"/>
      <x:c r="B845" s="9"/>
      <x:c r="C845" s="9"/>
      <x:c r="D845" s="9"/>
      <x:c r="E845" s="9"/>
      <x:c r="F845" s="15"/>
      <x:c r="G845" s="15"/>
      <x:c r="H845" s="17" t="str">
        <x:f>IF(B845="","",IF(NOT(AND(ISNUMBER(F845),ISNUMBER(G845))),"",SUM(F845:G845)))</x:f>
      </x:c>
      <x:c r="I845" s="9"/>
      <x:c r="J845" s="9"/>
      <x:c r="K845" s="9"/>
    </x:row>
    <x:row r="846" ht="22" customHeight="1">
      <x:c r="A846" s="11"/>
      <x:c r="B846" s="9"/>
      <x:c r="C846" s="9"/>
      <x:c r="D846" s="9"/>
      <x:c r="E846" s="9"/>
      <x:c r="F846" s="15"/>
      <x:c r="G846" s="15"/>
      <x:c r="H846" s="17" t="str">
        <x:f>IF(B846="","",IF(NOT(AND(ISNUMBER(F846),ISNUMBER(G846))),"",SUM(F846:G846)))</x:f>
      </x:c>
      <x:c r="I846" s="9"/>
      <x:c r="J846" s="9"/>
      <x:c r="K846" s="9"/>
    </x:row>
    <x:row r="847" ht="22" customHeight="1">
      <x:c r="A847" s="11"/>
      <x:c r="B847" s="9"/>
      <x:c r="C847" s="9"/>
      <x:c r="D847" s="9"/>
      <x:c r="E847" s="9"/>
      <x:c r="F847" s="15"/>
      <x:c r="G847" s="15"/>
      <x:c r="H847" s="17" t="str">
        <x:f>IF(B847="","",IF(NOT(AND(ISNUMBER(F847),ISNUMBER(G847))),"",SUM(F847:G847)))</x:f>
      </x:c>
      <x:c r="I847" s="9"/>
      <x:c r="J847" s="9"/>
      <x:c r="K847" s="9"/>
    </x:row>
    <x:row r="848" ht="22" customHeight="1">
      <x:c r="A848" s="11"/>
      <x:c r="B848" s="9"/>
      <x:c r="C848" s="9"/>
      <x:c r="D848" s="9"/>
      <x:c r="E848" s="9"/>
      <x:c r="F848" s="15"/>
      <x:c r="G848" s="15"/>
      <x:c r="H848" s="17" t="str">
        <x:f>IF(B848="","",IF(NOT(AND(ISNUMBER(F848),ISNUMBER(G848))),"",SUM(F848:G848)))</x:f>
      </x:c>
      <x:c r="I848" s="9"/>
      <x:c r="J848" s="9"/>
      <x:c r="K848" s="9"/>
    </x:row>
    <x:row r="849" ht="22" customHeight="1">
      <x:c r="A849" s="11"/>
      <x:c r="B849" s="9"/>
      <x:c r="C849" s="9"/>
      <x:c r="D849" s="9"/>
      <x:c r="E849" s="9"/>
      <x:c r="F849" s="15"/>
      <x:c r="G849" s="15"/>
      <x:c r="H849" s="17" t="str">
        <x:f>IF(B849="","",IF(NOT(AND(ISNUMBER(F849),ISNUMBER(G849))),"",SUM(F849:G849)))</x:f>
      </x:c>
      <x:c r="I849" s="9"/>
      <x:c r="J849" s="9"/>
      <x:c r="K849" s="9"/>
    </x:row>
    <x:row r="850" ht="22" customHeight="1">
      <x:c r="A850" s="11"/>
      <x:c r="B850" s="9"/>
      <x:c r="C850" s="9"/>
      <x:c r="D850" s="9"/>
      <x:c r="E850" s="9"/>
      <x:c r="F850" s="15"/>
      <x:c r="G850" s="15"/>
      <x:c r="H850" s="17" t="str">
        <x:f>IF(B850="","",IF(NOT(AND(ISNUMBER(F850),ISNUMBER(G850))),"",SUM(F850:G850)))</x:f>
      </x:c>
      <x:c r="I850" s="9"/>
      <x:c r="J850" s="9"/>
      <x:c r="K850" s="9"/>
    </x:row>
    <x:row r="851" ht="22" customHeight="1">
      <x:c r="A851" s="11"/>
      <x:c r="B851" s="9"/>
      <x:c r="C851" s="9"/>
      <x:c r="D851" s="9"/>
      <x:c r="E851" s="9"/>
      <x:c r="F851" s="15"/>
      <x:c r="G851" s="15"/>
      <x:c r="H851" s="17" t="str">
        <x:f>IF(B851="","",IF(NOT(AND(ISNUMBER(F851),ISNUMBER(G851))),"",SUM(F851:G851)))</x:f>
      </x:c>
      <x:c r="I851" s="9"/>
      <x:c r="J851" s="9"/>
      <x:c r="K851" s="9"/>
    </x:row>
    <x:row r="852" ht="22" customHeight="1">
      <x:c r="A852" s="11"/>
      <x:c r="B852" s="9"/>
      <x:c r="C852" s="9"/>
      <x:c r="D852" s="9"/>
      <x:c r="E852" s="9"/>
      <x:c r="F852" s="15"/>
      <x:c r="G852" s="15"/>
      <x:c r="H852" s="17" t="str">
        <x:f>IF(B852="","",IF(NOT(AND(ISNUMBER(F852),ISNUMBER(G852))),"",SUM(F852:G852)))</x:f>
      </x:c>
      <x:c r="I852" s="9"/>
      <x:c r="J852" s="9"/>
      <x:c r="K852" s="9"/>
    </x:row>
    <x:row r="853" ht="22" customHeight="1">
      <x:c r="A853" s="11"/>
      <x:c r="B853" s="9"/>
      <x:c r="C853" s="9"/>
      <x:c r="D853" s="9"/>
      <x:c r="E853" s="9"/>
      <x:c r="F853" s="15"/>
      <x:c r="G853" s="15"/>
      <x:c r="H853" s="17" t="str">
        <x:f>IF(B853="","",IF(NOT(AND(ISNUMBER(F853),ISNUMBER(G853))),"",SUM(F853:G853)))</x:f>
      </x:c>
      <x:c r="I853" s="9"/>
      <x:c r="J853" s="9"/>
      <x:c r="K853" s="9"/>
    </x:row>
    <x:row r="854" ht="22" customHeight="1">
      <x:c r="A854" s="11"/>
      <x:c r="B854" s="9"/>
      <x:c r="C854" s="9"/>
      <x:c r="D854" s="9"/>
      <x:c r="E854" s="9"/>
      <x:c r="F854" s="15"/>
      <x:c r="G854" s="15"/>
      <x:c r="H854" s="17" t="str">
        <x:f>IF(B854="","",IF(NOT(AND(ISNUMBER(F854),ISNUMBER(G854))),"",SUM(F854:G854)))</x:f>
      </x:c>
      <x:c r="I854" s="9"/>
      <x:c r="J854" s="9"/>
      <x:c r="K854" s="9"/>
    </x:row>
    <x:row r="855" ht="22" customHeight="1">
      <x:c r="A855" s="11"/>
      <x:c r="B855" s="9"/>
      <x:c r="C855" s="9"/>
      <x:c r="D855" s="9"/>
      <x:c r="E855" s="9"/>
      <x:c r="F855" s="15"/>
      <x:c r="G855" s="15"/>
      <x:c r="H855" s="17" t="str">
        <x:f>IF(B855="","",IF(NOT(AND(ISNUMBER(F855),ISNUMBER(G855))),"",SUM(F855:G855)))</x:f>
      </x:c>
      <x:c r="I855" s="9"/>
      <x:c r="J855" s="9"/>
      <x:c r="K855" s="9"/>
    </x:row>
    <x:row r="856" ht="22" customHeight="1">
      <x:c r="A856" s="11"/>
      <x:c r="B856" s="9"/>
      <x:c r="C856" s="9"/>
      <x:c r="D856" s="9"/>
      <x:c r="E856" s="9"/>
      <x:c r="F856" s="15"/>
      <x:c r="G856" s="15"/>
      <x:c r="H856" s="17" t="str">
        <x:f>IF(B856="","",IF(NOT(AND(ISNUMBER(F856),ISNUMBER(G856))),"",SUM(F856:G856)))</x:f>
      </x:c>
      <x:c r="I856" s="9"/>
      <x:c r="J856" s="9"/>
      <x:c r="K856" s="9"/>
    </x:row>
    <x:row r="857" ht="22" customHeight="1">
      <x:c r="A857" s="11"/>
      <x:c r="B857" s="9"/>
      <x:c r="C857" s="9"/>
      <x:c r="D857" s="9"/>
      <x:c r="E857" s="9"/>
      <x:c r="F857" s="15"/>
      <x:c r="G857" s="15"/>
      <x:c r="H857" s="17" t="str">
        <x:f>IF(B857="","",IF(NOT(AND(ISNUMBER(F857),ISNUMBER(G857))),"",SUM(F857:G857)))</x:f>
      </x:c>
      <x:c r="I857" s="9"/>
      <x:c r="J857" s="9"/>
      <x:c r="K857" s="9"/>
    </x:row>
    <x:row r="858" ht="22" customHeight="1">
      <x:c r="A858" s="11"/>
      <x:c r="B858" s="9"/>
      <x:c r="C858" s="9"/>
      <x:c r="D858" s="9"/>
      <x:c r="E858" s="9"/>
      <x:c r="F858" s="15"/>
      <x:c r="G858" s="15"/>
      <x:c r="H858" s="17" t="str">
        <x:f>IF(B858="","",IF(NOT(AND(ISNUMBER(F858),ISNUMBER(G858))),"",SUM(F858:G858)))</x:f>
      </x:c>
      <x:c r="I858" s="9"/>
      <x:c r="J858" s="9"/>
      <x:c r="K858" s="9"/>
    </x:row>
    <x:row r="859" ht="22" customHeight="1">
      <x:c r="A859" s="11"/>
      <x:c r="B859" s="9"/>
      <x:c r="C859" s="9"/>
      <x:c r="D859" s="9"/>
      <x:c r="E859" s="9"/>
      <x:c r="F859" s="15"/>
      <x:c r="G859" s="15"/>
      <x:c r="H859" s="17" t="str">
        <x:f>IF(B859="","",IF(NOT(AND(ISNUMBER(F859),ISNUMBER(G859))),"",SUM(F859:G859)))</x:f>
      </x:c>
      <x:c r="I859" s="9"/>
      <x:c r="J859" s="9"/>
      <x:c r="K859" s="9"/>
    </x:row>
    <x:row r="860" ht="22" customHeight="1">
      <x:c r="A860" s="11"/>
      <x:c r="B860" s="9"/>
      <x:c r="C860" s="9"/>
      <x:c r="D860" s="9"/>
      <x:c r="E860" s="9"/>
      <x:c r="F860" s="15"/>
      <x:c r="G860" s="15"/>
      <x:c r="H860" s="17" t="str">
        <x:f>IF(B860="","",IF(NOT(AND(ISNUMBER(F860),ISNUMBER(G860))),"",SUM(F860:G860)))</x:f>
      </x:c>
      <x:c r="I860" s="9"/>
      <x:c r="J860" s="9"/>
      <x:c r="K860" s="9"/>
    </x:row>
    <x:row r="861" ht="22" customHeight="1">
      <x:c r="A861" s="11"/>
      <x:c r="B861" s="9"/>
      <x:c r="C861" s="9"/>
      <x:c r="D861" s="9"/>
      <x:c r="E861" s="9"/>
      <x:c r="F861" s="15"/>
      <x:c r="G861" s="15"/>
      <x:c r="H861" s="17" t="str">
        <x:f>IF(B861="","",IF(NOT(AND(ISNUMBER(F861),ISNUMBER(G861))),"",SUM(F861:G861)))</x:f>
      </x:c>
      <x:c r="I861" s="9"/>
      <x:c r="J861" s="9"/>
      <x:c r="K861" s="9"/>
    </x:row>
    <x:row r="862" ht="22" customHeight="1">
      <x:c r="A862" s="11"/>
      <x:c r="B862" s="9"/>
      <x:c r="C862" s="9"/>
      <x:c r="D862" s="9"/>
      <x:c r="E862" s="9"/>
      <x:c r="F862" s="15"/>
      <x:c r="G862" s="15"/>
      <x:c r="H862" s="17" t="str">
        <x:f>IF(B862="","",IF(NOT(AND(ISNUMBER(F862),ISNUMBER(G862))),"",SUM(F862:G862)))</x:f>
      </x:c>
      <x:c r="I862" s="9"/>
      <x:c r="J862" s="9"/>
      <x:c r="K862" s="9"/>
    </x:row>
    <x:row r="863" ht="22" customHeight="1">
      <x:c r="A863" s="11"/>
      <x:c r="B863" s="9"/>
      <x:c r="C863" s="9"/>
      <x:c r="D863" s="9"/>
      <x:c r="E863" s="9"/>
      <x:c r="F863" s="15"/>
      <x:c r="G863" s="15"/>
      <x:c r="H863" s="17" t="str">
        <x:f>IF(B863="","",IF(NOT(AND(ISNUMBER(F863),ISNUMBER(G863))),"",SUM(F863:G863)))</x:f>
      </x:c>
      <x:c r="I863" s="9"/>
      <x:c r="J863" s="9"/>
      <x:c r="K863" s="9"/>
    </x:row>
    <x:row r="864" ht="22" customHeight="1">
      <x:c r="A864" s="11"/>
      <x:c r="B864" s="9"/>
      <x:c r="C864" s="9"/>
      <x:c r="D864" s="9"/>
      <x:c r="E864" s="9"/>
      <x:c r="F864" s="15"/>
      <x:c r="G864" s="15"/>
      <x:c r="H864" s="17" t="str">
        <x:f>IF(B864="","",IF(NOT(AND(ISNUMBER(F864),ISNUMBER(G864))),"",SUM(F864:G864)))</x:f>
      </x:c>
      <x:c r="I864" s="9"/>
      <x:c r="J864" s="9"/>
      <x:c r="K864" s="9"/>
    </x:row>
    <x:row r="865" ht="22" customHeight="1">
      <x:c r="A865" s="11"/>
      <x:c r="B865" s="9"/>
      <x:c r="C865" s="9"/>
      <x:c r="D865" s="9"/>
      <x:c r="E865" s="9"/>
      <x:c r="F865" s="15"/>
      <x:c r="G865" s="15"/>
      <x:c r="H865" s="17" t="str">
        <x:f>IF(B865="","",IF(NOT(AND(ISNUMBER(F865),ISNUMBER(G865))),"",SUM(F865:G865)))</x:f>
      </x:c>
      <x:c r="I865" s="9"/>
      <x:c r="J865" s="9"/>
      <x:c r="K865" s="9"/>
    </x:row>
    <x:row r="866" ht="22" customHeight="1">
      <x:c r="A866" s="11"/>
      <x:c r="B866" s="9"/>
      <x:c r="C866" s="9"/>
      <x:c r="D866" s="9"/>
      <x:c r="E866" s="9"/>
      <x:c r="F866" s="15"/>
      <x:c r="G866" s="15"/>
      <x:c r="H866" s="17" t="str">
        <x:f>IF(B866="","",IF(NOT(AND(ISNUMBER(F866),ISNUMBER(G866))),"",SUM(F866:G866)))</x:f>
      </x:c>
      <x:c r="I866" s="9"/>
      <x:c r="J866" s="9"/>
      <x:c r="K866" s="9"/>
    </x:row>
    <x:row r="867" ht="22" customHeight="1">
      <x:c r="A867" s="11"/>
      <x:c r="B867" s="9"/>
      <x:c r="C867" s="9"/>
      <x:c r="D867" s="9"/>
      <x:c r="E867" s="9"/>
      <x:c r="F867" s="15"/>
      <x:c r="G867" s="15"/>
      <x:c r="H867" s="17" t="str">
        <x:f>IF(B867="","",IF(NOT(AND(ISNUMBER(F867),ISNUMBER(G867))),"",SUM(F867:G867)))</x:f>
      </x:c>
      <x:c r="I867" s="9"/>
      <x:c r="J867" s="9"/>
      <x:c r="K867" s="9"/>
    </x:row>
    <x:row r="868" ht="22" customHeight="1">
      <x:c r="A868" s="11"/>
      <x:c r="B868" s="9"/>
      <x:c r="C868" s="9"/>
      <x:c r="D868" s="9"/>
      <x:c r="E868" s="9"/>
      <x:c r="F868" s="15"/>
      <x:c r="G868" s="15"/>
      <x:c r="H868" s="17" t="str">
        <x:f>IF(B868="","",IF(NOT(AND(ISNUMBER(F868),ISNUMBER(G868))),"",SUM(F868:G868)))</x:f>
      </x:c>
      <x:c r="I868" s="9"/>
      <x:c r="J868" s="9"/>
      <x:c r="K868" s="9"/>
    </x:row>
    <x:row r="869" ht="22" customHeight="1">
      <x:c r="A869" s="11"/>
      <x:c r="B869" s="9"/>
      <x:c r="C869" s="9"/>
      <x:c r="D869" s="9"/>
      <x:c r="E869" s="9"/>
      <x:c r="F869" s="15"/>
      <x:c r="G869" s="15"/>
      <x:c r="H869" s="17" t="str">
        <x:f>IF(B869="","",IF(NOT(AND(ISNUMBER(F869),ISNUMBER(G869))),"",SUM(F869:G869)))</x:f>
      </x:c>
      <x:c r="I869" s="9"/>
      <x:c r="J869" s="9"/>
      <x:c r="K869" s="9"/>
    </x:row>
    <x:row r="870" ht="22" customHeight="1">
      <x:c r="A870" s="11"/>
      <x:c r="B870" s="9"/>
      <x:c r="C870" s="9"/>
      <x:c r="D870" s="9"/>
      <x:c r="E870" s="9"/>
      <x:c r="F870" s="15"/>
      <x:c r="G870" s="15"/>
      <x:c r="H870" s="17" t="str">
        <x:f>IF(B870="","",IF(NOT(AND(ISNUMBER(F870),ISNUMBER(G870))),"",SUM(F870:G870)))</x:f>
      </x:c>
      <x:c r="I870" s="9"/>
      <x:c r="J870" s="9"/>
      <x:c r="K870" s="9"/>
    </x:row>
    <x:row r="871" ht="22" customHeight="1">
      <x:c r="A871" s="11"/>
      <x:c r="B871" s="9"/>
      <x:c r="C871" s="9"/>
      <x:c r="D871" s="9"/>
      <x:c r="E871" s="9"/>
      <x:c r="F871" s="15"/>
      <x:c r="G871" s="15"/>
      <x:c r="H871" s="17" t="str">
        <x:f>IF(B871="","",IF(NOT(AND(ISNUMBER(F871),ISNUMBER(G871))),"",SUM(F871:G871)))</x:f>
      </x:c>
      <x:c r="I871" s="9"/>
      <x:c r="J871" s="9"/>
      <x:c r="K871" s="9"/>
    </x:row>
    <x:row r="872" ht="22" customHeight="1">
      <x:c r="A872" s="11"/>
      <x:c r="B872" s="9"/>
      <x:c r="C872" s="9"/>
      <x:c r="D872" s="9"/>
      <x:c r="E872" s="9"/>
      <x:c r="F872" s="15"/>
      <x:c r="G872" s="15"/>
      <x:c r="H872" s="17" t="str">
        <x:f>IF(B872="","",IF(NOT(AND(ISNUMBER(F872),ISNUMBER(G872))),"",SUM(F872:G872)))</x:f>
      </x:c>
      <x:c r="I872" s="9"/>
      <x:c r="J872" s="9"/>
      <x:c r="K872" s="9"/>
    </x:row>
    <x:row r="873" ht="22" customHeight="1">
      <x:c r="A873" s="11"/>
      <x:c r="B873" s="9"/>
      <x:c r="C873" s="9"/>
      <x:c r="D873" s="9"/>
      <x:c r="E873" s="9"/>
      <x:c r="F873" s="15"/>
      <x:c r="G873" s="15"/>
      <x:c r="H873" s="17" t="str">
        <x:f>IF(B873="","",IF(NOT(AND(ISNUMBER(F873),ISNUMBER(G873))),"",SUM(F873:G873)))</x:f>
      </x:c>
      <x:c r="I873" s="9"/>
      <x:c r="J873" s="9"/>
      <x:c r="K873" s="9"/>
    </x:row>
    <x:row r="874" ht="22" customHeight="1">
      <x:c r="A874" s="11"/>
      <x:c r="B874" s="9"/>
      <x:c r="C874" s="9"/>
      <x:c r="D874" s="9"/>
      <x:c r="E874" s="9"/>
      <x:c r="F874" s="15"/>
      <x:c r="G874" s="15"/>
      <x:c r="H874" s="17" t="str">
        <x:f>IF(B874="","",IF(NOT(AND(ISNUMBER(F874),ISNUMBER(G874))),"",SUM(F874:G874)))</x:f>
      </x:c>
      <x:c r="I874" s="9"/>
      <x:c r="J874" s="9"/>
      <x:c r="K874" s="9"/>
    </x:row>
    <x:row r="875" ht="22" customHeight="1">
      <x:c r="A875" s="11"/>
      <x:c r="B875" s="9"/>
      <x:c r="C875" s="9"/>
      <x:c r="D875" s="9"/>
      <x:c r="E875" s="9"/>
      <x:c r="F875" s="15"/>
      <x:c r="G875" s="15"/>
      <x:c r="H875" s="17" t="str">
        <x:f>IF(B875="","",IF(NOT(AND(ISNUMBER(F875),ISNUMBER(G875))),"",SUM(F875:G875)))</x:f>
      </x:c>
      <x:c r="I875" s="9"/>
      <x:c r="J875" s="9"/>
      <x:c r="K875" s="9"/>
    </x:row>
    <x:row r="876" ht="22" customHeight="1">
      <x:c r="A876" s="11"/>
      <x:c r="B876" s="9"/>
      <x:c r="C876" s="9"/>
      <x:c r="D876" s="9"/>
      <x:c r="E876" s="9"/>
      <x:c r="F876" s="15"/>
      <x:c r="G876" s="15"/>
      <x:c r="H876" s="17" t="str">
        <x:f>IF(B876="","",IF(NOT(AND(ISNUMBER(F876),ISNUMBER(G876))),"",SUM(F876:G876)))</x:f>
      </x:c>
      <x:c r="I876" s="9"/>
      <x:c r="J876" s="9"/>
      <x:c r="K876" s="9"/>
    </x:row>
    <x:row r="877" ht="22" customHeight="1">
      <x:c r="A877" s="11"/>
      <x:c r="B877" s="9"/>
      <x:c r="C877" s="9"/>
      <x:c r="D877" s="9"/>
      <x:c r="E877" s="9"/>
      <x:c r="F877" s="15"/>
      <x:c r="G877" s="15"/>
      <x:c r="H877" s="17" t="str">
        <x:f>IF(B877="","",IF(NOT(AND(ISNUMBER(F877),ISNUMBER(G877))),"",SUM(F877:G877)))</x:f>
      </x:c>
      <x:c r="I877" s="9"/>
      <x:c r="J877" s="9"/>
      <x:c r="K877" s="9"/>
    </x:row>
    <x:row r="878" ht="22" customHeight="1">
      <x:c r="A878" s="11"/>
      <x:c r="B878" s="9"/>
      <x:c r="C878" s="9"/>
      <x:c r="D878" s="9"/>
      <x:c r="E878" s="9"/>
      <x:c r="F878" s="15"/>
      <x:c r="G878" s="15"/>
      <x:c r="H878" s="17" t="str">
        <x:f>IF(B878="","",IF(NOT(AND(ISNUMBER(F878),ISNUMBER(G878))),"",SUM(F878:G878)))</x:f>
      </x:c>
      <x:c r="I878" s="9"/>
      <x:c r="J878" s="9"/>
      <x:c r="K878" s="9"/>
    </x:row>
    <x:row r="879" ht="22" customHeight="1">
      <x:c r="A879" s="11"/>
      <x:c r="B879" s="9"/>
      <x:c r="C879" s="9"/>
      <x:c r="D879" s="9"/>
      <x:c r="E879" s="9"/>
      <x:c r="F879" s="15"/>
      <x:c r="G879" s="15"/>
      <x:c r="H879" s="17" t="str">
        <x:f>IF(B879="","",IF(NOT(AND(ISNUMBER(F879),ISNUMBER(G879))),"",SUM(F879:G879)))</x:f>
      </x:c>
      <x:c r="I879" s="9"/>
      <x:c r="J879" s="9"/>
      <x:c r="K879" s="9"/>
    </x:row>
    <x:row r="880" ht="22" customHeight="1">
      <x:c r="A880" s="11"/>
      <x:c r="B880" s="9"/>
      <x:c r="C880" s="9"/>
      <x:c r="D880" s="9"/>
      <x:c r="E880" s="9"/>
      <x:c r="F880" s="15"/>
      <x:c r="G880" s="15"/>
      <x:c r="H880" s="17" t="str">
        <x:f>IF(B880="","",IF(NOT(AND(ISNUMBER(F880),ISNUMBER(G880))),"",SUM(F880:G880)))</x:f>
      </x:c>
      <x:c r="I880" s="9"/>
      <x:c r="J880" s="9"/>
      <x:c r="K880" s="9"/>
    </x:row>
    <x:row r="881" ht="22" customHeight="1">
      <x:c r="A881" s="11"/>
      <x:c r="B881" s="9"/>
      <x:c r="C881" s="9"/>
      <x:c r="D881" s="9"/>
      <x:c r="E881" s="9"/>
      <x:c r="F881" s="15"/>
      <x:c r="G881" s="15"/>
      <x:c r="H881" s="17" t="str">
        <x:f>IF(B881="","",IF(NOT(AND(ISNUMBER(F881),ISNUMBER(G881))),"",SUM(F881:G881)))</x:f>
      </x:c>
      <x:c r="I881" s="9"/>
      <x:c r="J881" s="9"/>
      <x:c r="K881" s="9"/>
    </x:row>
    <x:row r="882" ht="22" customHeight="1">
      <x:c r="A882" s="11"/>
      <x:c r="B882" s="9"/>
      <x:c r="C882" s="9"/>
      <x:c r="D882" s="9"/>
      <x:c r="E882" s="9"/>
      <x:c r="F882" s="15"/>
      <x:c r="G882" s="15"/>
      <x:c r="H882" s="17" t="str">
        <x:f>IF(B882="","",IF(NOT(AND(ISNUMBER(F882),ISNUMBER(G882))),"",SUM(F882:G882)))</x:f>
      </x:c>
      <x:c r="I882" s="9"/>
      <x:c r="J882" s="9"/>
      <x:c r="K882" s="9"/>
    </x:row>
    <x:row r="883" ht="22" customHeight="1">
      <x:c r="A883" s="11"/>
      <x:c r="B883" s="9"/>
      <x:c r="C883" s="9"/>
      <x:c r="D883" s="9"/>
      <x:c r="E883" s="9"/>
      <x:c r="F883" s="15"/>
      <x:c r="G883" s="15"/>
      <x:c r="H883" s="17" t="str">
        <x:f>IF(B883="","",IF(NOT(AND(ISNUMBER(F883),ISNUMBER(G883))),"",SUM(F883:G883)))</x:f>
      </x:c>
      <x:c r="I883" s="9"/>
      <x:c r="J883" s="9"/>
      <x:c r="K883" s="9"/>
    </x:row>
    <x:row r="884" ht="22" customHeight="1">
      <x:c r="A884" s="11"/>
      <x:c r="B884" s="9"/>
      <x:c r="C884" s="9"/>
      <x:c r="D884" s="9"/>
      <x:c r="E884" s="9"/>
      <x:c r="F884" s="15"/>
      <x:c r="G884" s="15"/>
      <x:c r="H884" s="17" t="str">
        <x:f>IF(B884="","",IF(NOT(AND(ISNUMBER(F884),ISNUMBER(G884))),"",SUM(F884:G884)))</x:f>
      </x:c>
      <x:c r="I884" s="9"/>
      <x:c r="J884" s="9"/>
      <x:c r="K884" s="9"/>
    </x:row>
    <x:row r="885" ht="22" customHeight="1">
      <x:c r="A885" s="11"/>
      <x:c r="B885" s="9"/>
      <x:c r="C885" s="9"/>
      <x:c r="D885" s="9"/>
      <x:c r="E885" s="9"/>
      <x:c r="F885" s="15"/>
      <x:c r="G885" s="15"/>
      <x:c r="H885" s="17" t="str">
        <x:f>IF(B885="","",IF(NOT(AND(ISNUMBER(F885),ISNUMBER(G885))),"",SUM(F885:G885)))</x:f>
      </x:c>
      <x:c r="I885" s="9"/>
      <x:c r="J885" s="9"/>
      <x:c r="K885" s="9"/>
    </x:row>
    <x:row r="886" ht="22" customHeight="1">
      <x:c r="A886" s="11"/>
      <x:c r="B886" s="9"/>
      <x:c r="C886" s="9"/>
      <x:c r="D886" s="9"/>
      <x:c r="E886" s="9"/>
      <x:c r="F886" s="15"/>
      <x:c r="G886" s="15"/>
      <x:c r="H886" s="17" t="str">
        <x:f>IF(B886="","",IF(NOT(AND(ISNUMBER(F886),ISNUMBER(G886))),"",SUM(F886:G886)))</x:f>
      </x:c>
      <x:c r="I886" s="9"/>
      <x:c r="J886" s="9"/>
      <x:c r="K886" s="9"/>
    </x:row>
    <x:row r="887" ht="22" customHeight="1">
      <x:c r="A887" s="11"/>
      <x:c r="B887" s="9"/>
      <x:c r="C887" s="9"/>
      <x:c r="D887" s="9"/>
      <x:c r="E887" s="9"/>
      <x:c r="F887" s="15"/>
      <x:c r="G887" s="15"/>
      <x:c r="H887" s="17" t="str">
        <x:f>IF(B887="","",IF(NOT(AND(ISNUMBER(F887),ISNUMBER(G887))),"",SUM(F887:G887)))</x:f>
      </x:c>
      <x:c r="I887" s="9"/>
      <x:c r="J887" s="9"/>
      <x:c r="K887" s="9"/>
    </x:row>
    <x:row r="888" ht="22" customHeight="1">
      <x:c r="A888" s="11"/>
      <x:c r="B888" s="9"/>
      <x:c r="C888" s="9"/>
      <x:c r="D888" s="9"/>
      <x:c r="E888" s="9"/>
      <x:c r="F888" s="15"/>
      <x:c r="G888" s="15"/>
      <x:c r="H888" s="17" t="str">
        <x:f>IF(B888="","",IF(NOT(AND(ISNUMBER(F888),ISNUMBER(G888))),"",SUM(F888:G888)))</x:f>
      </x:c>
      <x:c r="I888" s="9"/>
      <x:c r="J888" s="9"/>
      <x:c r="K888" s="9"/>
    </x:row>
    <x:row r="889" ht="22" customHeight="1">
      <x:c r="A889" s="11"/>
      <x:c r="B889" s="9"/>
      <x:c r="C889" s="9"/>
      <x:c r="D889" s="9"/>
      <x:c r="E889" s="9"/>
      <x:c r="F889" s="15"/>
      <x:c r="G889" s="15"/>
      <x:c r="H889" s="17" t="str">
        <x:f>IF(B889="","",IF(NOT(AND(ISNUMBER(F889),ISNUMBER(G889))),"",SUM(F889:G889)))</x:f>
      </x:c>
      <x:c r="I889" s="9"/>
      <x:c r="J889" s="9"/>
      <x:c r="K889" s="9"/>
    </x:row>
    <x:row r="890" ht="22" customHeight="1">
      <x:c r="A890" s="11"/>
      <x:c r="B890" s="9"/>
      <x:c r="C890" s="9"/>
      <x:c r="D890" s="9"/>
      <x:c r="E890" s="9"/>
      <x:c r="F890" s="15"/>
      <x:c r="G890" s="15"/>
      <x:c r="H890" s="17" t="str">
        <x:f>IF(B890="","",IF(NOT(AND(ISNUMBER(F890),ISNUMBER(G890))),"",SUM(F890:G890)))</x:f>
      </x:c>
      <x:c r="I890" s="9"/>
      <x:c r="J890" s="9"/>
      <x:c r="K890" s="9"/>
    </x:row>
    <x:row r="891" ht="22" customHeight="1">
      <x:c r="A891" s="11"/>
      <x:c r="B891" s="9"/>
      <x:c r="C891" s="9"/>
      <x:c r="D891" s="9"/>
      <x:c r="E891" s="9"/>
      <x:c r="F891" s="15"/>
      <x:c r="G891" s="15"/>
      <x:c r="H891" s="17" t="str">
        <x:f>IF(B891="","",IF(NOT(AND(ISNUMBER(F891),ISNUMBER(G891))),"",SUM(F891:G891)))</x:f>
      </x:c>
      <x:c r="I891" s="9"/>
      <x:c r="J891" s="9"/>
      <x:c r="K891" s="9"/>
    </x:row>
    <x:row r="892" ht="22" customHeight="1">
      <x:c r="A892" s="11"/>
      <x:c r="B892" s="9"/>
      <x:c r="C892" s="9"/>
      <x:c r="D892" s="9"/>
      <x:c r="E892" s="9"/>
      <x:c r="F892" s="15"/>
      <x:c r="G892" s="15"/>
      <x:c r="H892" s="17" t="str">
        <x:f>IF(B892="","",IF(NOT(AND(ISNUMBER(F892),ISNUMBER(G892))),"",SUM(F892:G892)))</x:f>
      </x:c>
      <x:c r="I892" s="9"/>
      <x:c r="J892" s="9"/>
      <x:c r="K892" s="9"/>
    </x:row>
    <x:row r="893" ht="22" customHeight="1">
      <x:c r="A893" s="11"/>
      <x:c r="B893" s="9"/>
      <x:c r="C893" s="9"/>
      <x:c r="D893" s="9"/>
      <x:c r="E893" s="9"/>
      <x:c r="F893" s="15"/>
      <x:c r="G893" s="15"/>
      <x:c r="H893" s="17" t="str">
        <x:f>IF(B893="","",IF(NOT(AND(ISNUMBER(F893),ISNUMBER(G893))),"",SUM(F893:G893)))</x:f>
      </x:c>
      <x:c r="I893" s="9"/>
      <x:c r="J893" s="9"/>
      <x:c r="K893" s="9"/>
    </x:row>
    <x:row r="894" ht="22" customHeight="1">
      <x:c r="A894" s="11"/>
      <x:c r="B894" s="9"/>
      <x:c r="C894" s="9"/>
      <x:c r="D894" s="9"/>
      <x:c r="E894" s="9"/>
      <x:c r="F894" s="15"/>
      <x:c r="G894" s="15"/>
      <x:c r="H894" s="17" t="str">
        <x:f>IF(B894="","",IF(NOT(AND(ISNUMBER(F894),ISNUMBER(G894))),"",SUM(F894:G894)))</x:f>
      </x:c>
      <x:c r="I894" s="9"/>
      <x:c r="J894" s="9"/>
      <x:c r="K894" s="9"/>
    </x:row>
    <x:row r="895" ht="22" customHeight="1">
      <x:c r="A895" s="11"/>
      <x:c r="B895" s="9"/>
      <x:c r="C895" s="9"/>
      <x:c r="D895" s="9"/>
      <x:c r="E895" s="9"/>
      <x:c r="F895" s="15"/>
      <x:c r="G895" s="15"/>
      <x:c r="H895" s="17" t="str">
        <x:f>IF(B895="","",IF(NOT(AND(ISNUMBER(F895),ISNUMBER(G895))),"",SUM(F895:G895)))</x:f>
      </x:c>
      <x:c r="I895" s="9"/>
      <x:c r="J895" s="9"/>
      <x:c r="K895" s="9"/>
    </x:row>
    <x:row r="896" ht="22" customHeight="1">
      <x:c r="A896" s="11"/>
      <x:c r="B896" s="9"/>
      <x:c r="C896" s="9"/>
      <x:c r="D896" s="9"/>
      <x:c r="E896" s="9"/>
      <x:c r="F896" s="15"/>
      <x:c r="G896" s="15"/>
      <x:c r="H896" s="17" t="str">
        <x:f>IF(B896="","",IF(NOT(AND(ISNUMBER(F896),ISNUMBER(G896))),"",SUM(F896:G896)))</x:f>
      </x:c>
      <x:c r="I896" s="9"/>
      <x:c r="J896" s="9"/>
      <x:c r="K896" s="9"/>
    </x:row>
    <x:row r="897" ht="22" customHeight="1">
      <x:c r="A897" s="11"/>
      <x:c r="B897" s="9"/>
      <x:c r="C897" s="9"/>
      <x:c r="D897" s="9"/>
      <x:c r="E897" s="9"/>
      <x:c r="F897" s="15"/>
      <x:c r="G897" s="15"/>
      <x:c r="H897" s="17" t="str">
        <x:f>IF(B897="","",IF(NOT(AND(ISNUMBER(F897),ISNUMBER(G897))),"",SUM(F897:G897)))</x:f>
      </x:c>
      <x:c r="I897" s="9"/>
      <x:c r="J897" s="9"/>
      <x:c r="K897" s="9"/>
    </x:row>
    <x:row r="898" ht="22" customHeight="1">
      <x:c r="A898" s="11"/>
      <x:c r="B898" s="9"/>
      <x:c r="C898" s="9"/>
      <x:c r="D898" s="9"/>
      <x:c r="E898" s="9"/>
      <x:c r="F898" s="15"/>
      <x:c r="G898" s="15"/>
      <x:c r="H898" s="17" t="str">
        <x:f>IF(B898="","",IF(NOT(AND(ISNUMBER(F898),ISNUMBER(G898))),"",SUM(F898:G898)))</x:f>
      </x:c>
      <x:c r="I898" s="9"/>
      <x:c r="J898" s="9"/>
      <x:c r="K898" s="9"/>
    </x:row>
    <x:row r="899" ht="22" customHeight="1">
      <x:c r="A899" s="11"/>
      <x:c r="B899" s="9"/>
      <x:c r="C899" s="9"/>
      <x:c r="D899" s="9"/>
      <x:c r="E899" s="9"/>
      <x:c r="F899" s="15"/>
      <x:c r="G899" s="15"/>
      <x:c r="H899" s="17" t="str">
        <x:f>IF(B899="","",IF(NOT(AND(ISNUMBER(F899),ISNUMBER(G899))),"",SUM(F899:G899)))</x:f>
      </x:c>
      <x:c r="I899" s="9"/>
      <x:c r="J899" s="9"/>
      <x:c r="K899" s="9"/>
    </x:row>
    <x:row r="900" ht="22" customHeight="1">
      <x:c r="A900" s="11"/>
      <x:c r="B900" s="9"/>
      <x:c r="C900" s="9"/>
      <x:c r="D900" s="9"/>
      <x:c r="E900" s="9"/>
      <x:c r="F900" s="15"/>
      <x:c r="G900" s="15"/>
      <x:c r="H900" s="17" t="str">
        <x:f>IF(B900="","",IF(NOT(AND(ISNUMBER(F900),ISNUMBER(G900))),"",SUM(F900:G900)))</x:f>
      </x:c>
      <x:c r="I900" s="9"/>
      <x:c r="J900" s="9"/>
      <x:c r="K900" s="9"/>
    </x:row>
    <x:row r="901" ht="22" customHeight="1">
      <x:c r="A901" s="11"/>
      <x:c r="B901" s="9"/>
      <x:c r="C901" s="9"/>
      <x:c r="D901" s="9"/>
      <x:c r="E901" s="9"/>
      <x:c r="F901" s="15"/>
      <x:c r="G901" s="15"/>
      <x:c r="H901" s="17" t="str">
        <x:f>IF(B901="","",IF(NOT(AND(ISNUMBER(F901),ISNUMBER(G901))),"",SUM(F901:G901)))</x:f>
      </x:c>
      <x:c r="I901" s="9"/>
      <x:c r="J901" s="9"/>
      <x:c r="K901" s="9"/>
    </x:row>
    <x:row r="902" ht="22" customHeight="1">
      <x:c r="A902" s="11"/>
      <x:c r="B902" s="9"/>
      <x:c r="C902" s="9"/>
      <x:c r="D902" s="9"/>
      <x:c r="E902" s="9"/>
      <x:c r="F902" s="15"/>
      <x:c r="G902" s="15"/>
      <x:c r="H902" s="17" t="str">
        <x:f>IF(B902="","",IF(NOT(AND(ISNUMBER(F902),ISNUMBER(G902))),"",SUM(F902:G902)))</x:f>
      </x:c>
      <x:c r="I902" s="9"/>
      <x:c r="J902" s="9"/>
      <x:c r="K902" s="9"/>
    </x:row>
    <x:row r="903" ht="22" customHeight="1">
      <x:c r="A903" s="11"/>
      <x:c r="B903" s="9"/>
      <x:c r="C903" s="9"/>
      <x:c r="D903" s="9"/>
      <x:c r="E903" s="9"/>
      <x:c r="F903" s="15"/>
      <x:c r="G903" s="15"/>
      <x:c r="H903" s="17" t="str">
        <x:f>IF(B903="","",IF(NOT(AND(ISNUMBER(F903),ISNUMBER(G903))),"",SUM(F903:G903)))</x:f>
      </x:c>
      <x:c r="I903" s="9"/>
      <x:c r="J903" s="9"/>
      <x:c r="K903" s="9"/>
    </x:row>
    <x:row r="904" ht="22" customHeight="1">
      <x:c r="A904" s="11"/>
      <x:c r="B904" s="9"/>
      <x:c r="C904" s="9"/>
      <x:c r="D904" s="9"/>
      <x:c r="E904" s="9"/>
      <x:c r="F904" s="15"/>
      <x:c r="G904" s="15"/>
      <x:c r="H904" s="17" t="str">
        <x:f>IF(B904="","",IF(NOT(AND(ISNUMBER(F904),ISNUMBER(G904))),"",SUM(F904:G904)))</x:f>
      </x:c>
      <x:c r="I904" s="9"/>
      <x:c r="J904" s="9"/>
      <x:c r="K904" s="9"/>
    </x:row>
    <x:row r="905" ht="22" customHeight="1">
      <x:c r="A905" s="11"/>
      <x:c r="B905" s="9"/>
      <x:c r="C905" s="9"/>
      <x:c r="D905" s="9"/>
      <x:c r="E905" s="9"/>
      <x:c r="F905" s="15"/>
      <x:c r="G905" s="15"/>
      <x:c r="H905" s="17" t="str">
        <x:f>IF(B905="","",IF(NOT(AND(ISNUMBER(F905),ISNUMBER(G905))),"",SUM(F905:G905)))</x:f>
      </x:c>
      <x:c r="I905" s="9"/>
      <x:c r="J905" s="9"/>
      <x:c r="K905" s="9"/>
    </x:row>
    <x:row r="906" ht="22" customHeight="1">
      <x:c r="A906" s="11"/>
      <x:c r="B906" s="9"/>
      <x:c r="C906" s="9"/>
      <x:c r="D906" s="9"/>
      <x:c r="E906" s="9"/>
      <x:c r="F906" s="15"/>
      <x:c r="G906" s="15"/>
      <x:c r="H906" s="17" t="str">
        <x:f>IF(B906="","",IF(NOT(AND(ISNUMBER(F906),ISNUMBER(G906))),"",SUM(F906:G906)))</x:f>
      </x:c>
      <x:c r="I906" s="9"/>
      <x:c r="J906" s="9"/>
      <x:c r="K906" s="9"/>
    </x:row>
    <x:row r="907" ht="22" customHeight="1">
      <x:c r="A907" s="11"/>
      <x:c r="B907" s="9"/>
      <x:c r="C907" s="9"/>
      <x:c r="D907" s="9"/>
      <x:c r="E907" s="9"/>
      <x:c r="F907" s="15"/>
      <x:c r="G907" s="15"/>
      <x:c r="H907" s="17" t="str">
        <x:f>IF(B907="","",IF(NOT(AND(ISNUMBER(F907),ISNUMBER(G907))),"",SUM(F907:G907)))</x:f>
      </x:c>
      <x:c r="I907" s="9"/>
      <x:c r="J907" s="9"/>
      <x:c r="K907" s="9"/>
    </x:row>
    <x:row r="908" ht="22" customHeight="1">
      <x:c r="A908" s="11"/>
      <x:c r="B908" s="9"/>
      <x:c r="C908" s="9"/>
      <x:c r="D908" s="9"/>
      <x:c r="E908" s="9"/>
      <x:c r="F908" s="15"/>
      <x:c r="G908" s="15"/>
      <x:c r="H908" s="17" t="str">
        <x:f>IF(B908="","",IF(NOT(AND(ISNUMBER(F908),ISNUMBER(G908))),"",SUM(F908:G908)))</x:f>
      </x:c>
      <x:c r="I908" s="9"/>
      <x:c r="J908" s="9"/>
      <x:c r="K908" s="9"/>
    </x:row>
    <x:row r="909" ht="22" customHeight="1">
      <x:c r="A909" s="11"/>
      <x:c r="B909" s="9"/>
      <x:c r="C909" s="9"/>
      <x:c r="D909" s="9"/>
      <x:c r="E909" s="9"/>
      <x:c r="F909" s="15"/>
      <x:c r="G909" s="15"/>
      <x:c r="H909" s="17" t="str">
        <x:f>IF(B909="","",IF(NOT(AND(ISNUMBER(F909),ISNUMBER(G909))),"",SUM(F909:G909)))</x:f>
      </x:c>
      <x:c r="I909" s="9"/>
      <x:c r="J909" s="9"/>
      <x:c r="K909" s="9"/>
    </x:row>
    <x:row r="910" ht="22" customHeight="1">
      <x:c r="A910" s="11"/>
      <x:c r="B910" s="9"/>
      <x:c r="C910" s="9"/>
      <x:c r="D910" s="9"/>
      <x:c r="E910" s="9"/>
      <x:c r="F910" s="15"/>
      <x:c r="G910" s="15"/>
      <x:c r="H910" s="17" t="str">
        <x:f>IF(B910="","",IF(NOT(AND(ISNUMBER(F910),ISNUMBER(G910))),"",SUM(F910:G910)))</x:f>
      </x:c>
      <x:c r="I910" s="9"/>
      <x:c r="J910" s="9"/>
      <x:c r="K910" s="9"/>
    </x:row>
    <x:row r="911" ht="22" customHeight="1">
      <x:c r="A911" s="11"/>
      <x:c r="B911" s="9"/>
      <x:c r="C911" s="9"/>
      <x:c r="D911" s="9"/>
      <x:c r="E911" s="9"/>
      <x:c r="F911" s="15"/>
      <x:c r="G911" s="15"/>
      <x:c r="H911" s="17" t="str">
        <x:f>IF(B911="","",IF(NOT(AND(ISNUMBER(F911),ISNUMBER(G911))),"",SUM(F911:G911)))</x:f>
      </x:c>
      <x:c r="I911" s="9"/>
      <x:c r="J911" s="9"/>
      <x:c r="K911" s="9"/>
    </x:row>
    <x:row r="912" ht="22" customHeight="1">
      <x:c r="A912" s="11"/>
      <x:c r="B912" s="9"/>
      <x:c r="C912" s="9"/>
      <x:c r="D912" s="9"/>
      <x:c r="E912" s="9"/>
      <x:c r="F912" s="15"/>
      <x:c r="G912" s="15"/>
      <x:c r="H912" s="17" t="str">
        <x:f>IF(B912="","",IF(NOT(AND(ISNUMBER(F912),ISNUMBER(G912))),"",SUM(F912:G912)))</x:f>
      </x:c>
      <x:c r="I912" s="9"/>
      <x:c r="J912" s="9"/>
      <x:c r="K912" s="9"/>
    </x:row>
    <x:row r="913" ht="22" customHeight="1">
      <x:c r="A913" s="11"/>
      <x:c r="B913" s="9"/>
      <x:c r="C913" s="9"/>
      <x:c r="D913" s="9"/>
      <x:c r="E913" s="9"/>
      <x:c r="F913" s="15"/>
      <x:c r="G913" s="15"/>
      <x:c r="H913" s="17" t="str">
        <x:f>IF(B913="","",IF(NOT(AND(ISNUMBER(F913),ISNUMBER(G913))),"",SUM(F913:G913)))</x:f>
      </x:c>
      <x:c r="I913" s="9"/>
      <x:c r="J913" s="9"/>
      <x:c r="K913" s="9"/>
    </x:row>
    <x:row r="914" ht="22" customHeight="1">
      <x:c r="A914" s="11"/>
      <x:c r="B914" s="9"/>
      <x:c r="C914" s="9"/>
      <x:c r="D914" s="9"/>
      <x:c r="E914" s="9"/>
      <x:c r="F914" s="15"/>
      <x:c r="G914" s="15"/>
      <x:c r="H914" s="17" t="str">
        <x:f>IF(B914="","",IF(NOT(AND(ISNUMBER(F914),ISNUMBER(G914))),"",SUM(F914:G914)))</x:f>
      </x:c>
      <x:c r="I914" s="9"/>
      <x:c r="J914" s="9"/>
      <x:c r="K914" s="9"/>
    </x:row>
    <x:row r="915" ht="22" customHeight="1">
      <x:c r="A915" s="11"/>
      <x:c r="B915" s="9"/>
      <x:c r="C915" s="9"/>
      <x:c r="D915" s="9"/>
      <x:c r="E915" s="9"/>
      <x:c r="F915" s="15"/>
      <x:c r="G915" s="15"/>
      <x:c r="H915" s="17" t="str">
        <x:f>IF(B915="","",IF(NOT(AND(ISNUMBER(F915),ISNUMBER(G915))),"",SUM(F915:G915)))</x:f>
      </x:c>
      <x:c r="I915" s="9"/>
      <x:c r="J915" s="9"/>
      <x:c r="K915" s="9"/>
    </x:row>
    <x:row r="916" ht="22" customHeight="1">
      <x:c r="A916" s="11"/>
      <x:c r="B916" s="9"/>
      <x:c r="C916" s="9"/>
      <x:c r="D916" s="9"/>
      <x:c r="E916" s="9"/>
      <x:c r="F916" s="15"/>
      <x:c r="G916" s="15"/>
      <x:c r="H916" s="17" t="str">
        <x:f>IF(B916="","",IF(NOT(AND(ISNUMBER(F916),ISNUMBER(G916))),"",SUM(F916:G916)))</x:f>
      </x:c>
      <x:c r="I916" s="9"/>
      <x:c r="J916" s="9"/>
      <x:c r="K916" s="9"/>
    </x:row>
    <x:row r="917" ht="22" customHeight="1">
      <x:c r="A917" s="11"/>
      <x:c r="B917" s="9"/>
      <x:c r="C917" s="9"/>
      <x:c r="D917" s="9"/>
      <x:c r="E917" s="9"/>
      <x:c r="F917" s="15"/>
      <x:c r="G917" s="15"/>
      <x:c r="H917" s="17" t="str">
        <x:f>IF(B917="","",IF(NOT(AND(ISNUMBER(F917),ISNUMBER(G917))),"",SUM(F917:G917)))</x:f>
      </x:c>
      <x:c r="I917" s="9"/>
      <x:c r="J917" s="9"/>
      <x:c r="K917" s="9"/>
    </x:row>
    <x:row r="918" ht="22" customHeight="1">
      <x:c r="A918" s="11"/>
      <x:c r="B918" s="9"/>
      <x:c r="C918" s="9"/>
      <x:c r="D918" s="9"/>
      <x:c r="E918" s="9"/>
      <x:c r="F918" s="15"/>
      <x:c r="G918" s="15"/>
      <x:c r="H918" s="17" t="str">
        <x:f>IF(B918="","",IF(NOT(AND(ISNUMBER(F918),ISNUMBER(G918))),"",SUM(F918:G918)))</x:f>
      </x:c>
      <x:c r="I918" s="9"/>
      <x:c r="J918" s="9"/>
      <x:c r="K918" s="9"/>
    </x:row>
    <x:row r="919" ht="22" customHeight="1">
      <x:c r="A919" s="11"/>
      <x:c r="B919" s="9"/>
      <x:c r="C919" s="9"/>
      <x:c r="D919" s="9"/>
      <x:c r="E919" s="9"/>
      <x:c r="F919" s="15"/>
      <x:c r="G919" s="15"/>
      <x:c r="H919" s="17" t="str">
        <x:f>IF(B919="","",IF(NOT(AND(ISNUMBER(F919),ISNUMBER(G919))),"",SUM(F919:G919)))</x:f>
      </x:c>
      <x:c r="I919" s="9"/>
      <x:c r="J919" s="9"/>
      <x:c r="K919" s="9"/>
    </x:row>
    <x:row r="920" ht="22" customHeight="1">
      <x:c r="A920" s="11"/>
      <x:c r="B920" s="9"/>
      <x:c r="C920" s="9"/>
      <x:c r="D920" s="9"/>
      <x:c r="E920" s="9"/>
      <x:c r="F920" s="15"/>
      <x:c r="G920" s="15"/>
      <x:c r="H920" s="17" t="str">
        <x:f>IF(B920="","",IF(NOT(AND(ISNUMBER(F920),ISNUMBER(G920))),"",SUM(F920:G920)))</x:f>
      </x:c>
      <x:c r="I920" s="9"/>
      <x:c r="J920" s="9"/>
      <x:c r="K920" s="9"/>
    </x:row>
    <x:row r="921" ht="22" customHeight="1">
      <x:c r="A921" s="11"/>
      <x:c r="B921" s="9"/>
      <x:c r="C921" s="9"/>
      <x:c r="D921" s="9"/>
      <x:c r="E921" s="9"/>
      <x:c r="F921" s="15"/>
      <x:c r="G921" s="15"/>
      <x:c r="H921" s="17" t="str">
        <x:f>IF(B921="","",IF(NOT(AND(ISNUMBER(F921),ISNUMBER(G921))),"",SUM(F921:G921)))</x:f>
      </x:c>
      <x:c r="I921" s="9"/>
      <x:c r="J921" s="9"/>
      <x:c r="K921" s="9"/>
    </x:row>
    <x:row r="922" ht="22" customHeight="1">
      <x:c r="A922" s="11"/>
      <x:c r="B922" s="9"/>
      <x:c r="C922" s="9"/>
      <x:c r="D922" s="9"/>
      <x:c r="E922" s="9"/>
      <x:c r="F922" s="15"/>
      <x:c r="G922" s="15"/>
      <x:c r="H922" s="17" t="str">
        <x:f>IF(B922="","",IF(NOT(AND(ISNUMBER(F922),ISNUMBER(G922))),"",SUM(F922:G922)))</x:f>
      </x:c>
      <x:c r="I922" s="9"/>
      <x:c r="J922" s="9"/>
      <x:c r="K922" s="9"/>
    </x:row>
    <x:row r="923" ht="22" customHeight="1">
      <x:c r="A923" s="11"/>
      <x:c r="B923" s="9"/>
      <x:c r="C923" s="9"/>
      <x:c r="D923" s="9"/>
      <x:c r="E923" s="9"/>
      <x:c r="F923" s="15"/>
      <x:c r="G923" s="15"/>
      <x:c r="H923" s="17" t="str">
        <x:f>IF(B923="","",IF(NOT(AND(ISNUMBER(F923),ISNUMBER(G923))),"",SUM(F923:G923)))</x:f>
      </x:c>
      <x:c r="I923" s="9"/>
      <x:c r="J923" s="9"/>
      <x:c r="K923" s="9"/>
    </x:row>
    <x:row r="924" ht="22" customHeight="1">
      <x:c r="A924" s="11"/>
      <x:c r="B924" s="9"/>
      <x:c r="C924" s="9"/>
      <x:c r="D924" s="9"/>
      <x:c r="E924" s="9"/>
      <x:c r="F924" s="15"/>
      <x:c r="G924" s="15"/>
      <x:c r="H924" s="17" t="str">
        <x:f>IF(B924="","",IF(NOT(AND(ISNUMBER(F924),ISNUMBER(G924))),"",SUM(F924:G924)))</x:f>
      </x:c>
      <x:c r="I924" s="9"/>
      <x:c r="J924" s="9"/>
      <x:c r="K924" s="9"/>
    </x:row>
    <x:row r="925" ht="22" customHeight="1">
      <x:c r="A925" s="11"/>
      <x:c r="B925" s="9"/>
      <x:c r="C925" s="9"/>
      <x:c r="D925" s="9"/>
      <x:c r="E925" s="9"/>
      <x:c r="F925" s="15"/>
      <x:c r="G925" s="15"/>
      <x:c r="H925" s="17" t="str">
        <x:f>IF(B925="","",IF(NOT(AND(ISNUMBER(F925),ISNUMBER(G925))),"",SUM(F925:G925)))</x:f>
      </x:c>
      <x:c r="I925" s="9"/>
      <x:c r="J925" s="9"/>
      <x:c r="K925" s="9"/>
    </x:row>
    <x:row r="926" ht="22" customHeight="1">
      <x:c r="A926" s="11"/>
      <x:c r="B926" s="9"/>
      <x:c r="C926" s="9"/>
      <x:c r="D926" s="9"/>
      <x:c r="E926" s="9"/>
      <x:c r="F926" s="15"/>
      <x:c r="G926" s="15"/>
      <x:c r="H926" s="17" t="str">
        <x:f>IF(B926="","",IF(NOT(AND(ISNUMBER(F926),ISNUMBER(G926))),"",SUM(F926:G926)))</x:f>
      </x:c>
      <x:c r="I926" s="9"/>
      <x:c r="J926" s="9"/>
      <x:c r="K926" s="9"/>
    </x:row>
    <x:row r="927" ht="22" customHeight="1">
      <x:c r="A927" s="11"/>
      <x:c r="B927" s="9"/>
      <x:c r="C927" s="9"/>
      <x:c r="D927" s="9"/>
      <x:c r="E927" s="9"/>
      <x:c r="F927" s="15"/>
      <x:c r="G927" s="15"/>
      <x:c r="H927" s="17" t="str">
        <x:f>IF(B927="","",IF(NOT(AND(ISNUMBER(F927),ISNUMBER(G927))),"",SUM(F927:G927)))</x:f>
      </x:c>
      <x:c r="I927" s="9"/>
      <x:c r="J927" s="9"/>
      <x:c r="K927" s="9"/>
    </x:row>
    <x:row r="928" ht="22" customHeight="1">
      <x:c r="A928" s="11"/>
      <x:c r="B928" s="9"/>
      <x:c r="C928" s="9"/>
      <x:c r="D928" s="9"/>
      <x:c r="E928" s="9"/>
      <x:c r="F928" s="15"/>
      <x:c r="G928" s="15"/>
      <x:c r="H928" s="17" t="str">
        <x:f>IF(B928="","",IF(NOT(AND(ISNUMBER(F928),ISNUMBER(G928))),"",SUM(F928:G928)))</x:f>
      </x:c>
      <x:c r="I928" s="9"/>
      <x:c r="J928" s="9"/>
      <x:c r="K928" s="9"/>
    </x:row>
    <x:row r="929" ht="22" customHeight="1">
      <x:c r="A929" s="11"/>
      <x:c r="B929" s="9"/>
      <x:c r="C929" s="9"/>
      <x:c r="D929" s="9"/>
      <x:c r="E929" s="9"/>
      <x:c r="F929" s="15"/>
      <x:c r="G929" s="15"/>
      <x:c r="H929" s="17" t="str">
        <x:f>IF(B929="","",IF(NOT(AND(ISNUMBER(F929),ISNUMBER(G929))),"",SUM(F929:G929)))</x:f>
      </x:c>
      <x:c r="I929" s="9"/>
      <x:c r="J929" s="9"/>
      <x:c r="K929" s="9"/>
    </x:row>
    <x:row r="930" ht="22" customHeight="1">
      <x:c r="A930" s="11"/>
      <x:c r="B930" s="9"/>
      <x:c r="C930" s="9"/>
      <x:c r="D930" s="9"/>
      <x:c r="E930" s="9"/>
      <x:c r="F930" s="15"/>
      <x:c r="G930" s="15"/>
      <x:c r="H930" s="17" t="str">
        <x:f>IF(B930="","",IF(NOT(AND(ISNUMBER(F930),ISNUMBER(G930))),"",SUM(F930:G930)))</x:f>
      </x:c>
      <x:c r="I930" s="9"/>
      <x:c r="J930" s="9"/>
      <x:c r="K930" s="9"/>
    </x:row>
    <x:row r="931" ht="22" customHeight="1">
      <x:c r="A931" s="11"/>
      <x:c r="B931" s="9"/>
      <x:c r="C931" s="9"/>
      <x:c r="D931" s="9"/>
      <x:c r="E931" s="9"/>
      <x:c r="F931" s="15"/>
      <x:c r="G931" s="15"/>
      <x:c r="H931" s="17" t="str">
        <x:f>IF(B931="","",IF(NOT(AND(ISNUMBER(F931),ISNUMBER(G931))),"",SUM(F931:G931)))</x:f>
      </x:c>
      <x:c r="I931" s="9"/>
      <x:c r="J931" s="9"/>
      <x:c r="K931" s="9"/>
    </x:row>
    <x:row r="932" ht="22" customHeight="1">
      <x:c r="A932" s="11"/>
      <x:c r="B932" s="9"/>
      <x:c r="C932" s="9"/>
      <x:c r="D932" s="9"/>
      <x:c r="E932" s="9"/>
      <x:c r="F932" s="15"/>
      <x:c r="G932" s="15"/>
      <x:c r="H932" s="17" t="str">
        <x:f>IF(B932="","",IF(NOT(AND(ISNUMBER(F932),ISNUMBER(G932))),"",SUM(F932:G932)))</x:f>
      </x:c>
      <x:c r="I932" s="9"/>
      <x:c r="J932" s="9"/>
      <x:c r="K932" s="9"/>
    </x:row>
    <x:row r="933" ht="22" customHeight="1">
      <x:c r="A933" s="11"/>
      <x:c r="B933" s="9"/>
      <x:c r="C933" s="9"/>
      <x:c r="D933" s="9"/>
      <x:c r="E933" s="9"/>
      <x:c r="F933" s="15"/>
      <x:c r="G933" s="15"/>
      <x:c r="H933" s="17" t="str">
        <x:f>IF(B933="","",IF(NOT(AND(ISNUMBER(F933),ISNUMBER(G933))),"",SUM(F933:G933)))</x:f>
      </x:c>
      <x:c r="I933" s="9"/>
      <x:c r="J933" s="9"/>
      <x:c r="K933" s="9"/>
    </x:row>
    <x:row r="934" ht="22" customHeight="1">
      <x:c r="A934" s="11"/>
      <x:c r="B934" s="9"/>
      <x:c r="C934" s="9"/>
      <x:c r="D934" s="9"/>
      <x:c r="E934" s="9"/>
      <x:c r="F934" s="15"/>
      <x:c r="G934" s="15"/>
      <x:c r="H934" s="17" t="str">
        <x:f>IF(B934="","",IF(NOT(AND(ISNUMBER(F934),ISNUMBER(G934))),"",SUM(F934:G934)))</x:f>
      </x:c>
      <x:c r="I934" s="9"/>
      <x:c r="J934" s="9"/>
      <x:c r="K934" s="9"/>
    </x:row>
    <x:row r="935" ht="22" customHeight="1">
      <x:c r="A935" s="11"/>
      <x:c r="B935" s="9"/>
      <x:c r="C935" s="9"/>
      <x:c r="D935" s="9"/>
      <x:c r="E935" s="9"/>
      <x:c r="F935" s="15"/>
      <x:c r="G935" s="15"/>
      <x:c r="H935" s="17" t="str">
        <x:f>IF(B935="","",IF(NOT(AND(ISNUMBER(F935),ISNUMBER(G935))),"",SUM(F935:G935)))</x:f>
      </x:c>
      <x:c r="I935" s="9"/>
      <x:c r="J935" s="9"/>
      <x:c r="K935" s="9"/>
    </x:row>
    <x:row r="936" ht="22" customHeight="1">
      <x:c r="A936" s="11"/>
      <x:c r="B936" s="9"/>
      <x:c r="C936" s="9"/>
      <x:c r="D936" s="9"/>
      <x:c r="E936" s="9"/>
      <x:c r="F936" s="15"/>
      <x:c r="G936" s="15"/>
      <x:c r="H936" s="17" t="str">
        <x:f>IF(B936="","",IF(NOT(AND(ISNUMBER(F936),ISNUMBER(G936))),"",SUM(F936:G936)))</x:f>
      </x:c>
      <x:c r="I936" s="9"/>
      <x:c r="J936" s="9"/>
      <x:c r="K936" s="9"/>
    </x:row>
    <x:row r="937" ht="22" customHeight="1">
      <x:c r="A937" s="11"/>
      <x:c r="B937" s="9"/>
      <x:c r="C937" s="9"/>
      <x:c r="D937" s="9"/>
      <x:c r="E937" s="9"/>
      <x:c r="F937" s="15"/>
      <x:c r="G937" s="15"/>
      <x:c r="H937" s="17" t="str">
        <x:f>IF(B937="","",IF(NOT(AND(ISNUMBER(F937),ISNUMBER(G937))),"",SUM(F937:G937)))</x:f>
      </x:c>
      <x:c r="I937" s="9"/>
      <x:c r="J937" s="9"/>
      <x:c r="K937" s="9"/>
    </x:row>
    <x:row r="938" ht="22" customHeight="1">
      <x:c r="A938" s="11"/>
      <x:c r="B938" s="9"/>
      <x:c r="C938" s="9"/>
      <x:c r="D938" s="9"/>
      <x:c r="E938" s="9"/>
      <x:c r="F938" s="15"/>
      <x:c r="G938" s="15"/>
      <x:c r="H938" s="17" t="str">
        <x:f>IF(B938="","",IF(NOT(AND(ISNUMBER(F938),ISNUMBER(G938))),"",SUM(F938:G938)))</x:f>
      </x:c>
      <x:c r="I938" s="9"/>
      <x:c r="J938" s="9"/>
      <x:c r="K938" s="9"/>
    </x:row>
    <x:row r="939" ht="22" customHeight="1">
      <x:c r="A939" s="11"/>
      <x:c r="B939" s="9"/>
      <x:c r="C939" s="9"/>
      <x:c r="D939" s="9"/>
      <x:c r="E939" s="9"/>
      <x:c r="F939" s="15"/>
      <x:c r="G939" s="15"/>
      <x:c r="H939" s="17" t="str">
        <x:f>IF(B939="","",IF(NOT(AND(ISNUMBER(F939),ISNUMBER(G939))),"",SUM(F939:G939)))</x:f>
      </x:c>
      <x:c r="I939" s="9"/>
      <x:c r="J939" s="9"/>
      <x:c r="K939" s="9"/>
    </x:row>
    <x:row r="940" ht="22" customHeight="1">
      <x:c r="A940" s="11"/>
      <x:c r="B940" s="9"/>
      <x:c r="C940" s="9"/>
      <x:c r="D940" s="9"/>
      <x:c r="E940" s="9"/>
      <x:c r="F940" s="15"/>
      <x:c r="G940" s="15"/>
      <x:c r="H940" s="17" t="str">
        <x:f>IF(B940="","",IF(NOT(AND(ISNUMBER(F940),ISNUMBER(G940))),"",SUM(F940:G940)))</x:f>
      </x:c>
      <x:c r="I940" s="9"/>
      <x:c r="J940" s="9"/>
      <x:c r="K940" s="9"/>
    </x:row>
    <x:row r="941" ht="22" customHeight="1">
      <x:c r="A941" s="11"/>
      <x:c r="B941" s="9"/>
      <x:c r="C941" s="9"/>
      <x:c r="D941" s="9"/>
      <x:c r="E941" s="9"/>
      <x:c r="F941" s="15"/>
      <x:c r="G941" s="15"/>
      <x:c r="H941" s="17" t="str">
        <x:f>IF(B941="","",IF(NOT(AND(ISNUMBER(F941),ISNUMBER(G941))),"",SUM(F941:G941)))</x:f>
      </x:c>
      <x:c r="I941" s="9"/>
      <x:c r="J941" s="9"/>
      <x:c r="K941" s="9"/>
    </x:row>
    <x:row r="942" ht="22" customHeight="1">
      <x:c r="A942" s="11"/>
      <x:c r="B942" s="9"/>
      <x:c r="C942" s="9"/>
      <x:c r="D942" s="9"/>
      <x:c r="E942" s="9"/>
      <x:c r="F942" s="15"/>
      <x:c r="G942" s="15"/>
      <x:c r="H942" s="17" t="str">
        <x:f>IF(B942="","",IF(NOT(AND(ISNUMBER(F942),ISNUMBER(G942))),"",SUM(F942:G942)))</x:f>
      </x:c>
      <x:c r="I942" s="9"/>
      <x:c r="J942" s="9"/>
      <x:c r="K942" s="9"/>
    </x:row>
    <x:row r="943" ht="22" customHeight="1">
      <x:c r="A943" s="11"/>
      <x:c r="B943" s="9"/>
      <x:c r="C943" s="9"/>
      <x:c r="D943" s="9"/>
      <x:c r="E943" s="9"/>
      <x:c r="F943" s="15"/>
      <x:c r="G943" s="15"/>
      <x:c r="H943" s="17" t="str">
        <x:f>IF(B943="","",IF(NOT(AND(ISNUMBER(F943),ISNUMBER(G943))),"",SUM(F943:G943)))</x:f>
      </x:c>
      <x:c r="I943" s="9"/>
      <x:c r="J943" s="9"/>
      <x:c r="K943" s="9"/>
    </x:row>
    <x:row r="944" ht="22" customHeight="1">
      <x:c r="A944" s="11"/>
      <x:c r="B944" s="9"/>
      <x:c r="C944" s="9"/>
      <x:c r="D944" s="9"/>
      <x:c r="E944" s="9"/>
      <x:c r="F944" s="15"/>
      <x:c r="G944" s="15"/>
      <x:c r="H944" s="17" t="str">
        <x:f>IF(B944="","",IF(NOT(AND(ISNUMBER(F944),ISNUMBER(G944))),"",SUM(F944:G944)))</x:f>
      </x:c>
      <x:c r="I944" s="9"/>
      <x:c r="J944" s="9"/>
      <x:c r="K944" s="9"/>
    </x:row>
    <x:row r="945" ht="22" customHeight="1">
      <x:c r="A945" s="11"/>
      <x:c r="B945" s="9"/>
      <x:c r="C945" s="9"/>
      <x:c r="D945" s="9"/>
      <x:c r="E945" s="9"/>
      <x:c r="F945" s="15"/>
      <x:c r="G945" s="15"/>
      <x:c r="H945" s="17" t="str">
        <x:f>IF(B945="","",IF(NOT(AND(ISNUMBER(F945),ISNUMBER(G945))),"",SUM(F945:G945)))</x:f>
      </x:c>
      <x:c r="I945" s="9"/>
      <x:c r="J945" s="9"/>
      <x:c r="K945" s="9"/>
    </x:row>
    <x:row r="946" ht="22" customHeight="1">
      <x:c r="A946" s="11"/>
      <x:c r="B946" s="9"/>
      <x:c r="C946" s="9"/>
      <x:c r="D946" s="9"/>
      <x:c r="E946" s="9"/>
      <x:c r="F946" s="15"/>
      <x:c r="G946" s="15"/>
      <x:c r="H946" s="17" t="str">
        <x:f>IF(B946="","",IF(NOT(AND(ISNUMBER(F946),ISNUMBER(G946))),"",SUM(F946:G946)))</x:f>
      </x:c>
      <x:c r="I946" s="9"/>
      <x:c r="J946" s="9"/>
      <x:c r="K946" s="9"/>
    </x:row>
    <x:row r="947" ht="22" customHeight="1">
      <x:c r="A947" s="11"/>
      <x:c r="B947" s="9"/>
      <x:c r="C947" s="9"/>
      <x:c r="D947" s="9"/>
      <x:c r="E947" s="9"/>
      <x:c r="F947" s="15"/>
      <x:c r="G947" s="15"/>
      <x:c r="H947" s="17" t="str">
        <x:f>IF(B947="","",IF(NOT(AND(ISNUMBER(F947),ISNUMBER(G947))),"",SUM(F947:G947)))</x:f>
      </x:c>
      <x:c r="I947" s="9"/>
      <x:c r="J947" s="9"/>
      <x:c r="K947" s="9"/>
    </x:row>
    <x:row r="948" ht="22" customHeight="1">
      <x:c r="A948" s="11"/>
      <x:c r="B948" s="9"/>
      <x:c r="C948" s="9"/>
      <x:c r="D948" s="9"/>
      <x:c r="E948" s="9"/>
      <x:c r="F948" s="15"/>
      <x:c r="G948" s="15"/>
      <x:c r="H948" s="17" t="str">
        <x:f>IF(B948="","",IF(NOT(AND(ISNUMBER(F948),ISNUMBER(G948))),"",SUM(F948:G948)))</x:f>
      </x:c>
      <x:c r="I948" s="9"/>
      <x:c r="J948" s="9"/>
      <x:c r="K948" s="9"/>
    </x:row>
    <x:row r="949" ht="22" customHeight="1">
      <x:c r="A949" s="11"/>
      <x:c r="B949" s="9"/>
      <x:c r="C949" s="9"/>
      <x:c r="D949" s="9"/>
      <x:c r="E949" s="9"/>
      <x:c r="F949" s="15"/>
      <x:c r="G949" s="15"/>
      <x:c r="H949" s="17" t="str">
        <x:f>IF(B949="","",IF(NOT(AND(ISNUMBER(F949),ISNUMBER(G949))),"",SUM(F949:G949)))</x:f>
      </x:c>
      <x:c r="I949" s="9"/>
      <x:c r="J949" s="9"/>
      <x:c r="K949" s="9"/>
    </x:row>
    <x:row r="950" ht="22" customHeight="1">
      <x:c r="A950" s="11"/>
      <x:c r="B950" s="9"/>
      <x:c r="C950" s="9"/>
      <x:c r="D950" s="9"/>
      <x:c r="E950" s="9"/>
      <x:c r="F950" s="15"/>
      <x:c r="G950" s="15"/>
      <x:c r="H950" s="17" t="str">
        <x:f>IF(B950="","",IF(NOT(AND(ISNUMBER(F950),ISNUMBER(G950))),"",SUM(F950:G950)))</x:f>
      </x:c>
      <x:c r="I950" s="9"/>
      <x:c r="J950" s="9"/>
      <x:c r="K950" s="9"/>
    </x:row>
    <x:row r="951" ht="22" customHeight="1">
      <x:c r="A951" s="11"/>
      <x:c r="B951" s="9"/>
      <x:c r="C951" s="9"/>
      <x:c r="D951" s="9"/>
      <x:c r="E951" s="9"/>
      <x:c r="F951" s="15"/>
      <x:c r="G951" s="15"/>
      <x:c r="H951" s="17" t="str">
        <x:f>IF(B951="","",IF(NOT(AND(ISNUMBER(F951),ISNUMBER(G951))),"",SUM(F951:G951)))</x:f>
      </x:c>
      <x:c r="I951" s="9"/>
      <x:c r="J951" s="9"/>
      <x:c r="K951" s="9"/>
    </x:row>
    <x:row r="952" ht="22" customHeight="1">
      <x:c r="A952" s="11"/>
      <x:c r="B952" s="9"/>
      <x:c r="C952" s="9"/>
      <x:c r="D952" s="9"/>
      <x:c r="E952" s="9"/>
      <x:c r="F952" s="15"/>
      <x:c r="G952" s="15"/>
      <x:c r="H952" s="17" t="str">
        <x:f>IF(B952="","",IF(NOT(AND(ISNUMBER(F952),ISNUMBER(G952))),"",SUM(F952:G952)))</x:f>
      </x:c>
      <x:c r="I952" s="9"/>
      <x:c r="J952" s="9"/>
      <x:c r="K952" s="9"/>
    </x:row>
    <x:row r="953" ht="22" customHeight="1">
      <x:c r="A953" s="11"/>
      <x:c r="B953" s="9"/>
      <x:c r="C953" s="9"/>
      <x:c r="D953" s="9"/>
      <x:c r="E953" s="9"/>
      <x:c r="F953" s="15"/>
      <x:c r="G953" s="15"/>
      <x:c r="H953" s="17" t="str">
        <x:f>IF(B953="","",IF(NOT(AND(ISNUMBER(F953),ISNUMBER(G953))),"",SUM(F953:G953)))</x:f>
      </x:c>
      <x:c r="I953" s="9"/>
      <x:c r="J953" s="9"/>
      <x:c r="K953" s="9"/>
    </x:row>
    <x:row r="954" ht="22" customHeight="1">
      <x:c r="A954" s="11"/>
      <x:c r="B954" s="9"/>
      <x:c r="C954" s="9"/>
      <x:c r="D954" s="9"/>
      <x:c r="E954" s="9"/>
      <x:c r="F954" s="15"/>
      <x:c r="G954" s="15"/>
      <x:c r="H954" s="17" t="str">
        <x:f>IF(B954="","",IF(NOT(AND(ISNUMBER(F954),ISNUMBER(G954))),"",SUM(F954:G954)))</x:f>
      </x:c>
      <x:c r="I954" s="9"/>
      <x:c r="J954" s="9"/>
      <x:c r="K954" s="9"/>
    </x:row>
    <x:row r="955" ht="22" customHeight="1">
      <x:c r="A955" s="11"/>
      <x:c r="B955" s="9"/>
      <x:c r="C955" s="9"/>
      <x:c r="D955" s="9"/>
      <x:c r="E955" s="9"/>
      <x:c r="F955" s="15"/>
      <x:c r="G955" s="15"/>
      <x:c r="H955" s="17" t="str">
        <x:f>IF(B955="","",IF(NOT(AND(ISNUMBER(F955),ISNUMBER(G955))),"",SUM(F955:G955)))</x:f>
      </x:c>
      <x:c r="I955" s="9"/>
      <x:c r="J955" s="9"/>
      <x:c r="K955" s="9"/>
    </x:row>
    <x:row r="956" ht="22" customHeight="1">
      <x:c r="A956" s="11"/>
      <x:c r="B956" s="9"/>
      <x:c r="C956" s="9"/>
      <x:c r="D956" s="9"/>
      <x:c r="E956" s="9"/>
      <x:c r="F956" s="15"/>
      <x:c r="G956" s="15"/>
      <x:c r="H956" s="17" t="str">
        <x:f>IF(B956="","",IF(NOT(AND(ISNUMBER(F956),ISNUMBER(G956))),"",SUM(F956:G956)))</x:f>
      </x:c>
      <x:c r="I956" s="9"/>
      <x:c r="J956" s="9"/>
      <x:c r="K956" s="9"/>
    </x:row>
    <x:row r="957" ht="22" customHeight="1">
      <x:c r="A957" s="11"/>
      <x:c r="B957" s="9"/>
      <x:c r="C957" s="9"/>
      <x:c r="D957" s="9"/>
      <x:c r="E957" s="9"/>
      <x:c r="F957" s="15"/>
      <x:c r="G957" s="15"/>
      <x:c r="H957" s="17" t="str">
        <x:f>IF(B957="","",IF(NOT(AND(ISNUMBER(F957),ISNUMBER(G957))),"",SUM(F957:G957)))</x:f>
      </x:c>
      <x:c r="I957" s="9"/>
      <x:c r="J957" s="9"/>
      <x:c r="K957" s="9"/>
    </x:row>
    <x:row r="958" ht="22" customHeight="1">
      <x:c r="A958" s="11"/>
      <x:c r="B958" s="9"/>
      <x:c r="C958" s="9"/>
      <x:c r="D958" s="9"/>
      <x:c r="E958" s="9"/>
      <x:c r="F958" s="15"/>
      <x:c r="G958" s="15"/>
      <x:c r="H958" s="17" t="str">
        <x:f>IF(B958="","",IF(NOT(AND(ISNUMBER(F958),ISNUMBER(G958))),"",SUM(F958:G958)))</x:f>
      </x:c>
      <x:c r="I958" s="9"/>
      <x:c r="J958" s="9"/>
      <x:c r="K958" s="9"/>
    </x:row>
    <x:row r="959" ht="22" customHeight="1">
      <x:c r="A959" s="11"/>
      <x:c r="B959" s="9"/>
      <x:c r="C959" s="9"/>
      <x:c r="D959" s="9"/>
      <x:c r="E959" s="9"/>
      <x:c r="F959" s="15"/>
      <x:c r="G959" s="15"/>
      <x:c r="H959" s="17" t="str">
        <x:f>IF(B959="","",IF(NOT(AND(ISNUMBER(F959),ISNUMBER(G959))),"",SUM(F959:G959)))</x:f>
      </x:c>
      <x:c r="I959" s="9"/>
      <x:c r="J959" s="9"/>
      <x:c r="K959" s="9"/>
    </x:row>
    <x:row r="960" ht="22" customHeight="1">
      <x:c r="A960" s="11"/>
      <x:c r="B960" s="9"/>
      <x:c r="C960" s="9"/>
      <x:c r="D960" s="9"/>
      <x:c r="E960" s="9"/>
      <x:c r="F960" s="15"/>
      <x:c r="G960" s="15"/>
      <x:c r="H960" s="17" t="str">
        <x:f>IF(B960="","",IF(NOT(AND(ISNUMBER(F960),ISNUMBER(G960))),"",SUM(F960:G960)))</x:f>
      </x:c>
      <x:c r="I960" s="9"/>
      <x:c r="J960" s="9"/>
      <x:c r="K960" s="9"/>
    </x:row>
    <x:row r="961" ht="22" customHeight="1">
      <x:c r="A961" s="11"/>
      <x:c r="B961" s="9"/>
      <x:c r="C961" s="9"/>
      <x:c r="D961" s="9"/>
      <x:c r="E961" s="9"/>
      <x:c r="F961" s="15"/>
      <x:c r="G961" s="15"/>
      <x:c r="H961" s="17" t="str">
        <x:f>IF(B961="","",IF(NOT(AND(ISNUMBER(F961),ISNUMBER(G961))),"",SUM(F961:G961)))</x:f>
      </x:c>
      <x:c r="I961" s="9"/>
      <x:c r="J961" s="9"/>
      <x:c r="K961" s="9"/>
    </x:row>
    <x:row r="962" ht="22" customHeight="1">
      <x:c r="A962" s="11"/>
      <x:c r="B962" s="9"/>
      <x:c r="C962" s="9"/>
      <x:c r="D962" s="9"/>
      <x:c r="E962" s="9"/>
      <x:c r="F962" s="15"/>
      <x:c r="G962" s="15"/>
      <x:c r="H962" s="17" t="str">
        <x:f>IF(B962="","",IF(NOT(AND(ISNUMBER(F962),ISNUMBER(G962))),"",SUM(F962:G962)))</x:f>
      </x:c>
      <x:c r="I962" s="9"/>
      <x:c r="J962" s="9"/>
      <x:c r="K962" s="9"/>
    </x:row>
    <x:row r="963" ht="22" customHeight="1">
      <x:c r="A963" s="11"/>
      <x:c r="B963" s="9"/>
      <x:c r="C963" s="9"/>
      <x:c r="D963" s="9"/>
      <x:c r="E963" s="9"/>
      <x:c r="F963" s="15"/>
      <x:c r="G963" s="15"/>
      <x:c r="H963" s="17" t="str">
        <x:f>IF(B963="","",IF(NOT(AND(ISNUMBER(F963),ISNUMBER(G963))),"",SUM(F963:G963)))</x:f>
      </x:c>
      <x:c r="I963" s="9"/>
      <x:c r="J963" s="9"/>
      <x:c r="K963" s="9"/>
    </x:row>
    <x:row r="964" ht="22" customHeight="1">
      <x:c r="A964" s="11"/>
      <x:c r="B964" s="9"/>
      <x:c r="C964" s="9"/>
      <x:c r="D964" s="9"/>
      <x:c r="E964" s="9"/>
      <x:c r="F964" s="15"/>
      <x:c r="G964" s="15"/>
      <x:c r="H964" s="17" t="str">
        <x:f>IF(B964="","",IF(NOT(AND(ISNUMBER(F964),ISNUMBER(G964))),"",SUM(F964:G964)))</x:f>
      </x:c>
      <x:c r="I964" s="9"/>
      <x:c r="J964" s="9"/>
      <x:c r="K964" s="9"/>
    </x:row>
    <x:row r="965" ht="22" customHeight="1">
      <x:c r="A965" s="11"/>
      <x:c r="B965" s="9"/>
      <x:c r="C965" s="9"/>
      <x:c r="D965" s="9"/>
      <x:c r="E965" s="9"/>
      <x:c r="F965" s="15"/>
      <x:c r="G965" s="15"/>
      <x:c r="H965" s="17" t="str">
        <x:f>IF(B965="","",IF(NOT(AND(ISNUMBER(F965),ISNUMBER(G965))),"",SUM(F965:G965)))</x:f>
      </x:c>
      <x:c r="I965" s="9"/>
      <x:c r="J965" s="9"/>
      <x:c r="K965" s="9"/>
    </x:row>
    <x:row r="966" ht="22" customHeight="1">
      <x:c r="A966" s="11"/>
      <x:c r="B966" s="9"/>
      <x:c r="C966" s="9"/>
      <x:c r="D966" s="9"/>
      <x:c r="E966" s="9"/>
      <x:c r="F966" s="15"/>
      <x:c r="G966" s="15"/>
      <x:c r="H966" s="17" t="str">
        <x:f>IF(B966="","",IF(NOT(AND(ISNUMBER(F966),ISNUMBER(G966))),"",SUM(F966:G966)))</x:f>
      </x:c>
      <x:c r="I966" s="9"/>
      <x:c r="J966" s="9"/>
      <x:c r="K966" s="9"/>
    </x:row>
    <x:row r="967" ht="22" customHeight="1">
      <x:c r="A967" s="11"/>
      <x:c r="B967" s="9"/>
      <x:c r="C967" s="9"/>
      <x:c r="D967" s="9"/>
      <x:c r="E967" s="9"/>
      <x:c r="F967" s="15"/>
      <x:c r="G967" s="15"/>
      <x:c r="H967" s="17" t="str">
        <x:f>IF(B967="","",IF(NOT(AND(ISNUMBER(F967),ISNUMBER(G967))),"",SUM(F967:G967)))</x:f>
      </x:c>
      <x:c r="I967" s="9"/>
      <x:c r="J967" s="9"/>
      <x:c r="K967" s="9"/>
    </x:row>
    <x:row r="968" ht="22" customHeight="1">
      <x:c r="A968" s="11"/>
      <x:c r="B968" s="9"/>
      <x:c r="C968" s="9"/>
      <x:c r="D968" s="9"/>
      <x:c r="E968" s="9"/>
      <x:c r="F968" s="15"/>
      <x:c r="G968" s="15"/>
      <x:c r="H968" s="17" t="str">
        <x:f>IF(B968="","",IF(NOT(AND(ISNUMBER(F968),ISNUMBER(G968))),"",SUM(F968:G968)))</x:f>
      </x:c>
      <x:c r="I968" s="9"/>
      <x:c r="J968" s="9"/>
      <x:c r="K968" s="9"/>
    </x:row>
    <x:row r="969" ht="22" customHeight="1">
      <x:c r="A969" s="11"/>
      <x:c r="B969" s="9"/>
      <x:c r="C969" s="9"/>
      <x:c r="D969" s="9"/>
      <x:c r="E969" s="9"/>
      <x:c r="F969" s="15"/>
      <x:c r="G969" s="15"/>
      <x:c r="H969" s="17" t="str">
        <x:f>IF(B969="","",IF(NOT(AND(ISNUMBER(F969),ISNUMBER(G969))),"",SUM(F969:G969)))</x:f>
      </x:c>
      <x:c r="I969" s="9"/>
      <x:c r="J969" s="9"/>
      <x:c r="K969" s="9"/>
    </x:row>
    <x:row r="970" ht="22" customHeight="1">
      <x:c r="A970" s="11"/>
      <x:c r="B970" s="9"/>
      <x:c r="C970" s="9"/>
      <x:c r="D970" s="9"/>
      <x:c r="E970" s="9"/>
      <x:c r="F970" s="15"/>
      <x:c r="G970" s="15"/>
      <x:c r="H970" s="17" t="str">
        <x:f>IF(B970="","",IF(NOT(AND(ISNUMBER(F970),ISNUMBER(G970))),"",SUM(F970:G970)))</x:f>
      </x:c>
      <x:c r="I970" s="9"/>
      <x:c r="J970" s="9"/>
      <x:c r="K970" s="9"/>
    </x:row>
    <x:row r="971" ht="22" customHeight="1">
      <x:c r="A971" s="11"/>
      <x:c r="B971" s="9"/>
      <x:c r="C971" s="9"/>
      <x:c r="D971" s="9"/>
      <x:c r="E971" s="9"/>
      <x:c r="F971" s="15"/>
      <x:c r="G971" s="15"/>
      <x:c r="H971" s="17" t="str">
        <x:f>IF(B971="","",IF(NOT(AND(ISNUMBER(F971),ISNUMBER(G971))),"",SUM(F971:G971)))</x:f>
      </x:c>
      <x:c r="I971" s="9"/>
      <x:c r="J971" s="9"/>
      <x:c r="K971" s="9"/>
    </x:row>
    <x:row r="972" ht="22" customHeight="1">
      <x:c r="A972" s="11"/>
      <x:c r="B972" s="9"/>
      <x:c r="C972" s="9"/>
      <x:c r="D972" s="9"/>
      <x:c r="E972" s="9"/>
      <x:c r="F972" s="15"/>
      <x:c r="G972" s="15"/>
      <x:c r="H972" s="17" t="str">
        <x:f>IF(B972="","",IF(NOT(AND(ISNUMBER(F972),ISNUMBER(G972))),"",SUM(F972:G972)))</x:f>
      </x:c>
      <x:c r="I972" s="9"/>
      <x:c r="J972" s="9"/>
      <x:c r="K972" s="9"/>
    </x:row>
    <x:row r="973" ht="22" customHeight="1">
      <x:c r="A973" s="11"/>
      <x:c r="B973" s="9"/>
      <x:c r="C973" s="9"/>
      <x:c r="D973" s="9"/>
      <x:c r="E973" s="9"/>
      <x:c r="F973" s="15"/>
      <x:c r="G973" s="15"/>
      <x:c r="H973" s="17" t="str">
        <x:f>IF(B973="","",IF(NOT(AND(ISNUMBER(F973),ISNUMBER(G973))),"",SUM(F973:G973)))</x:f>
      </x:c>
      <x:c r="I973" s="9"/>
      <x:c r="J973" s="9"/>
      <x:c r="K973" s="9"/>
    </x:row>
    <x:row r="974" ht="22" customHeight="1">
      <x:c r="A974" s="11"/>
      <x:c r="B974" s="9"/>
      <x:c r="C974" s="9"/>
      <x:c r="D974" s="9"/>
      <x:c r="E974" s="9"/>
      <x:c r="F974" s="15"/>
      <x:c r="G974" s="15"/>
      <x:c r="H974" s="17" t="str">
        <x:f>IF(B974="","",IF(NOT(AND(ISNUMBER(F974),ISNUMBER(G974))),"",SUM(F974:G974)))</x:f>
      </x:c>
      <x:c r="I974" s="9"/>
      <x:c r="J974" s="9"/>
      <x:c r="K974" s="9"/>
    </x:row>
    <x:row r="975" ht="22" customHeight="1">
      <x:c r="A975" s="11"/>
      <x:c r="B975" s="9"/>
      <x:c r="C975" s="9"/>
      <x:c r="D975" s="9"/>
      <x:c r="E975" s="9"/>
      <x:c r="F975" s="15"/>
      <x:c r="G975" s="15"/>
      <x:c r="H975" s="17" t="str">
        <x:f>IF(B975="","",IF(NOT(AND(ISNUMBER(F975),ISNUMBER(G975))),"",SUM(F975:G975)))</x:f>
      </x:c>
      <x:c r="I975" s="9"/>
      <x:c r="J975" s="9"/>
      <x:c r="K975" s="9"/>
    </x:row>
    <x:row r="976" ht="22" customHeight="1">
      <x:c r="A976" s="11"/>
      <x:c r="B976" s="9"/>
      <x:c r="C976" s="9"/>
      <x:c r="D976" s="9"/>
      <x:c r="E976" s="9"/>
      <x:c r="F976" s="15"/>
      <x:c r="G976" s="15"/>
      <x:c r="H976" s="17" t="str">
        <x:f>IF(B976="","",IF(NOT(AND(ISNUMBER(F976),ISNUMBER(G976))),"",SUM(F976:G976)))</x:f>
      </x:c>
      <x:c r="I976" s="9"/>
      <x:c r="J976" s="9"/>
      <x:c r="K976" s="9"/>
    </x:row>
    <x:row r="977" ht="22" customHeight="1">
      <x:c r="A977" s="11"/>
      <x:c r="B977" s="9"/>
      <x:c r="C977" s="9"/>
      <x:c r="D977" s="9"/>
      <x:c r="E977" s="9"/>
      <x:c r="F977" s="15"/>
      <x:c r="G977" s="15"/>
      <x:c r="H977" s="17" t="str">
        <x:f>IF(B977="","",IF(NOT(AND(ISNUMBER(F977),ISNUMBER(G977))),"",SUM(F977:G977)))</x:f>
      </x:c>
      <x:c r="I977" s="9"/>
      <x:c r="J977" s="9"/>
      <x:c r="K977" s="9"/>
    </x:row>
    <x:row r="978" ht="22" customHeight="1">
      <x:c r="A978" s="11"/>
      <x:c r="B978" s="9"/>
      <x:c r="C978" s="9"/>
      <x:c r="D978" s="9"/>
      <x:c r="E978" s="9"/>
      <x:c r="F978" s="15"/>
      <x:c r="G978" s="15"/>
      <x:c r="H978" s="17" t="str">
        <x:f>IF(B978="","",IF(NOT(AND(ISNUMBER(F978),ISNUMBER(G978))),"",SUM(F978:G978)))</x:f>
      </x:c>
      <x:c r="I978" s="9"/>
      <x:c r="J978" s="9"/>
      <x:c r="K978" s="9"/>
    </x:row>
    <x:row r="979" ht="22" customHeight="1">
      <x:c r="A979" s="11"/>
      <x:c r="B979" s="9"/>
      <x:c r="C979" s="9"/>
      <x:c r="D979" s="9"/>
      <x:c r="E979" s="9"/>
      <x:c r="F979" s="15"/>
      <x:c r="G979" s="15"/>
      <x:c r="H979" s="17" t="str">
        <x:f>IF(B979="","",IF(NOT(AND(ISNUMBER(F979),ISNUMBER(G979))),"",SUM(F979:G979)))</x:f>
      </x:c>
      <x:c r="I979" s="9"/>
      <x:c r="J979" s="9"/>
      <x:c r="K979" s="9"/>
    </x:row>
    <x:row r="980" ht="22" customHeight="1">
      <x:c r="A980" s="11"/>
      <x:c r="B980" s="9"/>
      <x:c r="C980" s="9"/>
      <x:c r="D980" s="9"/>
      <x:c r="E980" s="9"/>
      <x:c r="F980" s="15"/>
      <x:c r="G980" s="15"/>
      <x:c r="H980" s="17" t="str">
        <x:f>IF(B980="","",IF(NOT(AND(ISNUMBER(F980),ISNUMBER(G980))),"",SUM(F980:G980)))</x:f>
      </x:c>
      <x:c r="I980" s="9"/>
      <x:c r="J980" s="9"/>
      <x:c r="K980" s="9"/>
    </x:row>
    <x:row r="981" ht="22" customHeight="1">
      <x:c r="A981" s="11"/>
      <x:c r="B981" s="9"/>
      <x:c r="C981" s="9"/>
      <x:c r="D981" s="9"/>
      <x:c r="E981" s="9"/>
      <x:c r="F981" s="15"/>
      <x:c r="G981" s="15"/>
      <x:c r="H981" s="17" t="str">
        <x:f>IF(B981="","",IF(NOT(AND(ISNUMBER(F981),ISNUMBER(G981))),"",SUM(F981:G981)))</x:f>
      </x:c>
      <x:c r="I981" s="9"/>
      <x:c r="J981" s="9"/>
      <x:c r="K981" s="9"/>
    </x:row>
    <x:row r="982" ht="22" customHeight="1">
      <x:c r="A982" s="11"/>
      <x:c r="B982" s="9"/>
      <x:c r="C982" s="9"/>
      <x:c r="D982" s="9"/>
      <x:c r="E982" s="9"/>
      <x:c r="F982" s="15"/>
      <x:c r="G982" s="15"/>
      <x:c r="H982" s="17" t="str">
        <x:f>IF(B982="","",IF(NOT(AND(ISNUMBER(F982),ISNUMBER(G982))),"",SUM(F982:G982)))</x:f>
      </x:c>
      <x:c r="I982" s="9"/>
      <x:c r="J982" s="9"/>
      <x:c r="K982" s="9"/>
    </x:row>
    <x:row r="983" ht="22" customHeight="1">
      <x:c r="A983" s="11"/>
      <x:c r="B983" s="9"/>
      <x:c r="C983" s="9"/>
      <x:c r="D983" s="9"/>
      <x:c r="E983" s="9"/>
      <x:c r="F983" s="15"/>
      <x:c r="G983" s="15"/>
      <x:c r="H983" s="17" t="str">
        <x:f>IF(B983="","",IF(NOT(AND(ISNUMBER(F983),ISNUMBER(G983))),"",SUM(F983:G983)))</x:f>
      </x:c>
      <x:c r="I983" s="9"/>
      <x:c r="J983" s="9"/>
      <x:c r="K983" s="9"/>
    </x:row>
    <x:row r="984" ht="22" customHeight="1">
      <x:c r="A984" s="11"/>
      <x:c r="B984" s="9"/>
      <x:c r="C984" s="9"/>
      <x:c r="D984" s="9"/>
      <x:c r="E984" s="9"/>
      <x:c r="F984" s="15"/>
      <x:c r="G984" s="15"/>
      <x:c r="H984" s="17" t="str">
        <x:f>IF(B984="","",IF(NOT(AND(ISNUMBER(F984),ISNUMBER(G984))),"",SUM(F984:G984)))</x:f>
      </x:c>
      <x:c r="I984" s="9"/>
      <x:c r="J984" s="9"/>
      <x:c r="K984" s="9"/>
    </x:row>
    <x:row r="985" ht="22" customHeight="1">
      <x:c r="A985" s="11"/>
      <x:c r="B985" s="9"/>
      <x:c r="C985" s="9"/>
      <x:c r="D985" s="9"/>
      <x:c r="E985" s="9"/>
      <x:c r="F985" s="15"/>
      <x:c r="G985" s="15"/>
      <x:c r="H985" s="17" t="str">
        <x:f>IF(B985="","",IF(NOT(AND(ISNUMBER(F985),ISNUMBER(G985))),"",SUM(F985:G985)))</x:f>
      </x:c>
      <x:c r="I985" s="9"/>
      <x:c r="J985" s="9"/>
      <x:c r="K985" s="9"/>
    </x:row>
    <x:row r="986" ht="22" customHeight="1">
      <x:c r="A986" s="11"/>
      <x:c r="B986" s="9"/>
      <x:c r="C986" s="9"/>
      <x:c r="D986" s="9"/>
      <x:c r="E986" s="9"/>
      <x:c r="F986" s="15"/>
      <x:c r="G986" s="15"/>
      <x:c r="H986" s="17" t="str">
        <x:f>IF(B986="","",IF(NOT(AND(ISNUMBER(F986),ISNUMBER(G986))),"",SUM(F986:G986)))</x:f>
      </x:c>
      <x:c r="I986" s="9"/>
      <x:c r="J986" s="9"/>
      <x:c r="K986" s="9"/>
    </x:row>
    <x:row r="987" ht="22" customHeight="1">
      <x:c r="A987" s="11"/>
      <x:c r="B987" s="9"/>
      <x:c r="C987" s="9"/>
      <x:c r="D987" s="9"/>
      <x:c r="E987" s="9"/>
      <x:c r="F987" s="15"/>
      <x:c r="G987" s="15"/>
      <x:c r="H987" s="17" t="str">
        <x:f>IF(B987="","",IF(NOT(AND(ISNUMBER(F987),ISNUMBER(G987))),"",SUM(F987:G987)))</x:f>
      </x:c>
      <x:c r="I987" s="9"/>
      <x:c r="J987" s="9"/>
      <x:c r="K987" s="9"/>
    </x:row>
    <x:row r="988" ht="22" customHeight="1">
      <x:c r="A988" s="11"/>
      <x:c r="B988" s="9"/>
      <x:c r="C988" s="9"/>
      <x:c r="D988" s="9"/>
      <x:c r="E988" s="9"/>
      <x:c r="F988" s="15"/>
      <x:c r="G988" s="15"/>
      <x:c r="H988" s="17" t="str">
        <x:f>IF(B988="","",IF(NOT(AND(ISNUMBER(F988),ISNUMBER(G988))),"",SUM(F988:G988)))</x:f>
      </x:c>
      <x:c r="I988" s="9"/>
      <x:c r="J988" s="9"/>
      <x:c r="K988" s="9"/>
    </x:row>
    <x:row r="989" ht="22" customHeight="1">
      <x:c r="A989" s="11"/>
      <x:c r="B989" s="9"/>
      <x:c r="C989" s="9"/>
      <x:c r="D989" s="9"/>
      <x:c r="E989" s="9"/>
      <x:c r="F989" s="15"/>
      <x:c r="G989" s="15"/>
      <x:c r="H989" s="17" t="str">
        <x:f>IF(B989="","",IF(NOT(AND(ISNUMBER(F989),ISNUMBER(G989))),"",SUM(F989:G989)))</x:f>
      </x:c>
      <x:c r="I989" s="9"/>
      <x:c r="J989" s="9"/>
      <x:c r="K989" s="9"/>
    </x:row>
    <x:row r="990" ht="22" customHeight="1">
      <x:c r="A990" s="11"/>
      <x:c r="B990" s="9"/>
      <x:c r="C990" s="9"/>
      <x:c r="D990" s="9"/>
      <x:c r="E990" s="9"/>
      <x:c r="F990" s="15"/>
      <x:c r="G990" s="15"/>
      <x:c r="H990" s="17" t="str">
        <x:f>IF(B990="","",IF(NOT(AND(ISNUMBER(F990),ISNUMBER(G990))),"",SUM(F990:G990)))</x:f>
      </x:c>
      <x:c r="I990" s="9"/>
      <x:c r="J990" s="9"/>
      <x:c r="K990" s="9"/>
    </x:row>
    <x:row r="991" ht="22" customHeight="1">
      <x:c r="A991" s="11"/>
      <x:c r="B991" s="9"/>
      <x:c r="C991" s="9"/>
      <x:c r="D991" s="9"/>
      <x:c r="E991" s="9"/>
      <x:c r="F991" s="15"/>
      <x:c r="G991" s="15"/>
      <x:c r="H991" s="17" t="str">
        <x:f>IF(B991="","",IF(NOT(AND(ISNUMBER(F991),ISNUMBER(G991))),"",SUM(F991:G991)))</x:f>
      </x:c>
      <x:c r="I991" s="9"/>
      <x:c r="J991" s="9"/>
      <x:c r="K991" s="9"/>
    </x:row>
    <x:row r="992" ht="22" customHeight="1">
      <x:c r="A992" s="11"/>
      <x:c r="B992" s="9"/>
      <x:c r="C992" s="9"/>
      <x:c r="D992" s="9"/>
      <x:c r="E992" s="9"/>
      <x:c r="F992" s="15"/>
      <x:c r="G992" s="15"/>
      <x:c r="H992" s="17" t="str">
        <x:f>IF(B992="","",IF(NOT(AND(ISNUMBER(F992),ISNUMBER(G992))),"",SUM(F992:G992)))</x:f>
      </x:c>
      <x:c r="I992" s="9"/>
      <x:c r="J992" s="9"/>
      <x:c r="K992" s="9"/>
    </x:row>
    <x:row r="993" ht="22" customHeight="1">
      <x:c r="A993" s="11"/>
      <x:c r="B993" s="9"/>
      <x:c r="C993" s="9"/>
      <x:c r="D993" s="9"/>
      <x:c r="E993" s="9"/>
      <x:c r="F993" s="15"/>
      <x:c r="G993" s="15"/>
      <x:c r="H993" s="17" t="str">
        <x:f>IF(B993="","",IF(NOT(AND(ISNUMBER(F993),ISNUMBER(G993))),"",SUM(F993:G993)))</x:f>
      </x:c>
      <x:c r="I993" s="9"/>
      <x:c r="J993" s="9"/>
      <x:c r="K993" s="9"/>
    </x:row>
    <x:row r="994" ht="22" customHeight="1">
      <x:c r="A994" s="11"/>
      <x:c r="B994" s="9"/>
      <x:c r="C994" s="9"/>
      <x:c r="D994" s="9"/>
      <x:c r="E994" s="9"/>
      <x:c r="F994" s="15"/>
      <x:c r="G994" s="15"/>
      <x:c r="H994" s="17" t="str">
        <x:f>IF(B994="","",IF(NOT(AND(ISNUMBER(F994),ISNUMBER(G994))),"",SUM(F994:G994)))</x:f>
      </x:c>
      <x:c r="I994" s="9"/>
      <x:c r="J994" s="9"/>
      <x:c r="K994" s="9"/>
    </x:row>
    <x:row r="995" ht="22" customHeight="1">
      <x:c r="A995" s="11"/>
      <x:c r="B995" s="9"/>
      <x:c r="C995" s="9"/>
      <x:c r="D995" s="9"/>
      <x:c r="E995" s="9"/>
      <x:c r="F995" s="15"/>
      <x:c r="G995" s="15"/>
      <x:c r="H995" s="17" t="str">
        <x:f>IF(B995="","",IF(NOT(AND(ISNUMBER(F995),ISNUMBER(G995))),"",SUM(F995:G995)))</x:f>
      </x:c>
      <x:c r="I995" s="9"/>
      <x:c r="J995" s="9"/>
      <x:c r="K995" s="9"/>
    </x:row>
    <x:row r="996" ht="22" customHeight="1">
      <x:c r="A996" s="11"/>
      <x:c r="B996" s="9"/>
      <x:c r="C996" s="9"/>
      <x:c r="D996" s="9"/>
      <x:c r="E996" s="9"/>
      <x:c r="F996" s="15"/>
      <x:c r="G996" s="15"/>
      <x:c r="H996" s="17" t="str">
        <x:f>IF(B996="","",IF(NOT(AND(ISNUMBER(F996),ISNUMBER(G996))),"",SUM(F996:G996)))</x:f>
      </x:c>
      <x:c r="I996" s="9"/>
      <x:c r="J996" s="9"/>
      <x:c r="K996" s="9"/>
    </x:row>
    <x:row r="997" ht="22" customHeight="1">
      <x:c r="A997" s="11"/>
      <x:c r="B997" s="9"/>
      <x:c r="C997" s="9"/>
      <x:c r="D997" s="9"/>
      <x:c r="E997" s="9"/>
      <x:c r="F997" s="15"/>
      <x:c r="G997" s="15"/>
      <x:c r="H997" s="17" t="str">
        <x:f>IF(B997="","",IF(NOT(AND(ISNUMBER(F997),ISNUMBER(G997))),"",SUM(F997:G997)))</x:f>
      </x:c>
      <x:c r="I997" s="9"/>
      <x:c r="J997" s="9"/>
      <x:c r="K997" s="9"/>
    </x:row>
    <x:row r="998" ht="22" customHeight="1">
      <x:c r="A998" s="11"/>
      <x:c r="B998" s="9"/>
      <x:c r="C998" s="9"/>
      <x:c r="D998" s="9"/>
      <x:c r="E998" s="9"/>
      <x:c r="F998" s="15"/>
      <x:c r="G998" s="15"/>
      <x:c r="H998" s="17" t="str">
        <x:f>IF(B998="","",IF(NOT(AND(ISNUMBER(F998),ISNUMBER(G998))),"",SUM(F998:G998)))</x:f>
      </x:c>
      <x:c r="I998" s="9"/>
      <x:c r="J998" s="9"/>
      <x:c r="K998" s="9"/>
    </x:row>
    <x:row r="999" ht="22" customHeight="1">
      <x:c r="A999" s="11"/>
      <x:c r="B999" s="9"/>
      <x:c r="C999" s="9"/>
      <x:c r="D999" s="9"/>
      <x:c r="E999" s="9"/>
      <x:c r="F999" s="15"/>
      <x:c r="G999" s="15"/>
      <x:c r="H999" s="17" t="str">
        <x:f>IF(B999="","",IF(NOT(AND(ISNUMBER(F999),ISNUMBER(G999))),"",SUM(F999:G999)))</x:f>
      </x:c>
      <x:c r="I999" s="9"/>
      <x:c r="J999" s="9"/>
      <x:c r="K999" s="9"/>
    </x:row>
    <x:row r="1000" ht="22" customHeight="1">
      <x:c r="A1000" s="11"/>
      <x:c r="B1000" s="9"/>
      <x:c r="C1000" s="9"/>
      <x:c r="D1000" s="9"/>
      <x:c r="E1000" s="9"/>
      <x:c r="F1000" s="15"/>
      <x:c r="G1000" s="15"/>
      <x:c r="H1000" s="17" t="str">
        <x:f>IF(B1000="","",IF(NOT(AND(ISNUMBER(F1000),ISNUMBER(G1000))),"",SUM(F1000:G1000)))</x:f>
      </x:c>
      <x:c r="I1000" s="9"/>
      <x:c r="J1000" s="9"/>
      <x:c r="K1000" s="9"/>
    </x:row>
    <x:row r="1001" ht="22" customHeight="1">
      <x:c r="A1001" s="11"/>
      <x:c r="B1001" s="9"/>
      <x:c r="C1001" s="9"/>
      <x:c r="D1001" s="9"/>
      <x:c r="E1001" s="9"/>
      <x:c r="F1001" s="15"/>
      <x:c r="G1001" s="15"/>
      <x:c r="H1001" s="17" t="str">
        <x:f>IF(B1001="","",IF(NOT(AND(ISNUMBER(F1001),ISNUMBER(G1001))),"",SUM(F1001:G1001)))</x:f>
      </x:c>
      <x:c r="I1001" s="9"/>
      <x:c r="J1001" s="9"/>
      <x:c r="K1001" s="9"/>
    </x:row>
    <x:row r="1002" ht="22" customHeight="1">
      <x:c r="A1002" s="11"/>
      <x:c r="B1002" s="9"/>
      <x:c r="C1002" s="9"/>
      <x:c r="D1002" s="9"/>
      <x:c r="E1002" s="9"/>
      <x:c r="F1002" s="15"/>
      <x:c r="G1002" s="15"/>
      <x:c r="H1002" s="17" t="str">
        <x:f>IF(B1002="","",IF(NOT(AND(ISNUMBER(F1002),ISNUMBER(G1002))),"",SUM(F1002:G1002)))</x:f>
      </x:c>
      <x:c r="I1002" s="9"/>
      <x:c r="J1002" s="9"/>
      <x:c r="K1002" s="9"/>
    </x:row>
    <x:row r="1003" ht="22" customHeight="1">
      <x:c r="A1003" s="11"/>
      <x:c r="B1003" s="9"/>
      <x:c r="C1003" s="9"/>
      <x:c r="D1003" s="9"/>
      <x:c r="E1003" s="9"/>
      <x:c r="F1003" s="15"/>
      <x:c r="G1003" s="15"/>
      <x:c r="H1003" s="17" t="str">
        <x:f>IF(B1003="","",IF(NOT(AND(ISNUMBER(F1003),ISNUMBER(G1003))),"",SUM(F1003:G1003)))</x:f>
      </x:c>
      <x:c r="I1003" s="9"/>
      <x:c r="J1003" s="9"/>
      <x:c r="K1003" s="9"/>
    </x:row>
    <x:row r="1004" ht="22" customHeight="1">
      <x:c r="A1004" s="11"/>
      <x:c r="B1004" s="9"/>
      <x:c r="C1004" s="9"/>
      <x:c r="D1004" s="9"/>
      <x:c r="E1004" s="9"/>
      <x:c r="F1004" s="15"/>
      <x:c r="G1004" s="15"/>
      <x:c r="H1004" s="17" t="str">
        <x:f>IF(B1004="","",IF(NOT(AND(ISNUMBER(F1004),ISNUMBER(G1004))),"",SUM(F1004:G1004)))</x:f>
      </x:c>
      <x:c r="I1004" s="9"/>
      <x:c r="J1004" s="9"/>
      <x:c r="K1004" s="9"/>
    </x:row>
    <x:row r="1005" ht="22" customHeight="1">
      <x:c r="A1005" s="11"/>
      <x:c r="B1005" s="9"/>
      <x:c r="C1005" s="9"/>
      <x:c r="D1005" s="9"/>
      <x:c r="E1005" s="9"/>
      <x:c r="F1005" s="15"/>
      <x:c r="G1005" s="15"/>
      <x:c r="H1005" s="17" t="str">
        <x:f>IF(B1005="","",IF(NOT(AND(ISNUMBER(F1005),ISNUMBER(G1005))),"",SUM(F1005:G1005)))</x:f>
      </x:c>
      <x:c r="I1005" s="9"/>
      <x:c r="J1005" s="9"/>
      <x:c r="K1005" s="9"/>
    </x:row>
    <x:row r="1006" ht="22" customHeight="1">
      <x:c r="A1006" s="11"/>
      <x:c r="B1006" s="9"/>
      <x:c r="C1006" s="9"/>
      <x:c r="D1006" s="9"/>
      <x:c r="E1006" s="9"/>
      <x:c r="F1006" s="15"/>
      <x:c r="G1006" s="15"/>
      <x:c r="H1006" s="17" t="str">
        <x:f>IF(B1006="","",IF(NOT(AND(ISNUMBER(F1006),ISNUMBER(G1006))),"",SUM(F1006:G1006)))</x:f>
      </x:c>
      <x:c r="I1006" s="9"/>
      <x:c r="J1006" s="9"/>
      <x:c r="K1006" s="9"/>
    </x:row>
  </x:sheetData>
  <x:mergeCells>
    <x:mergeCell ref="A4:K4"/>
  </x:mergeCells>
  <x:pageMargins left="0.7" right="0.7" top="0.75" bottom="0.75" header="0.3" footer="0.3"/>
  <x:tableParts count="1">
    <x:tablePart xmlns:r="http://schemas.openxmlformats.org/officeDocument/2006/relationships" r:id="Ra11de9357cbb49e1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38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Activos y deudas al cierre</x:v>
      </x:c>
      <x:c r="B2" s="2"/>
      <x:c r="C2" s="2"/>
      <x:c r="D2" s="2"/>
      <x:c r="E2" s="2"/>
      <x:c r="F2" s="2"/>
      <x:c r="G2" s="2"/>
      <x:c r="H2" s="2"/>
    </x:row>
    <x:row r="3">
      <x:c r="A3" s="4"/>
      <x:c r="B3" s="4"/>
      <x:c r="C3" s="4"/>
      <x:c r="D3" s="4"/>
      <x:c r="E3" s="4"/>
      <x:c r="F3" s="4"/>
      <x:c r="G3" s="4"/>
      <x:c r="H3" s="4"/>
    </x:row>
    <x:row r="4">
      <x:c r="A4" s="2" t="str">
        <x:v>Registrar saldos de cierre con soporte: caja, bancos, cartera, inventario, activos, obligaciones. No sumar movimientos como saldos.</x:v>
      </x:c>
      <x:c r="B4" s="2"/>
      <x:c r="C4" s="2"/>
      <x:c r="D4" s="2"/>
      <x:c r="E4" s="2"/>
      <x:c r="F4" s="2"/>
      <x:c r="G4" s="2"/>
      <x:c r="H4" s="2"/>
    </x:row>
    <x:row r="5">
      <x:c r="A5" s="2"/>
      <x:c r="B5" s="2"/>
      <x:c r="C5" s="2"/>
      <x:c r="D5" s="2"/>
      <x:c r="E5" s="2"/>
      <x:c r="F5" s="2"/>
      <x:c r="G5" s="2"/>
      <x:c r="H5" s="2"/>
    </x:row>
    <x:row r="6" ht="34" customHeight="1">
      <x:c r="A6" s="7" t="str">
        <x:v>Fecha de corte</x:v>
      </x:c>
      <x:c r="B6" s="7" t="str">
        <x:v>Referencia</x:v>
      </x:c>
      <x:c r="C6" s="7" t="str">
        <x:v>Tipo</x:v>
      </x:c>
      <x:c r="D6" s="7" t="str">
        <x:v>Descripción</x:v>
      </x:c>
      <x:c r="E6" s="7" t="str">
        <x:v>Valor contable COP</x:v>
      </x:c>
      <x:c r="F6" s="7" t="str">
        <x:v>Valor fiscal COP</x:v>
      </x:c>
      <x:c r="G6" s="7" t="str">
        <x:v>Soporte</x:v>
      </x:c>
      <x:c r="H6" s="7" t="str">
        <x:v>Observaciones del contador</x:v>
      </x:c>
    </x:row>
    <x:row r="7" ht="22" customHeight="1">
      <x:c r="A7" s="10"/>
      <x:c r="B7" s="8"/>
      <x:c r="C7" s="8"/>
      <x:c r="D7" s="8"/>
      <x:c r="E7" s="14"/>
      <x:c r="F7" s="14"/>
      <x:c r="G7" s="8"/>
      <x:c r="H7" s="8"/>
    </x:row>
    <x:row r="8" ht="22" customHeight="1">
      <x:c r="A8" s="10"/>
      <x:c r="B8" s="8"/>
      <x:c r="C8" s="8"/>
      <x:c r="D8" s="8"/>
      <x:c r="E8" s="14"/>
      <x:c r="F8" s="14"/>
      <x:c r="G8" s="8"/>
      <x:c r="H8" s="8"/>
    </x:row>
    <x:row r="9" ht="22" customHeight="1">
      <x:c r="A9" s="10"/>
      <x:c r="B9" s="8"/>
      <x:c r="C9" s="8"/>
      <x:c r="D9" s="8"/>
      <x:c r="E9" s="14"/>
      <x:c r="F9" s="14"/>
      <x:c r="G9" s="8"/>
      <x:c r="H9" s="8"/>
    </x:row>
    <x:row r="10" ht="22" customHeight="1">
      <x:c r="A10" s="10"/>
      <x:c r="B10" s="8"/>
      <x:c r="C10" s="8"/>
      <x:c r="D10" s="8"/>
      <x:c r="E10" s="14"/>
      <x:c r="F10" s="14"/>
      <x:c r="G10" s="8"/>
      <x:c r="H10" s="8"/>
    </x:row>
    <x:row r="11" ht="22" customHeight="1">
      <x:c r="A11" s="10"/>
      <x:c r="B11" s="8"/>
      <x:c r="C11" s="8"/>
      <x:c r="D11" s="8"/>
      <x:c r="E11" s="14"/>
      <x:c r="F11" s="14"/>
      <x:c r="G11" s="8"/>
      <x:c r="H11" s="8"/>
    </x:row>
    <x:row r="12" ht="22" customHeight="1">
      <x:c r="A12" s="10"/>
      <x:c r="B12" s="8"/>
      <x:c r="C12" s="8"/>
      <x:c r="D12" s="8"/>
      <x:c r="E12" s="14"/>
      <x:c r="F12" s="14"/>
      <x:c r="G12" s="8"/>
      <x:c r="H12" s="8"/>
    </x:row>
    <x:row r="13" ht="22" customHeight="1">
      <x:c r="A13" s="10"/>
      <x:c r="B13" s="8"/>
      <x:c r="C13" s="8"/>
      <x:c r="D13" s="8"/>
      <x:c r="E13" s="14"/>
      <x:c r="F13" s="14"/>
      <x:c r="G13" s="8"/>
      <x:c r="H13" s="8"/>
    </x:row>
    <x:row r="14" ht="22" customHeight="1">
      <x:c r="A14" s="10"/>
      <x:c r="B14" s="8"/>
      <x:c r="C14" s="8"/>
      <x:c r="D14" s="8"/>
      <x:c r="E14" s="14"/>
      <x:c r="F14" s="14"/>
      <x:c r="G14" s="8"/>
      <x:c r="H14" s="8"/>
    </x:row>
    <x:row r="15" ht="22" customHeight="1">
      <x:c r="A15" s="10"/>
      <x:c r="B15" s="8"/>
      <x:c r="C15" s="8"/>
      <x:c r="D15" s="8"/>
      <x:c r="E15" s="14"/>
      <x:c r="F15" s="14"/>
      <x:c r="G15" s="8"/>
      <x:c r="H15" s="8"/>
    </x:row>
    <x:row r="16" ht="22" customHeight="1">
      <x:c r="A16" s="10"/>
      <x:c r="B16" s="8"/>
      <x:c r="C16" s="8"/>
      <x:c r="D16" s="8"/>
      <x:c r="E16" s="14"/>
      <x:c r="F16" s="14"/>
      <x:c r="G16" s="8"/>
      <x:c r="H16" s="8"/>
    </x:row>
    <x:row r="17" ht="22" customHeight="1">
      <x:c r="A17" s="10"/>
      <x:c r="B17" s="8"/>
      <x:c r="C17" s="8"/>
      <x:c r="D17" s="8"/>
      <x:c r="E17" s="14"/>
      <x:c r="F17" s="14"/>
      <x:c r="G17" s="8"/>
      <x:c r="H17" s="8"/>
    </x:row>
    <x:row r="18" ht="22" customHeight="1">
      <x:c r="A18" s="10"/>
      <x:c r="B18" s="8"/>
      <x:c r="C18" s="8"/>
      <x:c r="D18" s="8"/>
      <x:c r="E18" s="14"/>
      <x:c r="F18" s="14"/>
      <x:c r="G18" s="8"/>
      <x:c r="H18" s="8"/>
    </x:row>
    <x:row r="19" ht="22" customHeight="1">
      <x:c r="A19" s="10"/>
      <x:c r="B19" s="8"/>
      <x:c r="C19" s="8"/>
      <x:c r="D19" s="8"/>
      <x:c r="E19" s="14"/>
      <x:c r="F19" s="14"/>
      <x:c r="G19" s="8"/>
      <x:c r="H19" s="8"/>
    </x:row>
    <x:row r="20" ht="22" customHeight="1">
      <x:c r="A20" s="10"/>
      <x:c r="B20" s="8"/>
      <x:c r="C20" s="8"/>
      <x:c r="D20" s="8"/>
      <x:c r="E20" s="14"/>
      <x:c r="F20" s="14"/>
      <x:c r="G20" s="8"/>
      <x:c r="H20" s="8"/>
    </x:row>
    <x:row r="21" ht="22" customHeight="1">
      <x:c r="A21" s="10"/>
      <x:c r="B21" s="8"/>
      <x:c r="C21" s="8"/>
      <x:c r="D21" s="8"/>
      <x:c r="E21" s="14"/>
      <x:c r="F21" s="14"/>
      <x:c r="G21" s="8"/>
      <x:c r="H21" s="8"/>
    </x:row>
    <x:row r="22" ht="22" customHeight="1">
      <x:c r="A22" s="10"/>
      <x:c r="B22" s="8"/>
      <x:c r="C22" s="8"/>
      <x:c r="D22" s="8"/>
      <x:c r="E22" s="14"/>
      <x:c r="F22" s="14"/>
      <x:c r="G22" s="8"/>
      <x:c r="H22" s="8"/>
    </x:row>
    <x:row r="23" ht="22" customHeight="1">
      <x:c r="A23" s="10"/>
      <x:c r="B23" s="8"/>
      <x:c r="C23" s="8"/>
      <x:c r="D23" s="8"/>
      <x:c r="E23" s="14"/>
      <x:c r="F23" s="14"/>
      <x:c r="G23" s="8"/>
      <x:c r="H23" s="8"/>
    </x:row>
    <x:row r="24" ht="22" customHeight="1">
      <x:c r="A24" s="10"/>
      <x:c r="B24" s="8"/>
      <x:c r="C24" s="8"/>
      <x:c r="D24" s="8"/>
      <x:c r="E24" s="14"/>
      <x:c r="F24" s="14"/>
      <x:c r="G24" s="8"/>
      <x:c r="H24" s="8"/>
    </x:row>
    <x:row r="25" ht="22" customHeight="1">
      <x:c r="A25" s="10"/>
      <x:c r="B25" s="8"/>
      <x:c r="C25" s="8"/>
      <x:c r="D25" s="8"/>
      <x:c r="E25" s="14"/>
      <x:c r="F25" s="14"/>
      <x:c r="G25" s="8"/>
      <x:c r="H25" s="8"/>
    </x:row>
    <x:row r="26" ht="22" customHeight="1">
      <x:c r="A26" s="10"/>
      <x:c r="B26" s="8"/>
      <x:c r="C26" s="8"/>
      <x:c r="D26" s="8"/>
      <x:c r="E26" s="14"/>
      <x:c r="F26" s="14"/>
      <x:c r="G26" s="8"/>
      <x:c r="H26" s="8"/>
    </x:row>
    <x:row r="27" ht="22" customHeight="1">
      <x:c r="A27" s="10"/>
      <x:c r="B27" s="8"/>
      <x:c r="C27" s="8"/>
      <x:c r="D27" s="8"/>
      <x:c r="E27" s="14"/>
      <x:c r="F27" s="14"/>
      <x:c r="G27" s="8"/>
      <x:c r="H27" s="8"/>
    </x:row>
    <x:row r="28" ht="22" customHeight="1">
      <x:c r="A28" s="10"/>
      <x:c r="B28" s="8"/>
      <x:c r="C28" s="8"/>
      <x:c r="D28" s="8"/>
      <x:c r="E28" s="14"/>
      <x:c r="F28" s="14"/>
      <x:c r="G28" s="8"/>
      <x:c r="H28" s="8"/>
    </x:row>
    <x:row r="29" ht="22" customHeight="1">
      <x:c r="A29" s="10"/>
      <x:c r="B29" s="8"/>
      <x:c r="C29" s="8"/>
      <x:c r="D29" s="8"/>
      <x:c r="E29" s="14"/>
      <x:c r="F29" s="14"/>
      <x:c r="G29" s="8"/>
      <x:c r="H29" s="8"/>
    </x:row>
    <x:row r="30" ht="22" customHeight="1">
      <x:c r="A30" s="10"/>
      <x:c r="B30" s="8"/>
      <x:c r="C30" s="8"/>
      <x:c r="D30" s="8"/>
      <x:c r="E30" s="14"/>
      <x:c r="F30" s="14"/>
      <x:c r="G30" s="8"/>
      <x:c r="H30" s="8"/>
    </x:row>
    <x:row r="31" ht="22" customHeight="1">
      <x:c r="A31" s="10"/>
      <x:c r="B31" s="8"/>
      <x:c r="C31" s="8"/>
      <x:c r="D31" s="8"/>
      <x:c r="E31" s="14"/>
      <x:c r="F31" s="14"/>
      <x:c r="G31" s="8"/>
      <x:c r="H31" s="8"/>
    </x:row>
    <x:row r="32" ht="22" customHeight="1">
      <x:c r="A32" s="10"/>
      <x:c r="B32" s="8"/>
      <x:c r="C32" s="8"/>
      <x:c r="D32" s="8"/>
      <x:c r="E32" s="14"/>
      <x:c r="F32" s="14"/>
      <x:c r="G32" s="8"/>
      <x:c r="H32" s="8"/>
    </x:row>
    <x:row r="33" ht="22" customHeight="1">
      <x:c r="A33" s="10"/>
      <x:c r="B33" s="8"/>
      <x:c r="C33" s="8"/>
      <x:c r="D33" s="8"/>
      <x:c r="E33" s="14"/>
      <x:c r="F33" s="14"/>
      <x:c r="G33" s="8"/>
      <x:c r="H33" s="8"/>
    </x:row>
    <x:row r="34" ht="22" customHeight="1">
      <x:c r="A34" s="10"/>
      <x:c r="B34" s="8"/>
      <x:c r="C34" s="8"/>
      <x:c r="D34" s="8"/>
      <x:c r="E34" s="14"/>
      <x:c r="F34" s="14"/>
      <x:c r="G34" s="8"/>
      <x:c r="H34" s="8"/>
    </x:row>
    <x:row r="35" ht="22" customHeight="1">
      <x:c r="A35" s="10"/>
      <x:c r="B35" s="8"/>
      <x:c r="C35" s="8"/>
      <x:c r="D35" s="8"/>
      <x:c r="E35" s="14"/>
      <x:c r="F35" s="14"/>
      <x:c r="G35" s="8"/>
      <x:c r="H35" s="8"/>
    </x:row>
    <x:row r="36" ht="22" customHeight="1">
      <x:c r="A36" s="10"/>
      <x:c r="B36" s="8"/>
      <x:c r="C36" s="8"/>
      <x:c r="D36" s="8"/>
      <x:c r="E36" s="14"/>
      <x:c r="F36" s="14"/>
      <x:c r="G36" s="8"/>
      <x:c r="H36" s="8"/>
    </x:row>
    <x:row r="37" ht="22" customHeight="1">
      <x:c r="A37" s="10"/>
      <x:c r="B37" s="8"/>
      <x:c r="C37" s="8"/>
      <x:c r="D37" s="8"/>
      <x:c r="E37" s="14"/>
      <x:c r="F37" s="14"/>
      <x:c r="G37" s="8"/>
      <x:c r="H37" s="8"/>
    </x:row>
    <x:row r="38" ht="22" customHeight="1">
      <x:c r="A38" s="10"/>
      <x:c r="B38" s="8"/>
      <x:c r="C38" s="8"/>
      <x:c r="D38" s="8"/>
      <x:c r="E38" s="14"/>
      <x:c r="F38" s="14"/>
      <x:c r="G38" s="8"/>
      <x:c r="H38" s="8"/>
    </x:row>
    <x:row r="39" ht="22" customHeight="1">
      <x:c r="A39" s="10"/>
      <x:c r="B39" s="8"/>
      <x:c r="C39" s="8"/>
      <x:c r="D39" s="8"/>
      <x:c r="E39" s="14"/>
      <x:c r="F39" s="14"/>
      <x:c r="G39" s="8"/>
      <x:c r="H39" s="8"/>
    </x:row>
    <x:row r="40" ht="22" customHeight="1">
      <x:c r="A40" s="10"/>
      <x:c r="B40" s="8"/>
      <x:c r="C40" s="8"/>
      <x:c r="D40" s="8"/>
      <x:c r="E40" s="14"/>
      <x:c r="F40" s="14"/>
      <x:c r="G40" s="8"/>
      <x:c r="H40" s="8"/>
    </x:row>
    <x:row r="41" ht="22" customHeight="1">
      <x:c r="A41" s="11"/>
      <x:c r="B41" s="9"/>
      <x:c r="C41" s="9"/>
      <x:c r="D41" s="9"/>
      <x:c r="E41" s="15"/>
      <x:c r="F41" s="15"/>
      <x:c r="G41" s="9"/>
      <x:c r="H41" s="9"/>
    </x:row>
    <x:row r="42" ht="22" customHeight="1">
      <x:c r="A42" s="11"/>
      <x:c r="B42" s="9"/>
      <x:c r="C42" s="9"/>
      <x:c r="D42" s="9"/>
      <x:c r="E42" s="15"/>
      <x:c r="F42" s="15"/>
      <x:c r="G42" s="9"/>
      <x:c r="H42" s="9"/>
    </x:row>
    <x:row r="43" ht="22" customHeight="1">
      <x:c r="A43" s="11"/>
      <x:c r="B43" s="9"/>
      <x:c r="C43" s="9"/>
      <x:c r="D43" s="9"/>
      <x:c r="E43" s="15"/>
      <x:c r="F43" s="15"/>
      <x:c r="G43" s="9"/>
      <x:c r="H43" s="9"/>
    </x:row>
    <x:row r="44" ht="22" customHeight="1">
      <x:c r="A44" s="11"/>
      <x:c r="B44" s="9"/>
      <x:c r="C44" s="9"/>
      <x:c r="D44" s="9"/>
      <x:c r="E44" s="15"/>
      <x:c r="F44" s="15"/>
      <x:c r="G44" s="9"/>
      <x:c r="H44" s="9"/>
    </x:row>
    <x:row r="45" ht="22" customHeight="1">
      <x:c r="A45" s="11"/>
      <x:c r="B45" s="9"/>
      <x:c r="C45" s="9"/>
      <x:c r="D45" s="9"/>
      <x:c r="E45" s="15"/>
      <x:c r="F45" s="15"/>
      <x:c r="G45" s="9"/>
      <x:c r="H45" s="9"/>
    </x:row>
    <x:row r="46" ht="22" customHeight="1">
      <x:c r="A46" s="11"/>
      <x:c r="B46" s="9"/>
      <x:c r="C46" s="9"/>
      <x:c r="D46" s="9"/>
      <x:c r="E46" s="15"/>
      <x:c r="F46" s="15"/>
      <x:c r="G46" s="9"/>
      <x:c r="H46" s="9"/>
    </x:row>
    <x:row r="47" ht="22" customHeight="1">
      <x:c r="A47" s="11"/>
      <x:c r="B47" s="9"/>
      <x:c r="C47" s="9"/>
      <x:c r="D47" s="9"/>
      <x:c r="E47" s="15"/>
      <x:c r="F47" s="15"/>
      <x:c r="G47" s="9"/>
      <x:c r="H47" s="9"/>
    </x:row>
    <x:row r="48" ht="22" customHeight="1">
      <x:c r="A48" s="11"/>
      <x:c r="B48" s="9"/>
      <x:c r="C48" s="9"/>
      <x:c r="D48" s="9"/>
      <x:c r="E48" s="15"/>
      <x:c r="F48" s="15"/>
      <x:c r="G48" s="9"/>
      <x:c r="H48" s="9"/>
    </x:row>
    <x:row r="49" ht="22" customHeight="1">
      <x:c r="A49" s="11"/>
      <x:c r="B49" s="9"/>
      <x:c r="C49" s="9"/>
      <x:c r="D49" s="9"/>
      <x:c r="E49" s="15"/>
      <x:c r="F49" s="15"/>
      <x:c r="G49" s="9"/>
      <x:c r="H49" s="9"/>
    </x:row>
    <x:row r="50" ht="22" customHeight="1">
      <x:c r="A50" s="11"/>
      <x:c r="B50" s="9"/>
      <x:c r="C50" s="9"/>
      <x:c r="D50" s="9"/>
      <x:c r="E50" s="15"/>
      <x:c r="F50" s="15"/>
      <x:c r="G50" s="9"/>
      <x:c r="H50" s="9"/>
    </x:row>
    <x:row r="51" ht="22" customHeight="1">
      <x:c r="A51" s="11"/>
      <x:c r="B51" s="9"/>
      <x:c r="C51" s="9"/>
      <x:c r="D51" s="9"/>
      <x:c r="E51" s="15"/>
      <x:c r="F51" s="15"/>
      <x:c r="G51" s="9"/>
      <x:c r="H51" s="9"/>
    </x:row>
    <x:row r="52" ht="22" customHeight="1">
      <x:c r="A52" s="11"/>
      <x:c r="B52" s="9"/>
      <x:c r="C52" s="9"/>
      <x:c r="D52" s="9"/>
      <x:c r="E52" s="15"/>
      <x:c r="F52" s="15"/>
      <x:c r="G52" s="9"/>
      <x:c r="H52" s="9"/>
    </x:row>
    <x:row r="53" ht="22" customHeight="1">
      <x:c r="A53" s="11"/>
      <x:c r="B53" s="9"/>
      <x:c r="C53" s="9"/>
      <x:c r="D53" s="9"/>
      <x:c r="E53" s="15"/>
      <x:c r="F53" s="15"/>
      <x:c r="G53" s="9"/>
      <x:c r="H53" s="9"/>
    </x:row>
    <x:row r="54" ht="22" customHeight="1">
      <x:c r="A54" s="11"/>
      <x:c r="B54" s="9"/>
      <x:c r="C54" s="9"/>
      <x:c r="D54" s="9"/>
      <x:c r="E54" s="15"/>
      <x:c r="F54" s="15"/>
      <x:c r="G54" s="9"/>
      <x:c r="H54" s="9"/>
    </x:row>
    <x:row r="55" ht="22" customHeight="1">
      <x:c r="A55" s="11"/>
      <x:c r="B55" s="9"/>
      <x:c r="C55" s="9"/>
      <x:c r="D55" s="9"/>
      <x:c r="E55" s="15"/>
      <x:c r="F55" s="15"/>
      <x:c r="G55" s="9"/>
      <x:c r="H55" s="9"/>
    </x:row>
    <x:row r="56" ht="22" customHeight="1">
      <x:c r="A56" s="11"/>
      <x:c r="B56" s="9"/>
      <x:c r="C56" s="9"/>
      <x:c r="D56" s="9"/>
      <x:c r="E56" s="15"/>
      <x:c r="F56" s="15"/>
      <x:c r="G56" s="9"/>
      <x:c r="H56" s="9"/>
    </x:row>
    <x:row r="57" ht="22" customHeight="1">
      <x:c r="A57" s="11"/>
      <x:c r="B57" s="9"/>
      <x:c r="C57" s="9"/>
      <x:c r="D57" s="9"/>
      <x:c r="E57" s="15"/>
      <x:c r="F57" s="15"/>
      <x:c r="G57" s="9"/>
      <x:c r="H57" s="9"/>
    </x:row>
    <x:row r="58" ht="22" customHeight="1">
      <x:c r="A58" s="11"/>
      <x:c r="B58" s="9"/>
      <x:c r="C58" s="9"/>
      <x:c r="D58" s="9"/>
      <x:c r="E58" s="15"/>
      <x:c r="F58" s="15"/>
      <x:c r="G58" s="9"/>
      <x:c r="H58" s="9"/>
    </x:row>
    <x:row r="59" ht="22" customHeight="1">
      <x:c r="A59" s="11"/>
      <x:c r="B59" s="9"/>
      <x:c r="C59" s="9"/>
      <x:c r="D59" s="9"/>
      <x:c r="E59" s="15"/>
      <x:c r="F59" s="15"/>
      <x:c r="G59" s="9"/>
      <x:c r="H59" s="9"/>
    </x:row>
    <x:row r="60" ht="22" customHeight="1">
      <x:c r="A60" s="11"/>
      <x:c r="B60" s="9"/>
      <x:c r="C60" s="9"/>
      <x:c r="D60" s="9"/>
      <x:c r="E60" s="15"/>
      <x:c r="F60" s="15"/>
      <x:c r="G60" s="9"/>
      <x:c r="H60" s="9"/>
    </x:row>
    <x:row r="61" ht="22" customHeight="1">
      <x:c r="A61" s="11"/>
      <x:c r="B61" s="9"/>
      <x:c r="C61" s="9"/>
      <x:c r="D61" s="9"/>
      <x:c r="E61" s="15"/>
      <x:c r="F61" s="15"/>
      <x:c r="G61" s="9"/>
      <x:c r="H61" s="9"/>
    </x:row>
    <x:row r="62" ht="22" customHeight="1">
      <x:c r="A62" s="11"/>
      <x:c r="B62" s="9"/>
      <x:c r="C62" s="9"/>
      <x:c r="D62" s="9"/>
      <x:c r="E62" s="15"/>
      <x:c r="F62" s="15"/>
      <x:c r="G62" s="9"/>
      <x:c r="H62" s="9"/>
    </x:row>
    <x:row r="63" ht="22" customHeight="1">
      <x:c r="A63" s="11"/>
      <x:c r="B63" s="9"/>
      <x:c r="C63" s="9"/>
      <x:c r="D63" s="9"/>
      <x:c r="E63" s="15"/>
      <x:c r="F63" s="15"/>
      <x:c r="G63" s="9"/>
      <x:c r="H63" s="9"/>
    </x:row>
    <x:row r="64" ht="22" customHeight="1">
      <x:c r="A64" s="11"/>
      <x:c r="B64" s="9"/>
      <x:c r="C64" s="9"/>
      <x:c r="D64" s="9"/>
      <x:c r="E64" s="15"/>
      <x:c r="F64" s="15"/>
      <x:c r="G64" s="9"/>
      <x:c r="H64" s="9"/>
    </x:row>
    <x:row r="65" ht="22" customHeight="1">
      <x:c r="A65" s="11"/>
      <x:c r="B65" s="9"/>
      <x:c r="C65" s="9"/>
      <x:c r="D65" s="9"/>
      <x:c r="E65" s="15"/>
      <x:c r="F65" s="15"/>
      <x:c r="G65" s="9"/>
      <x:c r="H65" s="9"/>
    </x:row>
    <x:row r="66" ht="22" customHeight="1">
      <x:c r="A66" s="11"/>
      <x:c r="B66" s="9"/>
      <x:c r="C66" s="9"/>
      <x:c r="D66" s="9"/>
      <x:c r="E66" s="15"/>
      <x:c r="F66" s="15"/>
      <x:c r="G66" s="9"/>
      <x:c r="H66" s="9"/>
    </x:row>
    <x:row r="67" ht="22" customHeight="1">
      <x:c r="A67" s="11"/>
      <x:c r="B67" s="9"/>
      <x:c r="C67" s="9"/>
      <x:c r="D67" s="9"/>
      <x:c r="E67" s="15"/>
      <x:c r="F67" s="15"/>
      <x:c r="G67" s="9"/>
      <x:c r="H67" s="9"/>
    </x:row>
    <x:row r="68" ht="22" customHeight="1">
      <x:c r="A68" s="11"/>
      <x:c r="B68" s="9"/>
      <x:c r="C68" s="9"/>
      <x:c r="D68" s="9"/>
      <x:c r="E68" s="15"/>
      <x:c r="F68" s="15"/>
      <x:c r="G68" s="9"/>
      <x:c r="H68" s="9"/>
    </x:row>
    <x:row r="69" ht="22" customHeight="1">
      <x:c r="A69" s="11"/>
      <x:c r="B69" s="9"/>
      <x:c r="C69" s="9"/>
      <x:c r="D69" s="9"/>
      <x:c r="E69" s="15"/>
      <x:c r="F69" s="15"/>
      <x:c r="G69" s="9"/>
      <x:c r="H69" s="9"/>
    </x:row>
    <x:row r="70" ht="22" customHeight="1">
      <x:c r="A70" s="11"/>
      <x:c r="B70" s="9"/>
      <x:c r="C70" s="9"/>
      <x:c r="D70" s="9"/>
      <x:c r="E70" s="15"/>
      <x:c r="F70" s="15"/>
      <x:c r="G70" s="9"/>
      <x:c r="H70" s="9"/>
    </x:row>
    <x:row r="71" ht="22" customHeight="1">
      <x:c r="A71" s="11"/>
      <x:c r="B71" s="9"/>
      <x:c r="C71" s="9"/>
      <x:c r="D71" s="9"/>
      <x:c r="E71" s="15"/>
      <x:c r="F71" s="15"/>
      <x:c r="G71" s="9"/>
      <x:c r="H71" s="9"/>
    </x:row>
    <x:row r="72" ht="22" customHeight="1">
      <x:c r="A72" s="11"/>
      <x:c r="B72" s="9"/>
      <x:c r="C72" s="9"/>
      <x:c r="D72" s="9"/>
      <x:c r="E72" s="15"/>
      <x:c r="F72" s="15"/>
      <x:c r="G72" s="9"/>
      <x:c r="H72" s="9"/>
    </x:row>
    <x:row r="73" ht="22" customHeight="1">
      <x:c r="A73" s="11"/>
      <x:c r="B73" s="9"/>
      <x:c r="C73" s="9"/>
      <x:c r="D73" s="9"/>
      <x:c r="E73" s="15"/>
      <x:c r="F73" s="15"/>
      <x:c r="G73" s="9"/>
      <x:c r="H73" s="9"/>
    </x:row>
    <x:row r="74" ht="22" customHeight="1">
      <x:c r="A74" s="11"/>
      <x:c r="B74" s="9"/>
      <x:c r="C74" s="9"/>
      <x:c r="D74" s="9"/>
      <x:c r="E74" s="15"/>
      <x:c r="F74" s="15"/>
      <x:c r="G74" s="9"/>
      <x:c r="H74" s="9"/>
    </x:row>
    <x:row r="75" ht="22" customHeight="1">
      <x:c r="A75" s="11"/>
      <x:c r="B75" s="9"/>
      <x:c r="C75" s="9"/>
      <x:c r="D75" s="9"/>
      <x:c r="E75" s="15"/>
      <x:c r="F75" s="15"/>
      <x:c r="G75" s="9"/>
      <x:c r="H75" s="9"/>
    </x:row>
    <x:row r="76" ht="22" customHeight="1">
      <x:c r="A76" s="11"/>
      <x:c r="B76" s="9"/>
      <x:c r="C76" s="9"/>
      <x:c r="D76" s="9"/>
      <x:c r="E76" s="15"/>
      <x:c r="F76" s="15"/>
      <x:c r="G76" s="9"/>
      <x:c r="H76" s="9"/>
    </x:row>
    <x:row r="77" ht="22" customHeight="1">
      <x:c r="A77" s="11"/>
      <x:c r="B77" s="9"/>
      <x:c r="C77" s="9"/>
      <x:c r="D77" s="9"/>
      <x:c r="E77" s="15"/>
      <x:c r="F77" s="15"/>
      <x:c r="G77" s="9"/>
      <x:c r="H77" s="9"/>
    </x:row>
    <x:row r="78" ht="22" customHeight="1">
      <x:c r="A78" s="11"/>
      <x:c r="B78" s="9"/>
      <x:c r="C78" s="9"/>
      <x:c r="D78" s="9"/>
      <x:c r="E78" s="15"/>
      <x:c r="F78" s="15"/>
      <x:c r="G78" s="9"/>
      <x:c r="H78" s="9"/>
    </x:row>
    <x:row r="79" ht="22" customHeight="1">
      <x:c r="A79" s="11"/>
      <x:c r="B79" s="9"/>
      <x:c r="C79" s="9"/>
      <x:c r="D79" s="9"/>
      <x:c r="E79" s="15"/>
      <x:c r="F79" s="15"/>
      <x:c r="G79" s="9"/>
      <x:c r="H79" s="9"/>
    </x:row>
    <x:row r="80" ht="22" customHeight="1">
      <x:c r="A80" s="11"/>
      <x:c r="B80" s="9"/>
      <x:c r="C80" s="9"/>
      <x:c r="D80" s="9"/>
      <x:c r="E80" s="15"/>
      <x:c r="F80" s="15"/>
      <x:c r="G80" s="9"/>
      <x:c r="H80" s="9"/>
    </x:row>
    <x:row r="81" ht="22" customHeight="1">
      <x:c r="A81" s="11"/>
      <x:c r="B81" s="9"/>
      <x:c r="C81" s="9"/>
      <x:c r="D81" s="9"/>
      <x:c r="E81" s="15"/>
      <x:c r="F81" s="15"/>
      <x:c r="G81" s="9"/>
      <x:c r="H81" s="9"/>
    </x:row>
    <x:row r="82" ht="22" customHeight="1">
      <x:c r="A82" s="11"/>
      <x:c r="B82" s="9"/>
      <x:c r="C82" s="9"/>
      <x:c r="D82" s="9"/>
      <x:c r="E82" s="15"/>
      <x:c r="F82" s="15"/>
      <x:c r="G82" s="9"/>
      <x:c r="H82" s="9"/>
    </x:row>
    <x:row r="83" ht="22" customHeight="1">
      <x:c r="A83" s="11"/>
      <x:c r="B83" s="9"/>
      <x:c r="C83" s="9"/>
      <x:c r="D83" s="9"/>
      <x:c r="E83" s="15"/>
      <x:c r="F83" s="15"/>
      <x:c r="G83" s="9"/>
      <x:c r="H83" s="9"/>
    </x:row>
    <x:row r="84" ht="22" customHeight="1">
      <x:c r="A84" s="11"/>
      <x:c r="B84" s="9"/>
      <x:c r="C84" s="9"/>
      <x:c r="D84" s="9"/>
      <x:c r="E84" s="15"/>
      <x:c r="F84" s="15"/>
      <x:c r="G84" s="9"/>
      <x:c r="H84" s="9"/>
    </x:row>
    <x:row r="85" ht="22" customHeight="1">
      <x:c r="A85" s="11"/>
      <x:c r="B85" s="9"/>
      <x:c r="C85" s="9"/>
      <x:c r="D85" s="9"/>
      <x:c r="E85" s="15"/>
      <x:c r="F85" s="15"/>
      <x:c r="G85" s="9"/>
      <x:c r="H85" s="9"/>
    </x:row>
    <x:row r="86" ht="22" customHeight="1">
      <x:c r="A86" s="11"/>
      <x:c r="B86" s="9"/>
      <x:c r="C86" s="9"/>
      <x:c r="D86" s="9"/>
      <x:c r="E86" s="15"/>
      <x:c r="F86" s="15"/>
      <x:c r="G86" s="9"/>
      <x:c r="H86" s="9"/>
    </x:row>
    <x:row r="87" ht="22" customHeight="1">
      <x:c r="A87" s="11"/>
      <x:c r="B87" s="9"/>
      <x:c r="C87" s="9"/>
      <x:c r="D87" s="9"/>
      <x:c r="E87" s="15"/>
      <x:c r="F87" s="15"/>
      <x:c r="G87" s="9"/>
      <x:c r="H87" s="9"/>
    </x:row>
    <x:row r="88" ht="22" customHeight="1">
      <x:c r="A88" s="11"/>
      <x:c r="B88" s="9"/>
      <x:c r="C88" s="9"/>
      <x:c r="D88" s="9"/>
      <x:c r="E88" s="15"/>
      <x:c r="F88" s="15"/>
      <x:c r="G88" s="9"/>
      <x:c r="H88" s="9"/>
    </x:row>
    <x:row r="89" ht="22" customHeight="1">
      <x:c r="A89" s="11"/>
      <x:c r="B89" s="9"/>
      <x:c r="C89" s="9"/>
      <x:c r="D89" s="9"/>
      <x:c r="E89" s="15"/>
      <x:c r="F89" s="15"/>
      <x:c r="G89" s="9"/>
      <x:c r="H89" s="9"/>
    </x:row>
    <x:row r="90" ht="22" customHeight="1">
      <x:c r="A90" s="11"/>
      <x:c r="B90" s="9"/>
      <x:c r="C90" s="9"/>
      <x:c r="D90" s="9"/>
      <x:c r="E90" s="15"/>
      <x:c r="F90" s="15"/>
      <x:c r="G90" s="9"/>
      <x:c r="H90" s="9"/>
    </x:row>
    <x:row r="91" ht="22" customHeight="1">
      <x:c r="A91" s="11"/>
      <x:c r="B91" s="9"/>
      <x:c r="C91" s="9"/>
      <x:c r="D91" s="9"/>
      <x:c r="E91" s="15"/>
      <x:c r="F91" s="15"/>
      <x:c r="G91" s="9"/>
      <x:c r="H91" s="9"/>
    </x:row>
    <x:row r="92" ht="22" customHeight="1">
      <x:c r="A92" s="11"/>
      <x:c r="B92" s="9"/>
      <x:c r="C92" s="9"/>
      <x:c r="D92" s="9"/>
      <x:c r="E92" s="15"/>
      <x:c r="F92" s="15"/>
      <x:c r="G92" s="9"/>
      <x:c r="H92" s="9"/>
    </x:row>
    <x:row r="93" ht="22" customHeight="1">
      <x:c r="A93" s="11"/>
      <x:c r="B93" s="9"/>
      <x:c r="C93" s="9"/>
      <x:c r="D93" s="9"/>
      <x:c r="E93" s="15"/>
      <x:c r="F93" s="15"/>
      <x:c r="G93" s="9"/>
      <x:c r="H93" s="9"/>
    </x:row>
    <x:row r="94" ht="22" customHeight="1">
      <x:c r="A94" s="11"/>
      <x:c r="B94" s="9"/>
      <x:c r="C94" s="9"/>
      <x:c r="D94" s="9"/>
      <x:c r="E94" s="15"/>
      <x:c r="F94" s="15"/>
      <x:c r="G94" s="9"/>
      <x:c r="H94" s="9"/>
    </x:row>
    <x:row r="95" ht="22" customHeight="1">
      <x:c r="A95" s="11"/>
      <x:c r="B95" s="9"/>
      <x:c r="C95" s="9"/>
      <x:c r="D95" s="9"/>
      <x:c r="E95" s="15"/>
      <x:c r="F95" s="15"/>
      <x:c r="G95" s="9"/>
      <x:c r="H95" s="9"/>
    </x:row>
    <x:row r="96" ht="22" customHeight="1">
      <x:c r="A96" s="11"/>
      <x:c r="B96" s="9"/>
      <x:c r="C96" s="9"/>
      <x:c r="D96" s="9"/>
      <x:c r="E96" s="15"/>
      <x:c r="F96" s="15"/>
      <x:c r="G96" s="9"/>
      <x:c r="H96" s="9"/>
    </x:row>
    <x:row r="97" ht="22" customHeight="1">
      <x:c r="A97" s="11"/>
      <x:c r="B97" s="9"/>
      <x:c r="C97" s="9"/>
      <x:c r="D97" s="9"/>
      <x:c r="E97" s="15"/>
      <x:c r="F97" s="15"/>
      <x:c r="G97" s="9"/>
      <x:c r="H97" s="9"/>
    </x:row>
    <x:row r="98" ht="22" customHeight="1">
      <x:c r="A98" s="11"/>
      <x:c r="B98" s="9"/>
      <x:c r="C98" s="9"/>
      <x:c r="D98" s="9"/>
      <x:c r="E98" s="15"/>
      <x:c r="F98" s="15"/>
      <x:c r="G98" s="9"/>
      <x:c r="H98" s="9"/>
    </x:row>
    <x:row r="99" ht="22" customHeight="1">
      <x:c r="A99" s="11"/>
      <x:c r="B99" s="9"/>
      <x:c r="C99" s="9"/>
      <x:c r="D99" s="9"/>
      <x:c r="E99" s="15"/>
      <x:c r="F99" s="15"/>
      <x:c r="G99" s="9"/>
      <x:c r="H99" s="9"/>
    </x:row>
    <x:row r="100" ht="22" customHeight="1">
      <x:c r="A100" s="11"/>
      <x:c r="B100" s="9"/>
      <x:c r="C100" s="9"/>
      <x:c r="D100" s="9"/>
      <x:c r="E100" s="15"/>
      <x:c r="F100" s="15"/>
      <x:c r="G100" s="9"/>
      <x:c r="H100" s="9"/>
    </x:row>
    <x:row r="101" ht="22" customHeight="1">
      <x:c r="A101" s="11"/>
      <x:c r="B101" s="9"/>
      <x:c r="C101" s="9"/>
      <x:c r="D101" s="9"/>
      <x:c r="E101" s="15"/>
      <x:c r="F101" s="15"/>
      <x:c r="G101" s="9"/>
      <x:c r="H101" s="9"/>
    </x:row>
    <x:row r="102" ht="22" customHeight="1">
      <x:c r="A102" s="11"/>
      <x:c r="B102" s="9"/>
      <x:c r="C102" s="9"/>
      <x:c r="D102" s="9"/>
      <x:c r="E102" s="15"/>
      <x:c r="F102" s="15"/>
      <x:c r="G102" s="9"/>
      <x:c r="H102" s="9"/>
    </x:row>
    <x:row r="103" ht="22" customHeight="1">
      <x:c r="A103" s="11"/>
      <x:c r="B103" s="9"/>
      <x:c r="C103" s="9"/>
      <x:c r="D103" s="9"/>
      <x:c r="E103" s="15"/>
      <x:c r="F103" s="15"/>
      <x:c r="G103" s="9"/>
      <x:c r="H103" s="9"/>
    </x:row>
    <x:row r="104" ht="22" customHeight="1">
      <x:c r="A104" s="11"/>
      <x:c r="B104" s="9"/>
      <x:c r="C104" s="9"/>
      <x:c r="D104" s="9"/>
      <x:c r="E104" s="15"/>
      <x:c r="F104" s="15"/>
      <x:c r="G104" s="9"/>
      <x:c r="H104" s="9"/>
    </x:row>
    <x:row r="105" ht="22" customHeight="1">
      <x:c r="A105" s="11"/>
      <x:c r="B105" s="9"/>
      <x:c r="C105" s="9"/>
      <x:c r="D105" s="9"/>
      <x:c r="E105" s="15"/>
      <x:c r="F105" s="15"/>
      <x:c r="G105" s="9"/>
      <x:c r="H105" s="9"/>
    </x:row>
    <x:row r="106" ht="22" customHeight="1">
      <x:c r="A106" s="11"/>
      <x:c r="B106" s="9"/>
      <x:c r="C106" s="9"/>
      <x:c r="D106" s="9"/>
      <x:c r="E106" s="15"/>
      <x:c r="F106" s="15"/>
      <x:c r="G106" s="9"/>
      <x:c r="H106" s="9"/>
    </x:row>
    <x:row r="107" ht="22" customHeight="1">
      <x:c r="A107" s="11"/>
      <x:c r="B107" s="9"/>
      <x:c r="C107" s="9"/>
      <x:c r="D107" s="9"/>
      <x:c r="E107" s="15"/>
      <x:c r="F107" s="15"/>
      <x:c r="G107" s="9"/>
      <x:c r="H107" s="9"/>
    </x:row>
    <x:row r="108" ht="22" customHeight="1">
      <x:c r="A108" s="11"/>
      <x:c r="B108" s="9"/>
      <x:c r="C108" s="9"/>
      <x:c r="D108" s="9"/>
      <x:c r="E108" s="15"/>
      <x:c r="F108" s="15"/>
      <x:c r="G108" s="9"/>
      <x:c r="H108" s="9"/>
    </x:row>
    <x:row r="109" ht="22" customHeight="1">
      <x:c r="A109" s="11"/>
      <x:c r="B109" s="9"/>
      <x:c r="C109" s="9"/>
      <x:c r="D109" s="9"/>
      <x:c r="E109" s="15"/>
      <x:c r="F109" s="15"/>
      <x:c r="G109" s="9"/>
      <x:c r="H109" s="9"/>
    </x:row>
    <x:row r="110" ht="22" customHeight="1">
      <x:c r="A110" s="11"/>
      <x:c r="B110" s="9"/>
      <x:c r="C110" s="9"/>
      <x:c r="D110" s="9"/>
      <x:c r="E110" s="15"/>
      <x:c r="F110" s="15"/>
      <x:c r="G110" s="9"/>
      <x:c r="H110" s="9"/>
    </x:row>
    <x:row r="111" ht="22" customHeight="1">
      <x:c r="A111" s="11"/>
      <x:c r="B111" s="9"/>
      <x:c r="C111" s="9"/>
      <x:c r="D111" s="9"/>
      <x:c r="E111" s="15"/>
      <x:c r="F111" s="15"/>
      <x:c r="G111" s="9"/>
      <x:c r="H111" s="9"/>
    </x:row>
    <x:row r="112" ht="22" customHeight="1">
      <x:c r="A112" s="11"/>
      <x:c r="B112" s="9"/>
      <x:c r="C112" s="9"/>
      <x:c r="D112" s="9"/>
      <x:c r="E112" s="15"/>
      <x:c r="F112" s="15"/>
      <x:c r="G112" s="9"/>
      <x:c r="H112" s="9"/>
    </x:row>
    <x:row r="113" ht="22" customHeight="1">
      <x:c r="A113" s="11"/>
      <x:c r="B113" s="9"/>
      <x:c r="C113" s="9"/>
      <x:c r="D113" s="9"/>
      <x:c r="E113" s="15"/>
      <x:c r="F113" s="15"/>
      <x:c r="G113" s="9"/>
      <x:c r="H113" s="9"/>
    </x:row>
    <x:row r="114" ht="22" customHeight="1">
      <x:c r="A114" s="11"/>
      <x:c r="B114" s="9"/>
      <x:c r="C114" s="9"/>
      <x:c r="D114" s="9"/>
      <x:c r="E114" s="15"/>
      <x:c r="F114" s="15"/>
      <x:c r="G114" s="9"/>
      <x:c r="H114" s="9"/>
    </x:row>
    <x:row r="115" ht="22" customHeight="1">
      <x:c r="A115" s="11"/>
      <x:c r="B115" s="9"/>
      <x:c r="C115" s="9"/>
      <x:c r="D115" s="9"/>
      <x:c r="E115" s="15"/>
      <x:c r="F115" s="15"/>
      <x:c r="G115" s="9"/>
      <x:c r="H115" s="9"/>
    </x:row>
    <x:row r="116" ht="22" customHeight="1">
      <x:c r="A116" s="11"/>
      <x:c r="B116" s="9"/>
      <x:c r="C116" s="9"/>
      <x:c r="D116" s="9"/>
      <x:c r="E116" s="15"/>
      <x:c r="F116" s="15"/>
      <x:c r="G116" s="9"/>
      <x:c r="H116" s="9"/>
    </x:row>
    <x:row r="117" ht="22" customHeight="1">
      <x:c r="A117" s="11"/>
      <x:c r="B117" s="9"/>
      <x:c r="C117" s="9"/>
      <x:c r="D117" s="9"/>
      <x:c r="E117" s="15"/>
      <x:c r="F117" s="15"/>
      <x:c r="G117" s="9"/>
      <x:c r="H117" s="9"/>
    </x:row>
    <x:row r="118" ht="22" customHeight="1">
      <x:c r="A118" s="11"/>
      <x:c r="B118" s="9"/>
      <x:c r="C118" s="9"/>
      <x:c r="D118" s="9"/>
      <x:c r="E118" s="15"/>
      <x:c r="F118" s="15"/>
      <x:c r="G118" s="9"/>
      <x:c r="H118" s="9"/>
    </x:row>
    <x:row r="119" ht="22" customHeight="1">
      <x:c r="A119" s="11"/>
      <x:c r="B119" s="9"/>
      <x:c r="C119" s="9"/>
      <x:c r="D119" s="9"/>
      <x:c r="E119" s="15"/>
      <x:c r="F119" s="15"/>
      <x:c r="G119" s="9"/>
      <x:c r="H119" s="9"/>
    </x:row>
    <x:row r="120" ht="22" customHeight="1">
      <x:c r="A120" s="11"/>
      <x:c r="B120" s="9"/>
      <x:c r="C120" s="9"/>
      <x:c r="D120" s="9"/>
      <x:c r="E120" s="15"/>
      <x:c r="F120" s="15"/>
      <x:c r="G120" s="9"/>
      <x:c r="H120" s="9"/>
    </x:row>
    <x:row r="121" ht="22" customHeight="1">
      <x:c r="A121" s="11"/>
      <x:c r="B121" s="9"/>
      <x:c r="C121" s="9"/>
      <x:c r="D121" s="9"/>
      <x:c r="E121" s="15"/>
      <x:c r="F121" s="15"/>
      <x:c r="G121" s="9"/>
      <x:c r="H121" s="9"/>
    </x:row>
    <x:row r="122" ht="22" customHeight="1">
      <x:c r="A122" s="11"/>
      <x:c r="B122" s="9"/>
      <x:c r="C122" s="9"/>
      <x:c r="D122" s="9"/>
      <x:c r="E122" s="15"/>
      <x:c r="F122" s="15"/>
      <x:c r="G122" s="9"/>
      <x:c r="H122" s="9"/>
    </x:row>
    <x:row r="123" ht="22" customHeight="1">
      <x:c r="A123" s="11"/>
      <x:c r="B123" s="9"/>
      <x:c r="C123" s="9"/>
      <x:c r="D123" s="9"/>
      <x:c r="E123" s="15"/>
      <x:c r="F123" s="15"/>
      <x:c r="G123" s="9"/>
      <x:c r="H123" s="9"/>
    </x:row>
    <x:row r="124" ht="22" customHeight="1">
      <x:c r="A124" s="11"/>
      <x:c r="B124" s="9"/>
      <x:c r="C124" s="9"/>
      <x:c r="D124" s="9"/>
      <x:c r="E124" s="15"/>
      <x:c r="F124" s="15"/>
      <x:c r="G124" s="9"/>
      <x:c r="H124" s="9"/>
    </x:row>
    <x:row r="125" ht="22" customHeight="1">
      <x:c r="A125" s="11"/>
      <x:c r="B125" s="9"/>
      <x:c r="C125" s="9"/>
      <x:c r="D125" s="9"/>
      <x:c r="E125" s="15"/>
      <x:c r="F125" s="15"/>
      <x:c r="G125" s="9"/>
      <x:c r="H125" s="9"/>
    </x:row>
    <x:row r="126" ht="22" customHeight="1">
      <x:c r="A126" s="11"/>
      <x:c r="B126" s="9"/>
      <x:c r="C126" s="9"/>
      <x:c r="D126" s="9"/>
      <x:c r="E126" s="15"/>
      <x:c r="F126" s="15"/>
      <x:c r="G126" s="9"/>
      <x:c r="H126" s="9"/>
    </x:row>
    <x:row r="127" ht="22" customHeight="1">
      <x:c r="A127" s="11"/>
      <x:c r="B127" s="9"/>
      <x:c r="C127" s="9"/>
      <x:c r="D127" s="9"/>
      <x:c r="E127" s="15"/>
      <x:c r="F127" s="15"/>
      <x:c r="G127" s="9"/>
      <x:c r="H127" s="9"/>
    </x:row>
    <x:row r="128" ht="22" customHeight="1">
      <x:c r="A128" s="11"/>
      <x:c r="B128" s="9"/>
      <x:c r="C128" s="9"/>
      <x:c r="D128" s="9"/>
      <x:c r="E128" s="15"/>
      <x:c r="F128" s="15"/>
      <x:c r="G128" s="9"/>
      <x:c r="H128" s="9"/>
    </x:row>
    <x:row r="129" ht="22" customHeight="1">
      <x:c r="A129" s="11"/>
      <x:c r="B129" s="9"/>
      <x:c r="C129" s="9"/>
      <x:c r="D129" s="9"/>
      <x:c r="E129" s="15"/>
      <x:c r="F129" s="15"/>
      <x:c r="G129" s="9"/>
      <x:c r="H129" s="9"/>
    </x:row>
    <x:row r="130" ht="22" customHeight="1">
      <x:c r="A130" s="11"/>
      <x:c r="B130" s="9"/>
      <x:c r="C130" s="9"/>
      <x:c r="D130" s="9"/>
      <x:c r="E130" s="15"/>
      <x:c r="F130" s="15"/>
      <x:c r="G130" s="9"/>
      <x:c r="H130" s="9"/>
    </x:row>
    <x:row r="131" ht="22" customHeight="1">
      <x:c r="A131" s="11"/>
      <x:c r="B131" s="9"/>
      <x:c r="C131" s="9"/>
      <x:c r="D131" s="9"/>
      <x:c r="E131" s="15"/>
      <x:c r="F131" s="15"/>
      <x:c r="G131" s="9"/>
      <x:c r="H131" s="9"/>
    </x:row>
    <x:row r="132" ht="22" customHeight="1">
      <x:c r="A132" s="11"/>
      <x:c r="B132" s="9"/>
      <x:c r="C132" s="9"/>
      <x:c r="D132" s="9"/>
      <x:c r="E132" s="15"/>
      <x:c r="F132" s="15"/>
      <x:c r="G132" s="9"/>
      <x:c r="H132" s="9"/>
    </x:row>
    <x:row r="133" ht="22" customHeight="1">
      <x:c r="A133" s="11"/>
      <x:c r="B133" s="9"/>
      <x:c r="C133" s="9"/>
      <x:c r="D133" s="9"/>
      <x:c r="E133" s="15"/>
      <x:c r="F133" s="15"/>
      <x:c r="G133" s="9"/>
      <x:c r="H133" s="9"/>
    </x:row>
    <x:row r="134" ht="22" customHeight="1">
      <x:c r="A134" s="11"/>
      <x:c r="B134" s="9"/>
      <x:c r="C134" s="9"/>
      <x:c r="D134" s="9"/>
      <x:c r="E134" s="15"/>
      <x:c r="F134" s="15"/>
      <x:c r="G134" s="9"/>
      <x:c r="H134" s="9"/>
    </x:row>
    <x:row r="135" ht="22" customHeight="1">
      <x:c r="A135" s="11"/>
      <x:c r="B135" s="9"/>
      <x:c r="C135" s="9"/>
      <x:c r="D135" s="9"/>
      <x:c r="E135" s="15"/>
      <x:c r="F135" s="15"/>
      <x:c r="G135" s="9"/>
      <x:c r="H135" s="9"/>
    </x:row>
    <x:row r="136" ht="22" customHeight="1">
      <x:c r="A136" s="11"/>
      <x:c r="B136" s="9"/>
      <x:c r="C136" s="9"/>
      <x:c r="D136" s="9"/>
      <x:c r="E136" s="15"/>
      <x:c r="F136" s="15"/>
      <x:c r="G136" s="9"/>
      <x:c r="H136" s="9"/>
    </x:row>
    <x:row r="137" ht="22" customHeight="1">
      <x:c r="A137" s="11"/>
      <x:c r="B137" s="9"/>
      <x:c r="C137" s="9"/>
      <x:c r="D137" s="9"/>
      <x:c r="E137" s="15"/>
      <x:c r="F137" s="15"/>
      <x:c r="G137" s="9"/>
      <x:c r="H137" s="9"/>
    </x:row>
    <x:row r="138" ht="22" customHeight="1">
      <x:c r="A138" s="11"/>
      <x:c r="B138" s="9"/>
      <x:c r="C138" s="9"/>
      <x:c r="D138" s="9"/>
      <x:c r="E138" s="15"/>
      <x:c r="F138" s="15"/>
      <x:c r="G138" s="9"/>
      <x:c r="H138" s="9"/>
    </x:row>
    <x:row r="139" ht="22" customHeight="1">
      <x:c r="A139" s="11"/>
      <x:c r="B139" s="9"/>
      <x:c r="C139" s="9"/>
      <x:c r="D139" s="9"/>
      <x:c r="E139" s="15"/>
      <x:c r="F139" s="15"/>
      <x:c r="G139" s="9"/>
      <x:c r="H139" s="9"/>
    </x:row>
    <x:row r="140" ht="22" customHeight="1">
      <x:c r="A140" s="11"/>
      <x:c r="B140" s="9"/>
      <x:c r="C140" s="9"/>
      <x:c r="D140" s="9"/>
      <x:c r="E140" s="15"/>
      <x:c r="F140" s="15"/>
      <x:c r="G140" s="9"/>
      <x:c r="H140" s="9"/>
    </x:row>
    <x:row r="141" ht="22" customHeight="1">
      <x:c r="A141" s="11"/>
      <x:c r="B141" s="9"/>
      <x:c r="C141" s="9"/>
      <x:c r="D141" s="9"/>
      <x:c r="E141" s="15"/>
      <x:c r="F141" s="15"/>
      <x:c r="G141" s="9"/>
      <x:c r="H141" s="9"/>
    </x:row>
    <x:row r="142" ht="22" customHeight="1">
      <x:c r="A142" s="11"/>
      <x:c r="B142" s="9"/>
      <x:c r="C142" s="9"/>
      <x:c r="D142" s="9"/>
      <x:c r="E142" s="15"/>
      <x:c r="F142" s="15"/>
      <x:c r="G142" s="9"/>
      <x:c r="H142" s="9"/>
    </x:row>
    <x:row r="143" ht="22" customHeight="1">
      <x:c r="A143" s="11"/>
      <x:c r="B143" s="9"/>
      <x:c r="C143" s="9"/>
      <x:c r="D143" s="9"/>
      <x:c r="E143" s="15"/>
      <x:c r="F143" s="15"/>
      <x:c r="G143" s="9"/>
      <x:c r="H143" s="9"/>
    </x:row>
    <x:row r="144" ht="22" customHeight="1">
      <x:c r="A144" s="11"/>
      <x:c r="B144" s="9"/>
      <x:c r="C144" s="9"/>
      <x:c r="D144" s="9"/>
      <x:c r="E144" s="15"/>
      <x:c r="F144" s="15"/>
      <x:c r="G144" s="9"/>
      <x:c r="H144" s="9"/>
    </x:row>
    <x:row r="145" ht="22" customHeight="1">
      <x:c r="A145" s="11"/>
      <x:c r="B145" s="9"/>
      <x:c r="C145" s="9"/>
      <x:c r="D145" s="9"/>
      <x:c r="E145" s="15"/>
      <x:c r="F145" s="15"/>
      <x:c r="G145" s="9"/>
      <x:c r="H145" s="9"/>
    </x:row>
    <x:row r="146" ht="22" customHeight="1">
      <x:c r="A146" s="11"/>
      <x:c r="B146" s="9"/>
      <x:c r="C146" s="9"/>
      <x:c r="D146" s="9"/>
      <x:c r="E146" s="15"/>
      <x:c r="F146" s="15"/>
      <x:c r="G146" s="9"/>
      <x:c r="H146" s="9"/>
    </x:row>
    <x:row r="147" ht="22" customHeight="1">
      <x:c r="A147" s="11"/>
      <x:c r="B147" s="9"/>
      <x:c r="C147" s="9"/>
      <x:c r="D147" s="9"/>
      <x:c r="E147" s="15"/>
      <x:c r="F147" s="15"/>
      <x:c r="G147" s="9"/>
      <x:c r="H147" s="9"/>
    </x:row>
    <x:row r="148" ht="22" customHeight="1">
      <x:c r="A148" s="11"/>
      <x:c r="B148" s="9"/>
      <x:c r="C148" s="9"/>
      <x:c r="D148" s="9"/>
      <x:c r="E148" s="15"/>
      <x:c r="F148" s="15"/>
      <x:c r="G148" s="9"/>
      <x:c r="H148" s="9"/>
    </x:row>
    <x:row r="149" ht="22" customHeight="1">
      <x:c r="A149" s="11"/>
      <x:c r="B149" s="9"/>
      <x:c r="C149" s="9"/>
      <x:c r="D149" s="9"/>
      <x:c r="E149" s="15"/>
      <x:c r="F149" s="15"/>
      <x:c r="G149" s="9"/>
      <x:c r="H149" s="9"/>
    </x:row>
    <x:row r="150" ht="22" customHeight="1">
      <x:c r="A150" s="11"/>
      <x:c r="B150" s="9"/>
      <x:c r="C150" s="9"/>
      <x:c r="D150" s="9"/>
      <x:c r="E150" s="15"/>
      <x:c r="F150" s="15"/>
      <x:c r="G150" s="9"/>
      <x:c r="H150" s="9"/>
    </x:row>
    <x:row r="151" ht="22" customHeight="1">
      <x:c r="A151" s="11"/>
      <x:c r="B151" s="9"/>
      <x:c r="C151" s="9"/>
      <x:c r="D151" s="9"/>
      <x:c r="E151" s="15"/>
      <x:c r="F151" s="15"/>
      <x:c r="G151" s="9"/>
      <x:c r="H151" s="9"/>
    </x:row>
    <x:row r="152" ht="22" customHeight="1">
      <x:c r="A152" s="11"/>
      <x:c r="B152" s="9"/>
      <x:c r="C152" s="9"/>
      <x:c r="D152" s="9"/>
      <x:c r="E152" s="15"/>
      <x:c r="F152" s="15"/>
      <x:c r="G152" s="9"/>
      <x:c r="H152" s="9"/>
    </x:row>
    <x:row r="153" ht="22" customHeight="1">
      <x:c r="A153" s="11"/>
      <x:c r="B153" s="9"/>
      <x:c r="C153" s="9"/>
      <x:c r="D153" s="9"/>
      <x:c r="E153" s="15"/>
      <x:c r="F153" s="15"/>
      <x:c r="G153" s="9"/>
      <x:c r="H153" s="9"/>
    </x:row>
    <x:row r="154" ht="22" customHeight="1">
      <x:c r="A154" s="11"/>
      <x:c r="B154" s="9"/>
      <x:c r="C154" s="9"/>
      <x:c r="D154" s="9"/>
      <x:c r="E154" s="15"/>
      <x:c r="F154" s="15"/>
      <x:c r="G154" s="9"/>
      <x:c r="H154" s="9"/>
    </x:row>
    <x:row r="155" ht="22" customHeight="1">
      <x:c r="A155" s="11"/>
      <x:c r="B155" s="9"/>
      <x:c r="C155" s="9"/>
      <x:c r="D155" s="9"/>
      <x:c r="E155" s="15"/>
      <x:c r="F155" s="15"/>
      <x:c r="G155" s="9"/>
      <x:c r="H155" s="9"/>
    </x:row>
    <x:row r="156" ht="22" customHeight="1">
      <x:c r="A156" s="11"/>
      <x:c r="B156" s="9"/>
      <x:c r="C156" s="9"/>
      <x:c r="D156" s="9"/>
      <x:c r="E156" s="15"/>
      <x:c r="F156" s="15"/>
      <x:c r="G156" s="9"/>
      <x:c r="H156" s="9"/>
    </x:row>
    <x:row r="157" ht="22" customHeight="1">
      <x:c r="A157" s="11"/>
      <x:c r="B157" s="9"/>
      <x:c r="C157" s="9"/>
      <x:c r="D157" s="9"/>
      <x:c r="E157" s="15"/>
      <x:c r="F157" s="15"/>
      <x:c r="G157" s="9"/>
      <x:c r="H157" s="9"/>
    </x:row>
    <x:row r="158" ht="22" customHeight="1">
      <x:c r="A158" s="11"/>
      <x:c r="B158" s="9"/>
      <x:c r="C158" s="9"/>
      <x:c r="D158" s="9"/>
      <x:c r="E158" s="15"/>
      <x:c r="F158" s="15"/>
      <x:c r="G158" s="9"/>
      <x:c r="H158" s="9"/>
    </x:row>
    <x:row r="159" ht="22" customHeight="1">
      <x:c r="A159" s="11"/>
      <x:c r="B159" s="9"/>
      <x:c r="C159" s="9"/>
      <x:c r="D159" s="9"/>
      <x:c r="E159" s="15"/>
      <x:c r="F159" s="15"/>
      <x:c r="G159" s="9"/>
      <x:c r="H159" s="9"/>
    </x:row>
    <x:row r="160" ht="22" customHeight="1">
      <x:c r="A160" s="11"/>
      <x:c r="B160" s="9"/>
      <x:c r="C160" s="9"/>
      <x:c r="D160" s="9"/>
      <x:c r="E160" s="15"/>
      <x:c r="F160" s="15"/>
      <x:c r="G160" s="9"/>
      <x:c r="H160" s="9"/>
    </x:row>
    <x:row r="161" ht="22" customHeight="1">
      <x:c r="A161" s="11"/>
      <x:c r="B161" s="9"/>
      <x:c r="C161" s="9"/>
      <x:c r="D161" s="9"/>
      <x:c r="E161" s="15"/>
      <x:c r="F161" s="15"/>
      <x:c r="G161" s="9"/>
      <x:c r="H161" s="9"/>
    </x:row>
    <x:row r="162" ht="22" customHeight="1">
      <x:c r="A162" s="11"/>
      <x:c r="B162" s="9"/>
      <x:c r="C162" s="9"/>
      <x:c r="D162" s="9"/>
      <x:c r="E162" s="15"/>
      <x:c r="F162" s="15"/>
      <x:c r="G162" s="9"/>
      <x:c r="H162" s="9"/>
    </x:row>
    <x:row r="163" ht="22" customHeight="1">
      <x:c r="A163" s="11"/>
      <x:c r="B163" s="9"/>
      <x:c r="C163" s="9"/>
      <x:c r="D163" s="9"/>
      <x:c r="E163" s="15"/>
      <x:c r="F163" s="15"/>
      <x:c r="G163" s="9"/>
      <x:c r="H163" s="9"/>
    </x:row>
    <x:row r="164" ht="22" customHeight="1">
      <x:c r="A164" s="11"/>
      <x:c r="B164" s="9"/>
      <x:c r="C164" s="9"/>
      <x:c r="D164" s="9"/>
      <x:c r="E164" s="15"/>
      <x:c r="F164" s="15"/>
      <x:c r="G164" s="9"/>
      <x:c r="H164" s="9"/>
    </x:row>
    <x:row r="165" ht="22" customHeight="1">
      <x:c r="A165" s="11"/>
      <x:c r="B165" s="9"/>
      <x:c r="C165" s="9"/>
      <x:c r="D165" s="9"/>
      <x:c r="E165" s="15"/>
      <x:c r="F165" s="15"/>
      <x:c r="G165" s="9"/>
      <x:c r="H165" s="9"/>
    </x:row>
    <x:row r="166" ht="22" customHeight="1">
      <x:c r="A166" s="11"/>
      <x:c r="B166" s="9"/>
      <x:c r="C166" s="9"/>
      <x:c r="D166" s="9"/>
      <x:c r="E166" s="15"/>
      <x:c r="F166" s="15"/>
      <x:c r="G166" s="9"/>
      <x:c r="H166" s="9"/>
    </x:row>
    <x:row r="167" ht="22" customHeight="1">
      <x:c r="A167" s="11"/>
      <x:c r="B167" s="9"/>
      <x:c r="C167" s="9"/>
      <x:c r="D167" s="9"/>
      <x:c r="E167" s="15"/>
      <x:c r="F167" s="15"/>
      <x:c r="G167" s="9"/>
      <x:c r="H167" s="9"/>
    </x:row>
    <x:row r="168" ht="22" customHeight="1">
      <x:c r="A168" s="11"/>
      <x:c r="B168" s="9"/>
      <x:c r="C168" s="9"/>
      <x:c r="D168" s="9"/>
      <x:c r="E168" s="15"/>
      <x:c r="F168" s="15"/>
      <x:c r="G168" s="9"/>
      <x:c r="H168" s="9"/>
    </x:row>
    <x:row r="169" ht="22" customHeight="1">
      <x:c r="A169" s="11"/>
      <x:c r="B169" s="9"/>
      <x:c r="C169" s="9"/>
      <x:c r="D169" s="9"/>
      <x:c r="E169" s="15"/>
      <x:c r="F169" s="15"/>
      <x:c r="G169" s="9"/>
      <x:c r="H169" s="9"/>
    </x:row>
    <x:row r="170" ht="22" customHeight="1">
      <x:c r="A170" s="11"/>
      <x:c r="B170" s="9"/>
      <x:c r="C170" s="9"/>
      <x:c r="D170" s="9"/>
      <x:c r="E170" s="15"/>
      <x:c r="F170" s="15"/>
      <x:c r="G170" s="9"/>
      <x:c r="H170" s="9"/>
    </x:row>
    <x:row r="171" ht="22" customHeight="1">
      <x:c r="A171" s="11"/>
      <x:c r="B171" s="9"/>
      <x:c r="C171" s="9"/>
      <x:c r="D171" s="9"/>
      <x:c r="E171" s="15"/>
      <x:c r="F171" s="15"/>
      <x:c r="G171" s="9"/>
      <x:c r="H171" s="9"/>
    </x:row>
    <x:row r="172" ht="22" customHeight="1">
      <x:c r="A172" s="11"/>
      <x:c r="B172" s="9"/>
      <x:c r="C172" s="9"/>
      <x:c r="D172" s="9"/>
      <x:c r="E172" s="15"/>
      <x:c r="F172" s="15"/>
      <x:c r="G172" s="9"/>
      <x:c r="H172" s="9"/>
    </x:row>
    <x:row r="173" ht="22" customHeight="1">
      <x:c r="A173" s="11"/>
      <x:c r="B173" s="9"/>
      <x:c r="C173" s="9"/>
      <x:c r="D173" s="9"/>
      <x:c r="E173" s="15"/>
      <x:c r="F173" s="15"/>
      <x:c r="G173" s="9"/>
      <x:c r="H173" s="9"/>
    </x:row>
    <x:row r="174" ht="22" customHeight="1">
      <x:c r="A174" s="11"/>
      <x:c r="B174" s="9"/>
      <x:c r="C174" s="9"/>
      <x:c r="D174" s="9"/>
      <x:c r="E174" s="15"/>
      <x:c r="F174" s="15"/>
      <x:c r="G174" s="9"/>
      <x:c r="H174" s="9"/>
    </x:row>
    <x:row r="175" ht="22" customHeight="1">
      <x:c r="A175" s="11"/>
      <x:c r="B175" s="9"/>
      <x:c r="C175" s="9"/>
      <x:c r="D175" s="9"/>
      <x:c r="E175" s="15"/>
      <x:c r="F175" s="15"/>
      <x:c r="G175" s="9"/>
      <x:c r="H175" s="9"/>
    </x:row>
    <x:row r="176" ht="22" customHeight="1">
      <x:c r="A176" s="11"/>
      <x:c r="B176" s="9"/>
      <x:c r="C176" s="9"/>
      <x:c r="D176" s="9"/>
      <x:c r="E176" s="15"/>
      <x:c r="F176" s="15"/>
      <x:c r="G176" s="9"/>
      <x:c r="H176" s="9"/>
    </x:row>
    <x:row r="177" ht="22" customHeight="1">
      <x:c r="A177" s="11"/>
      <x:c r="B177" s="9"/>
      <x:c r="C177" s="9"/>
      <x:c r="D177" s="9"/>
      <x:c r="E177" s="15"/>
      <x:c r="F177" s="15"/>
      <x:c r="G177" s="9"/>
      <x:c r="H177" s="9"/>
    </x:row>
    <x:row r="178" ht="22" customHeight="1">
      <x:c r="A178" s="11"/>
      <x:c r="B178" s="9"/>
      <x:c r="C178" s="9"/>
      <x:c r="D178" s="9"/>
      <x:c r="E178" s="15"/>
      <x:c r="F178" s="15"/>
      <x:c r="G178" s="9"/>
      <x:c r="H178" s="9"/>
    </x:row>
    <x:row r="179" ht="22" customHeight="1">
      <x:c r="A179" s="11"/>
      <x:c r="B179" s="9"/>
      <x:c r="C179" s="9"/>
      <x:c r="D179" s="9"/>
      <x:c r="E179" s="15"/>
      <x:c r="F179" s="15"/>
      <x:c r="G179" s="9"/>
      <x:c r="H179" s="9"/>
    </x:row>
    <x:row r="180" ht="22" customHeight="1">
      <x:c r="A180" s="11"/>
      <x:c r="B180" s="9"/>
      <x:c r="C180" s="9"/>
      <x:c r="D180" s="9"/>
      <x:c r="E180" s="15"/>
      <x:c r="F180" s="15"/>
      <x:c r="G180" s="9"/>
      <x:c r="H180" s="9"/>
    </x:row>
    <x:row r="181" ht="22" customHeight="1">
      <x:c r="A181" s="11"/>
      <x:c r="B181" s="9"/>
      <x:c r="C181" s="9"/>
      <x:c r="D181" s="9"/>
      <x:c r="E181" s="15"/>
      <x:c r="F181" s="15"/>
      <x:c r="G181" s="9"/>
      <x:c r="H181" s="9"/>
    </x:row>
    <x:row r="182" ht="22" customHeight="1">
      <x:c r="A182" s="11"/>
      <x:c r="B182" s="9"/>
      <x:c r="C182" s="9"/>
      <x:c r="D182" s="9"/>
      <x:c r="E182" s="15"/>
      <x:c r="F182" s="15"/>
      <x:c r="G182" s="9"/>
      <x:c r="H182" s="9"/>
    </x:row>
    <x:row r="183" ht="22" customHeight="1">
      <x:c r="A183" s="11"/>
      <x:c r="B183" s="9"/>
      <x:c r="C183" s="9"/>
      <x:c r="D183" s="9"/>
      <x:c r="E183" s="15"/>
      <x:c r="F183" s="15"/>
      <x:c r="G183" s="9"/>
      <x:c r="H183" s="9"/>
    </x:row>
    <x:row r="184" ht="22" customHeight="1">
      <x:c r="A184" s="11"/>
      <x:c r="B184" s="9"/>
      <x:c r="C184" s="9"/>
      <x:c r="D184" s="9"/>
      <x:c r="E184" s="15"/>
      <x:c r="F184" s="15"/>
      <x:c r="G184" s="9"/>
      <x:c r="H184" s="9"/>
    </x:row>
    <x:row r="185" ht="22" customHeight="1">
      <x:c r="A185" s="11"/>
      <x:c r="B185" s="9"/>
      <x:c r="C185" s="9"/>
      <x:c r="D185" s="9"/>
      <x:c r="E185" s="15"/>
      <x:c r="F185" s="15"/>
      <x:c r="G185" s="9"/>
      <x:c r="H185" s="9"/>
    </x:row>
    <x:row r="186" ht="22" customHeight="1">
      <x:c r="A186" s="11"/>
      <x:c r="B186" s="9"/>
      <x:c r="C186" s="9"/>
      <x:c r="D186" s="9"/>
      <x:c r="E186" s="15"/>
      <x:c r="F186" s="15"/>
      <x:c r="G186" s="9"/>
      <x:c r="H186" s="9"/>
    </x:row>
    <x:row r="187" ht="22" customHeight="1">
      <x:c r="A187" s="11"/>
      <x:c r="B187" s="9"/>
      <x:c r="C187" s="9"/>
      <x:c r="D187" s="9"/>
      <x:c r="E187" s="15"/>
      <x:c r="F187" s="15"/>
      <x:c r="G187" s="9"/>
      <x:c r="H187" s="9"/>
    </x:row>
    <x:row r="188" ht="22" customHeight="1">
      <x:c r="A188" s="11"/>
      <x:c r="B188" s="9"/>
      <x:c r="C188" s="9"/>
      <x:c r="D188" s="9"/>
      <x:c r="E188" s="15"/>
      <x:c r="F188" s="15"/>
      <x:c r="G188" s="9"/>
      <x:c r="H188" s="9"/>
    </x:row>
    <x:row r="189" ht="22" customHeight="1">
      <x:c r="A189" s="11"/>
      <x:c r="B189" s="9"/>
      <x:c r="C189" s="9"/>
      <x:c r="D189" s="9"/>
      <x:c r="E189" s="15"/>
      <x:c r="F189" s="15"/>
      <x:c r="G189" s="9"/>
      <x:c r="H189" s="9"/>
    </x:row>
    <x:row r="190" ht="22" customHeight="1">
      <x:c r="A190" s="11"/>
      <x:c r="B190" s="9"/>
      <x:c r="C190" s="9"/>
      <x:c r="D190" s="9"/>
      <x:c r="E190" s="15"/>
      <x:c r="F190" s="15"/>
      <x:c r="G190" s="9"/>
      <x:c r="H190" s="9"/>
    </x:row>
    <x:row r="191" ht="22" customHeight="1">
      <x:c r="A191" s="11"/>
      <x:c r="B191" s="9"/>
      <x:c r="C191" s="9"/>
      <x:c r="D191" s="9"/>
      <x:c r="E191" s="15"/>
      <x:c r="F191" s="15"/>
      <x:c r="G191" s="9"/>
      <x:c r="H191" s="9"/>
    </x:row>
    <x:row r="192" ht="22" customHeight="1">
      <x:c r="A192" s="11"/>
      <x:c r="B192" s="9"/>
      <x:c r="C192" s="9"/>
      <x:c r="D192" s="9"/>
      <x:c r="E192" s="15"/>
      <x:c r="F192" s="15"/>
      <x:c r="G192" s="9"/>
      <x:c r="H192" s="9"/>
    </x:row>
    <x:row r="193" ht="22" customHeight="1">
      <x:c r="A193" s="11"/>
      <x:c r="B193" s="9"/>
      <x:c r="C193" s="9"/>
      <x:c r="D193" s="9"/>
      <x:c r="E193" s="15"/>
      <x:c r="F193" s="15"/>
      <x:c r="G193" s="9"/>
      <x:c r="H193" s="9"/>
    </x:row>
    <x:row r="194" ht="22" customHeight="1">
      <x:c r="A194" s="11"/>
      <x:c r="B194" s="9"/>
      <x:c r="C194" s="9"/>
      <x:c r="D194" s="9"/>
      <x:c r="E194" s="15"/>
      <x:c r="F194" s="15"/>
      <x:c r="G194" s="9"/>
      <x:c r="H194" s="9"/>
    </x:row>
    <x:row r="195" ht="22" customHeight="1">
      <x:c r="A195" s="11"/>
      <x:c r="B195" s="9"/>
      <x:c r="C195" s="9"/>
      <x:c r="D195" s="9"/>
      <x:c r="E195" s="15"/>
      <x:c r="F195" s="15"/>
      <x:c r="G195" s="9"/>
      <x:c r="H195" s="9"/>
    </x:row>
    <x:row r="196" ht="22" customHeight="1">
      <x:c r="A196" s="11"/>
      <x:c r="B196" s="9"/>
      <x:c r="C196" s="9"/>
      <x:c r="D196" s="9"/>
      <x:c r="E196" s="15"/>
      <x:c r="F196" s="15"/>
      <x:c r="G196" s="9"/>
      <x:c r="H196" s="9"/>
    </x:row>
    <x:row r="197" ht="22" customHeight="1">
      <x:c r="A197" s="11"/>
      <x:c r="B197" s="9"/>
      <x:c r="C197" s="9"/>
      <x:c r="D197" s="9"/>
      <x:c r="E197" s="15"/>
      <x:c r="F197" s="15"/>
      <x:c r="G197" s="9"/>
      <x:c r="H197" s="9"/>
    </x:row>
    <x:row r="198" ht="22" customHeight="1">
      <x:c r="A198" s="11"/>
      <x:c r="B198" s="9"/>
      <x:c r="C198" s="9"/>
      <x:c r="D198" s="9"/>
      <x:c r="E198" s="15"/>
      <x:c r="F198" s="15"/>
      <x:c r="G198" s="9"/>
      <x:c r="H198" s="9"/>
    </x:row>
    <x:row r="199" ht="22" customHeight="1">
      <x:c r="A199" s="11"/>
      <x:c r="B199" s="9"/>
      <x:c r="C199" s="9"/>
      <x:c r="D199" s="9"/>
      <x:c r="E199" s="15"/>
      <x:c r="F199" s="15"/>
      <x:c r="G199" s="9"/>
      <x:c r="H199" s="9"/>
    </x:row>
    <x:row r="200" ht="22" customHeight="1">
      <x:c r="A200" s="11"/>
      <x:c r="B200" s="9"/>
      <x:c r="C200" s="9"/>
      <x:c r="D200" s="9"/>
      <x:c r="E200" s="15"/>
      <x:c r="F200" s="15"/>
      <x:c r="G200" s="9"/>
      <x:c r="H200" s="9"/>
    </x:row>
    <x:row r="201" ht="22" customHeight="1">
      <x:c r="A201" s="11"/>
      <x:c r="B201" s="9"/>
      <x:c r="C201" s="9"/>
      <x:c r="D201" s="9"/>
      <x:c r="E201" s="15"/>
      <x:c r="F201" s="15"/>
      <x:c r="G201" s="9"/>
      <x:c r="H201" s="9"/>
    </x:row>
    <x:row r="202" ht="22" customHeight="1">
      <x:c r="A202" s="11"/>
      <x:c r="B202" s="9"/>
      <x:c r="C202" s="9"/>
      <x:c r="D202" s="9"/>
      <x:c r="E202" s="15"/>
      <x:c r="F202" s="15"/>
      <x:c r="G202" s="9"/>
      <x:c r="H202" s="9"/>
    </x:row>
    <x:row r="203" ht="22" customHeight="1">
      <x:c r="A203" s="11"/>
      <x:c r="B203" s="9"/>
      <x:c r="C203" s="9"/>
      <x:c r="D203" s="9"/>
      <x:c r="E203" s="15"/>
      <x:c r="F203" s="15"/>
      <x:c r="G203" s="9"/>
      <x:c r="H203" s="9"/>
    </x:row>
    <x:row r="204" ht="22" customHeight="1">
      <x:c r="A204" s="11"/>
      <x:c r="B204" s="9"/>
      <x:c r="C204" s="9"/>
      <x:c r="D204" s="9"/>
      <x:c r="E204" s="15"/>
      <x:c r="F204" s="15"/>
      <x:c r="G204" s="9"/>
      <x:c r="H204" s="9"/>
    </x:row>
    <x:row r="205" ht="22" customHeight="1">
      <x:c r="A205" s="11"/>
      <x:c r="B205" s="9"/>
      <x:c r="C205" s="9"/>
      <x:c r="D205" s="9"/>
      <x:c r="E205" s="15"/>
      <x:c r="F205" s="15"/>
      <x:c r="G205" s="9"/>
      <x:c r="H205" s="9"/>
    </x:row>
    <x:row r="206" ht="22" customHeight="1">
      <x:c r="A206" s="11"/>
      <x:c r="B206" s="9"/>
      <x:c r="C206" s="9"/>
      <x:c r="D206" s="9"/>
      <x:c r="E206" s="15"/>
      <x:c r="F206" s="15"/>
      <x:c r="G206" s="9"/>
      <x:c r="H206" s="9"/>
    </x:row>
    <x:row r="207" ht="22" customHeight="1">
      <x:c r="A207" s="11"/>
      <x:c r="B207" s="9"/>
      <x:c r="C207" s="9"/>
      <x:c r="D207" s="9"/>
      <x:c r="E207" s="15"/>
      <x:c r="F207" s="15"/>
      <x:c r="G207" s="9"/>
      <x:c r="H207" s="9"/>
    </x:row>
    <x:row r="208" ht="22" customHeight="1">
      <x:c r="A208" s="11"/>
      <x:c r="B208" s="9"/>
      <x:c r="C208" s="9"/>
      <x:c r="D208" s="9"/>
      <x:c r="E208" s="15"/>
      <x:c r="F208" s="15"/>
      <x:c r="G208" s="9"/>
      <x:c r="H208" s="9"/>
    </x:row>
    <x:row r="209" ht="22" customHeight="1">
      <x:c r="A209" s="11"/>
      <x:c r="B209" s="9"/>
      <x:c r="C209" s="9"/>
      <x:c r="D209" s="9"/>
      <x:c r="E209" s="15"/>
      <x:c r="F209" s="15"/>
      <x:c r="G209" s="9"/>
      <x:c r="H209" s="9"/>
    </x:row>
    <x:row r="210" ht="22" customHeight="1">
      <x:c r="A210" s="11"/>
      <x:c r="B210" s="9"/>
      <x:c r="C210" s="9"/>
      <x:c r="D210" s="9"/>
      <x:c r="E210" s="15"/>
      <x:c r="F210" s="15"/>
      <x:c r="G210" s="9"/>
      <x:c r="H210" s="9"/>
    </x:row>
    <x:row r="211" ht="22" customHeight="1">
      <x:c r="A211" s="11"/>
      <x:c r="B211" s="9"/>
      <x:c r="C211" s="9"/>
      <x:c r="D211" s="9"/>
      <x:c r="E211" s="15"/>
      <x:c r="F211" s="15"/>
      <x:c r="G211" s="9"/>
      <x:c r="H211" s="9"/>
    </x:row>
    <x:row r="212" ht="22" customHeight="1">
      <x:c r="A212" s="11"/>
      <x:c r="B212" s="9"/>
      <x:c r="C212" s="9"/>
      <x:c r="D212" s="9"/>
      <x:c r="E212" s="15"/>
      <x:c r="F212" s="15"/>
      <x:c r="G212" s="9"/>
      <x:c r="H212" s="9"/>
    </x:row>
    <x:row r="213" ht="22" customHeight="1">
      <x:c r="A213" s="11"/>
      <x:c r="B213" s="9"/>
      <x:c r="C213" s="9"/>
      <x:c r="D213" s="9"/>
      <x:c r="E213" s="15"/>
      <x:c r="F213" s="15"/>
      <x:c r="G213" s="9"/>
      <x:c r="H213" s="9"/>
    </x:row>
    <x:row r="214" ht="22" customHeight="1">
      <x:c r="A214" s="11"/>
      <x:c r="B214" s="9"/>
      <x:c r="C214" s="9"/>
      <x:c r="D214" s="9"/>
      <x:c r="E214" s="15"/>
      <x:c r="F214" s="15"/>
      <x:c r="G214" s="9"/>
      <x:c r="H214" s="9"/>
    </x:row>
    <x:row r="215" ht="22" customHeight="1">
      <x:c r="A215" s="11"/>
      <x:c r="B215" s="9"/>
      <x:c r="C215" s="9"/>
      <x:c r="D215" s="9"/>
      <x:c r="E215" s="15"/>
      <x:c r="F215" s="15"/>
      <x:c r="G215" s="9"/>
      <x:c r="H215" s="9"/>
    </x:row>
    <x:row r="216" ht="22" customHeight="1">
      <x:c r="A216" s="11"/>
      <x:c r="B216" s="9"/>
      <x:c r="C216" s="9"/>
      <x:c r="D216" s="9"/>
      <x:c r="E216" s="15"/>
      <x:c r="F216" s="15"/>
      <x:c r="G216" s="9"/>
      <x:c r="H216" s="9"/>
    </x:row>
    <x:row r="217" ht="22" customHeight="1">
      <x:c r="A217" s="11"/>
      <x:c r="B217" s="9"/>
      <x:c r="C217" s="9"/>
      <x:c r="D217" s="9"/>
      <x:c r="E217" s="15"/>
      <x:c r="F217" s="15"/>
      <x:c r="G217" s="9"/>
      <x:c r="H217" s="9"/>
    </x:row>
    <x:row r="218" ht="22" customHeight="1">
      <x:c r="A218" s="11"/>
      <x:c r="B218" s="9"/>
      <x:c r="C218" s="9"/>
      <x:c r="D218" s="9"/>
      <x:c r="E218" s="15"/>
      <x:c r="F218" s="15"/>
      <x:c r="G218" s="9"/>
      <x:c r="H218" s="9"/>
    </x:row>
    <x:row r="219" ht="22" customHeight="1">
      <x:c r="A219" s="11"/>
      <x:c r="B219" s="9"/>
      <x:c r="C219" s="9"/>
      <x:c r="D219" s="9"/>
      <x:c r="E219" s="15"/>
      <x:c r="F219" s="15"/>
      <x:c r="G219" s="9"/>
      <x:c r="H219" s="9"/>
    </x:row>
    <x:row r="220" ht="22" customHeight="1">
      <x:c r="A220" s="11"/>
      <x:c r="B220" s="9"/>
      <x:c r="C220" s="9"/>
      <x:c r="D220" s="9"/>
      <x:c r="E220" s="15"/>
      <x:c r="F220" s="15"/>
      <x:c r="G220" s="9"/>
      <x:c r="H220" s="9"/>
    </x:row>
    <x:row r="221" ht="22" customHeight="1">
      <x:c r="A221" s="11"/>
      <x:c r="B221" s="9"/>
      <x:c r="C221" s="9"/>
      <x:c r="D221" s="9"/>
      <x:c r="E221" s="15"/>
      <x:c r="F221" s="15"/>
      <x:c r="G221" s="9"/>
      <x:c r="H221" s="9"/>
    </x:row>
    <x:row r="222" ht="22" customHeight="1">
      <x:c r="A222" s="11"/>
      <x:c r="B222" s="9"/>
      <x:c r="C222" s="9"/>
      <x:c r="D222" s="9"/>
      <x:c r="E222" s="15"/>
      <x:c r="F222" s="15"/>
      <x:c r="G222" s="9"/>
      <x:c r="H222" s="9"/>
    </x:row>
    <x:row r="223" ht="22" customHeight="1">
      <x:c r="A223" s="11"/>
      <x:c r="B223" s="9"/>
      <x:c r="C223" s="9"/>
      <x:c r="D223" s="9"/>
      <x:c r="E223" s="15"/>
      <x:c r="F223" s="15"/>
      <x:c r="G223" s="9"/>
      <x:c r="H223" s="9"/>
    </x:row>
    <x:row r="224" ht="22" customHeight="1">
      <x:c r="A224" s="11"/>
      <x:c r="B224" s="9"/>
      <x:c r="C224" s="9"/>
      <x:c r="D224" s="9"/>
      <x:c r="E224" s="15"/>
      <x:c r="F224" s="15"/>
      <x:c r="G224" s="9"/>
      <x:c r="H224" s="9"/>
    </x:row>
    <x:row r="225" ht="22" customHeight="1">
      <x:c r="A225" s="11"/>
      <x:c r="B225" s="9"/>
      <x:c r="C225" s="9"/>
      <x:c r="D225" s="9"/>
      <x:c r="E225" s="15"/>
      <x:c r="F225" s="15"/>
      <x:c r="G225" s="9"/>
      <x:c r="H225" s="9"/>
    </x:row>
    <x:row r="226" ht="22" customHeight="1">
      <x:c r="A226" s="11"/>
      <x:c r="B226" s="9"/>
      <x:c r="C226" s="9"/>
      <x:c r="D226" s="9"/>
      <x:c r="E226" s="15"/>
      <x:c r="F226" s="15"/>
      <x:c r="G226" s="9"/>
      <x:c r="H226" s="9"/>
    </x:row>
    <x:row r="227" ht="22" customHeight="1">
      <x:c r="A227" s="11"/>
      <x:c r="B227" s="9"/>
      <x:c r="C227" s="9"/>
      <x:c r="D227" s="9"/>
      <x:c r="E227" s="15"/>
      <x:c r="F227" s="15"/>
      <x:c r="G227" s="9"/>
      <x:c r="H227" s="9"/>
    </x:row>
    <x:row r="228" ht="22" customHeight="1">
      <x:c r="A228" s="11"/>
      <x:c r="B228" s="9"/>
      <x:c r="C228" s="9"/>
      <x:c r="D228" s="9"/>
      <x:c r="E228" s="15"/>
      <x:c r="F228" s="15"/>
      <x:c r="G228" s="9"/>
      <x:c r="H228" s="9"/>
    </x:row>
    <x:row r="229" ht="22" customHeight="1">
      <x:c r="A229" s="11"/>
      <x:c r="B229" s="9"/>
      <x:c r="C229" s="9"/>
      <x:c r="D229" s="9"/>
      <x:c r="E229" s="15"/>
      <x:c r="F229" s="15"/>
      <x:c r="G229" s="9"/>
      <x:c r="H229" s="9"/>
    </x:row>
    <x:row r="230" ht="22" customHeight="1">
      <x:c r="A230" s="11"/>
      <x:c r="B230" s="9"/>
      <x:c r="C230" s="9"/>
      <x:c r="D230" s="9"/>
      <x:c r="E230" s="15"/>
      <x:c r="F230" s="15"/>
      <x:c r="G230" s="9"/>
      <x:c r="H230" s="9"/>
    </x:row>
    <x:row r="231" ht="22" customHeight="1">
      <x:c r="A231" s="11"/>
      <x:c r="B231" s="9"/>
      <x:c r="C231" s="9"/>
      <x:c r="D231" s="9"/>
      <x:c r="E231" s="15"/>
      <x:c r="F231" s="15"/>
      <x:c r="G231" s="9"/>
      <x:c r="H231" s="9"/>
    </x:row>
    <x:row r="232" ht="22" customHeight="1">
      <x:c r="A232" s="11"/>
      <x:c r="B232" s="9"/>
      <x:c r="C232" s="9"/>
      <x:c r="D232" s="9"/>
      <x:c r="E232" s="15"/>
      <x:c r="F232" s="15"/>
      <x:c r="G232" s="9"/>
      <x:c r="H232" s="9"/>
    </x:row>
    <x:row r="233" ht="22" customHeight="1">
      <x:c r="A233" s="11"/>
      <x:c r="B233" s="9"/>
      <x:c r="C233" s="9"/>
      <x:c r="D233" s="9"/>
      <x:c r="E233" s="15"/>
      <x:c r="F233" s="15"/>
      <x:c r="G233" s="9"/>
      <x:c r="H233" s="9"/>
    </x:row>
    <x:row r="234" ht="22" customHeight="1">
      <x:c r="A234" s="11"/>
      <x:c r="B234" s="9"/>
      <x:c r="C234" s="9"/>
      <x:c r="D234" s="9"/>
      <x:c r="E234" s="15"/>
      <x:c r="F234" s="15"/>
      <x:c r="G234" s="9"/>
      <x:c r="H234" s="9"/>
    </x:row>
    <x:row r="235" ht="22" customHeight="1">
      <x:c r="A235" s="11"/>
      <x:c r="B235" s="9"/>
      <x:c r="C235" s="9"/>
      <x:c r="D235" s="9"/>
      <x:c r="E235" s="15"/>
      <x:c r="F235" s="15"/>
      <x:c r="G235" s="9"/>
      <x:c r="H235" s="9"/>
    </x:row>
    <x:row r="236" ht="22" customHeight="1">
      <x:c r="A236" s="11"/>
      <x:c r="B236" s="9"/>
      <x:c r="C236" s="9"/>
      <x:c r="D236" s="9"/>
      <x:c r="E236" s="15"/>
      <x:c r="F236" s="15"/>
      <x:c r="G236" s="9"/>
      <x:c r="H236" s="9"/>
    </x:row>
    <x:row r="237" ht="22" customHeight="1">
      <x:c r="A237" s="11"/>
      <x:c r="B237" s="9"/>
      <x:c r="C237" s="9"/>
      <x:c r="D237" s="9"/>
      <x:c r="E237" s="15"/>
      <x:c r="F237" s="15"/>
      <x:c r="G237" s="9"/>
      <x:c r="H237" s="9"/>
    </x:row>
    <x:row r="238" ht="22" customHeight="1">
      <x:c r="A238" s="11"/>
      <x:c r="B238" s="9"/>
      <x:c r="C238" s="9"/>
      <x:c r="D238" s="9"/>
      <x:c r="E238" s="15"/>
      <x:c r="F238" s="15"/>
      <x:c r="G238" s="9"/>
      <x:c r="H238" s="9"/>
    </x:row>
    <x:row r="239" ht="22" customHeight="1">
      <x:c r="A239" s="11"/>
      <x:c r="B239" s="9"/>
      <x:c r="C239" s="9"/>
      <x:c r="D239" s="9"/>
      <x:c r="E239" s="15"/>
      <x:c r="F239" s="15"/>
      <x:c r="G239" s="9"/>
      <x:c r="H239" s="9"/>
    </x:row>
    <x:row r="240" ht="22" customHeight="1">
      <x:c r="A240" s="11"/>
      <x:c r="B240" s="9"/>
      <x:c r="C240" s="9"/>
      <x:c r="D240" s="9"/>
      <x:c r="E240" s="15"/>
      <x:c r="F240" s="15"/>
      <x:c r="G240" s="9"/>
      <x:c r="H240" s="9"/>
    </x:row>
    <x:row r="241" ht="22" customHeight="1">
      <x:c r="A241" s="11"/>
      <x:c r="B241" s="9"/>
      <x:c r="C241" s="9"/>
      <x:c r="D241" s="9"/>
      <x:c r="E241" s="15"/>
      <x:c r="F241" s="15"/>
      <x:c r="G241" s="9"/>
      <x:c r="H241" s="9"/>
    </x:row>
    <x:row r="242" ht="22" customHeight="1">
      <x:c r="A242" s="11"/>
      <x:c r="B242" s="9"/>
      <x:c r="C242" s="9"/>
      <x:c r="D242" s="9"/>
      <x:c r="E242" s="15"/>
      <x:c r="F242" s="15"/>
      <x:c r="G242" s="9"/>
      <x:c r="H242" s="9"/>
    </x:row>
    <x:row r="243" ht="22" customHeight="1">
      <x:c r="A243" s="11"/>
      <x:c r="B243" s="9"/>
      <x:c r="C243" s="9"/>
      <x:c r="D243" s="9"/>
      <x:c r="E243" s="15"/>
      <x:c r="F243" s="15"/>
      <x:c r="G243" s="9"/>
      <x:c r="H243" s="9"/>
    </x:row>
    <x:row r="244" ht="22" customHeight="1">
      <x:c r="A244" s="11"/>
      <x:c r="B244" s="9"/>
      <x:c r="C244" s="9"/>
      <x:c r="D244" s="9"/>
      <x:c r="E244" s="15"/>
      <x:c r="F244" s="15"/>
      <x:c r="G244" s="9"/>
      <x:c r="H244" s="9"/>
    </x:row>
    <x:row r="245" ht="22" customHeight="1">
      <x:c r="A245" s="11"/>
      <x:c r="B245" s="9"/>
      <x:c r="C245" s="9"/>
      <x:c r="D245" s="9"/>
      <x:c r="E245" s="15"/>
      <x:c r="F245" s="15"/>
      <x:c r="G245" s="9"/>
      <x:c r="H245" s="9"/>
    </x:row>
    <x:row r="246" ht="22" customHeight="1">
      <x:c r="A246" s="11"/>
      <x:c r="B246" s="9"/>
      <x:c r="C246" s="9"/>
      <x:c r="D246" s="9"/>
      <x:c r="E246" s="15"/>
      <x:c r="F246" s="15"/>
      <x:c r="G246" s="9"/>
      <x:c r="H246" s="9"/>
    </x:row>
    <x:row r="247" ht="22" customHeight="1">
      <x:c r="A247" s="11"/>
      <x:c r="B247" s="9"/>
      <x:c r="C247" s="9"/>
      <x:c r="D247" s="9"/>
      <x:c r="E247" s="15"/>
      <x:c r="F247" s="15"/>
      <x:c r="G247" s="9"/>
      <x:c r="H247" s="9"/>
    </x:row>
    <x:row r="248" ht="22" customHeight="1">
      <x:c r="A248" s="11"/>
      <x:c r="B248" s="9"/>
      <x:c r="C248" s="9"/>
      <x:c r="D248" s="9"/>
      <x:c r="E248" s="15"/>
      <x:c r="F248" s="15"/>
      <x:c r="G248" s="9"/>
      <x:c r="H248" s="9"/>
    </x:row>
    <x:row r="249" ht="22" customHeight="1">
      <x:c r="A249" s="11"/>
      <x:c r="B249" s="9"/>
      <x:c r="C249" s="9"/>
      <x:c r="D249" s="9"/>
      <x:c r="E249" s="15"/>
      <x:c r="F249" s="15"/>
      <x:c r="G249" s="9"/>
      <x:c r="H249" s="9"/>
    </x:row>
    <x:row r="250" ht="22" customHeight="1">
      <x:c r="A250" s="11"/>
      <x:c r="B250" s="9"/>
      <x:c r="C250" s="9"/>
      <x:c r="D250" s="9"/>
      <x:c r="E250" s="15"/>
      <x:c r="F250" s="15"/>
      <x:c r="G250" s="9"/>
      <x:c r="H250" s="9"/>
    </x:row>
    <x:row r="251" ht="22" customHeight="1">
      <x:c r="A251" s="11"/>
      <x:c r="B251" s="9"/>
      <x:c r="C251" s="9"/>
      <x:c r="D251" s="9"/>
      <x:c r="E251" s="15"/>
      <x:c r="F251" s="15"/>
      <x:c r="G251" s="9"/>
      <x:c r="H251" s="9"/>
    </x:row>
    <x:row r="252" ht="22" customHeight="1">
      <x:c r="A252" s="11"/>
      <x:c r="B252" s="9"/>
      <x:c r="C252" s="9"/>
      <x:c r="D252" s="9"/>
      <x:c r="E252" s="15"/>
      <x:c r="F252" s="15"/>
      <x:c r="G252" s="9"/>
      <x:c r="H252" s="9"/>
    </x:row>
    <x:row r="253" ht="22" customHeight="1">
      <x:c r="A253" s="11"/>
      <x:c r="B253" s="9"/>
      <x:c r="C253" s="9"/>
      <x:c r="D253" s="9"/>
      <x:c r="E253" s="15"/>
      <x:c r="F253" s="15"/>
      <x:c r="G253" s="9"/>
      <x:c r="H253" s="9"/>
    </x:row>
    <x:row r="254" ht="22" customHeight="1">
      <x:c r="A254" s="11"/>
      <x:c r="B254" s="9"/>
      <x:c r="C254" s="9"/>
      <x:c r="D254" s="9"/>
      <x:c r="E254" s="15"/>
      <x:c r="F254" s="15"/>
      <x:c r="G254" s="9"/>
      <x:c r="H254" s="9"/>
    </x:row>
    <x:row r="255" ht="22" customHeight="1">
      <x:c r="A255" s="11"/>
      <x:c r="B255" s="9"/>
      <x:c r="C255" s="9"/>
      <x:c r="D255" s="9"/>
      <x:c r="E255" s="15"/>
      <x:c r="F255" s="15"/>
      <x:c r="G255" s="9"/>
      <x:c r="H255" s="9"/>
    </x:row>
    <x:row r="256" ht="22" customHeight="1">
      <x:c r="A256" s="11"/>
      <x:c r="B256" s="9"/>
      <x:c r="C256" s="9"/>
      <x:c r="D256" s="9"/>
      <x:c r="E256" s="15"/>
      <x:c r="F256" s="15"/>
      <x:c r="G256" s="9"/>
      <x:c r="H256" s="9"/>
    </x:row>
    <x:row r="257" ht="22" customHeight="1">
      <x:c r="A257" s="11"/>
      <x:c r="B257" s="9"/>
      <x:c r="C257" s="9"/>
      <x:c r="D257" s="9"/>
      <x:c r="E257" s="15"/>
      <x:c r="F257" s="15"/>
      <x:c r="G257" s="9"/>
      <x:c r="H257" s="9"/>
    </x:row>
    <x:row r="258" ht="22" customHeight="1">
      <x:c r="A258" s="11"/>
      <x:c r="B258" s="9"/>
      <x:c r="C258" s="9"/>
      <x:c r="D258" s="9"/>
      <x:c r="E258" s="15"/>
      <x:c r="F258" s="15"/>
      <x:c r="G258" s="9"/>
      <x:c r="H258" s="9"/>
    </x:row>
    <x:row r="259" ht="22" customHeight="1">
      <x:c r="A259" s="11"/>
      <x:c r="B259" s="9"/>
      <x:c r="C259" s="9"/>
      <x:c r="D259" s="9"/>
      <x:c r="E259" s="15"/>
      <x:c r="F259" s="15"/>
      <x:c r="G259" s="9"/>
      <x:c r="H259" s="9"/>
    </x:row>
    <x:row r="260" ht="22" customHeight="1">
      <x:c r="A260" s="11"/>
      <x:c r="B260" s="9"/>
      <x:c r="C260" s="9"/>
      <x:c r="D260" s="9"/>
      <x:c r="E260" s="15"/>
      <x:c r="F260" s="15"/>
      <x:c r="G260" s="9"/>
      <x:c r="H260" s="9"/>
    </x:row>
    <x:row r="261" ht="22" customHeight="1">
      <x:c r="A261" s="11"/>
      <x:c r="B261" s="9"/>
      <x:c r="C261" s="9"/>
      <x:c r="D261" s="9"/>
      <x:c r="E261" s="15"/>
      <x:c r="F261" s="15"/>
      <x:c r="G261" s="9"/>
      <x:c r="H261" s="9"/>
    </x:row>
    <x:row r="262" ht="22" customHeight="1">
      <x:c r="A262" s="11"/>
      <x:c r="B262" s="9"/>
      <x:c r="C262" s="9"/>
      <x:c r="D262" s="9"/>
      <x:c r="E262" s="15"/>
      <x:c r="F262" s="15"/>
      <x:c r="G262" s="9"/>
      <x:c r="H262" s="9"/>
    </x:row>
    <x:row r="263" ht="22" customHeight="1">
      <x:c r="A263" s="11"/>
      <x:c r="B263" s="9"/>
      <x:c r="C263" s="9"/>
      <x:c r="D263" s="9"/>
      <x:c r="E263" s="15"/>
      <x:c r="F263" s="15"/>
      <x:c r="G263" s="9"/>
      <x:c r="H263" s="9"/>
    </x:row>
    <x:row r="264" ht="22" customHeight="1">
      <x:c r="A264" s="11"/>
      <x:c r="B264" s="9"/>
      <x:c r="C264" s="9"/>
      <x:c r="D264" s="9"/>
      <x:c r="E264" s="15"/>
      <x:c r="F264" s="15"/>
      <x:c r="G264" s="9"/>
      <x:c r="H264" s="9"/>
    </x:row>
    <x:row r="265" ht="22" customHeight="1">
      <x:c r="A265" s="11"/>
      <x:c r="B265" s="9"/>
      <x:c r="C265" s="9"/>
      <x:c r="D265" s="9"/>
      <x:c r="E265" s="15"/>
      <x:c r="F265" s="15"/>
      <x:c r="G265" s="9"/>
      <x:c r="H265" s="9"/>
    </x:row>
    <x:row r="266" ht="22" customHeight="1">
      <x:c r="A266" s="11"/>
      <x:c r="B266" s="9"/>
      <x:c r="C266" s="9"/>
      <x:c r="D266" s="9"/>
      <x:c r="E266" s="15"/>
      <x:c r="F266" s="15"/>
      <x:c r="G266" s="9"/>
      <x:c r="H266" s="9"/>
    </x:row>
    <x:row r="267" ht="22" customHeight="1">
      <x:c r="A267" s="11"/>
      <x:c r="B267" s="9"/>
      <x:c r="C267" s="9"/>
      <x:c r="D267" s="9"/>
      <x:c r="E267" s="15"/>
      <x:c r="F267" s="15"/>
      <x:c r="G267" s="9"/>
      <x:c r="H267" s="9"/>
    </x:row>
    <x:row r="268" ht="22" customHeight="1">
      <x:c r="A268" s="11"/>
      <x:c r="B268" s="9"/>
      <x:c r="C268" s="9"/>
      <x:c r="D268" s="9"/>
      <x:c r="E268" s="15"/>
      <x:c r="F268" s="15"/>
      <x:c r="G268" s="9"/>
      <x:c r="H268" s="9"/>
    </x:row>
    <x:row r="269" ht="22" customHeight="1">
      <x:c r="A269" s="11"/>
      <x:c r="B269" s="9"/>
      <x:c r="C269" s="9"/>
      <x:c r="D269" s="9"/>
      <x:c r="E269" s="15"/>
      <x:c r="F269" s="15"/>
      <x:c r="G269" s="9"/>
      <x:c r="H269" s="9"/>
    </x:row>
    <x:row r="270" ht="22" customHeight="1">
      <x:c r="A270" s="11"/>
      <x:c r="B270" s="9"/>
      <x:c r="C270" s="9"/>
      <x:c r="D270" s="9"/>
      <x:c r="E270" s="15"/>
      <x:c r="F270" s="15"/>
      <x:c r="G270" s="9"/>
      <x:c r="H270" s="9"/>
    </x:row>
    <x:row r="271" ht="22" customHeight="1">
      <x:c r="A271" s="11"/>
      <x:c r="B271" s="9"/>
      <x:c r="C271" s="9"/>
      <x:c r="D271" s="9"/>
      <x:c r="E271" s="15"/>
      <x:c r="F271" s="15"/>
      <x:c r="G271" s="9"/>
      <x:c r="H271" s="9"/>
    </x:row>
    <x:row r="272" ht="22" customHeight="1">
      <x:c r="A272" s="11"/>
      <x:c r="B272" s="9"/>
      <x:c r="C272" s="9"/>
      <x:c r="D272" s="9"/>
      <x:c r="E272" s="15"/>
      <x:c r="F272" s="15"/>
      <x:c r="G272" s="9"/>
      <x:c r="H272" s="9"/>
    </x:row>
    <x:row r="273" ht="22" customHeight="1">
      <x:c r="A273" s="11"/>
      <x:c r="B273" s="9"/>
      <x:c r="C273" s="9"/>
      <x:c r="D273" s="9"/>
      <x:c r="E273" s="15"/>
      <x:c r="F273" s="15"/>
      <x:c r="G273" s="9"/>
      <x:c r="H273" s="9"/>
    </x:row>
    <x:row r="274" ht="22" customHeight="1">
      <x:c r="A274" s="11"/>
      <x:c r="B274" s="9"/>
      <x:c r="C274" s="9"/>
      <x:c r="D274" s="9"/>
      <x:c r="E274" s="15"/>
      <x:c r="F274" s="15"/>
      <x:c r="G274" s="9"/>
      <x:c r="H274" s="9"/>
    </x:row>
    <x:row r="275" ht="22" customHeight="1">
      <x:c r="A275" s="11"/>
      <x:c r="B275" s="9"/>
      <x:c r="C275" s="9"/>
      <x:c r="D275" s="9"/>
      <x:c r="E275" s="15"/>
      <x:c r="F275" s="15"/>
      <x:c r="G275" s="9"/>
      <x:c r="H275" s="9"/>
    </x:row>
    <x:row r="276" ht="22" customHeight="1">
      <x:c r="A276" s="11"/>
      <x:c r="B276" s="9"/>
      <x:c r="C276" s="9"/>
      <x:c r="D276" s="9"/>
      <x:c r="E276" s="15"/>
      <x:c r="F276" s="15"/>
      <x:c r="G276" s="9"/>
      <x:c r="H276" s="9"/>
    </x:row>
    <x:row r="277" ht="22" customHeight="1">
      <x:c r="A277" s="11"/>
      <x:c r="B277" s="9"/>
      <x:c r="C277" s="9"/>
      <x:c r="D277" s="9"/>
      <x:c r="E277" s="15"/>
      <x:c r="F277" s="15"/>
      <x:c r="G277" s="9"/>
      <x:c r="H277" s="9"/>
    </x:row>
    <x:row r="278" ht="22" customHeight="1">
      <x:c r="A278" s="11"/>
      <x:c r="B278" s="9"/>
      <x:c r="C278" s="9"/>
      <x:c r="D278" s="9"/>
      <x:c r="E278" s="15"/>
      <x:c r="F278" s="15"/>
      <x:c r="G278" s="9"/>
      <x:c r="H278" s="9"/>
    </x:row>
    <x:row r="279" ht="22" customHeight="1">
      <x:c r="A279" s="11"/>
      <x:c r="B279" s="9"/>
      <x:c r="C279" s="9"/>
      <x:c r="D279" s="9"/>
      <x:c r="E279" s="15"/>
      <x:c r="F279" s="15"/>
      <x:c r="G279" s="9"/>
      <x:c r="H279" s="9"/>
    </x:row>
    <x:row r="280" ht="22" customHeight="1">
      <x:c r="A280" s="11"/>
      <x:c r="B280" s="9"/>
      <x:c r="C280" s="9"/>
      <x:c r="D280" s="9"/>
      <x:c r="E280" s="15"/>
      <x:c r="F280" s="15"/>
      <x:c r="G280" s="9"/>
      <x:c r="H280" s="9"/>
    </x:row>
    <x:row r="281" ht="22" customHeight="1">
      <x:c r="A281" s="11"/>
      <x:c r="B281" s="9"/>
      <x:c r="C281" s="9"/>
      <x:c r="D281" s="9"/>
      <x:c r="E281" s="15"/>
      <x:c r="F281" s="15"/>
      <x:c r="G281" s="9"/>
      <x:c r="H281" s="9"/>
    </x:row>
    <x:row r="282" ht="22" customHeight="1">
      <x:c r="A282" s="11"/>
      <x:c r="B282" s="9"/>
      <x:c r="C282" s="9"/>
      <x:c r="D282" s="9"/>
      <x:c r="E282" s="15"/>
      <x:c r="F282" s="15"/>
      <x:c r="G282" s="9"/>
      <x:c r="H282" s="9"/>
    </x:row>
    <x:row r="283" ht="22" customHeight="1">
      <x:c r="A283" s="11"/>
      <x:c r="B283" s="9"/>
      <x:c r="C283" s="9"/>
      <x:c r="D283" s="9"/>
      <x:c r="E283" s="15"/>
      <x:c r="F283" s="15"/>
      <x:c r="G283" s="9"/>
      <x:c r="H283" s="9"/>
    </x:row>
    <x:row r="284" ht="22" customHeight="1">
      <x:c r="A284" s="11"/>
      <x:c r="B284" s="9"/>
      <x:c r="C284" s="9"/>
      <x:c r="D284" s="9"/>
      <x:c r="E284" s="15"/>
      <x:c r="F284" s="15"/>
      <x:c r="G284" s="9"/>
      <x:c r="H284" s="9"/>
    </x:row>
    <x:row r="285" ht="22" customHeight="1">
      <x:c r="A285" s="11"/>
      <x:c r="B285" s="9"/>
      <x:c r="C285" s="9"/>
      <x:c r="D285" s="9"/>
      <x:c r="E285" s="15"/>
      <x:c r="F285" s="15"/>
      <x:c r="G285" s="9"/>
      <x:c r="H285" s="9"/>
    </x:row>
    <x:row r="286" ht="22" customHeight="1">
      <x:c r="A286" s="11"/>
      <x:c r="B286" s="9"/>
      <x:c r="C286" s="9"/>
      <x:c r="D286" s="9"/>
      <x:c r="E286" s="15"/>
      <x:c r="F286" s="15"/>
      <x:c r="G286" s="9"/>
      <x:c r="H286" s="9"/>
    </x:row>
    <x:row r="287" ht="22" customHeight="1">
      <x:c r="A287" s="11"/>
      <x:c r="B287" s="9"/>
      <x:c r="C287" s="9"/>
      <x:c r="D287" s="9"/>
      <x:c r="E287" s="15"/>
      <x:c r="F287" s="15"/>
      <x:c r="G287" s="9"/>
      <x:c r="H287" s="9"/>
    </x:row>
    <x:row r="288" ht="22" customHeight="1">
      <x:c r="A288" s="11"/>
      <x:c r="B288" s="9"/>
      <x:c r="C288" s="9"/>
      <x:c r="D288" s="9"/>
      <x:c r="E288" s="15"/>
      <x:c r="F288" s="15"/>
      <x:c r="G288" s="9"/>
      <x:c r="H288" s="9"/>
    </x:row>
    <x:row r="289" ht="22" customHeight="1">
      <x:c r="A289" s="11"/>
      <x:c r="B289" s="9"/>
      <x:c r="C289" s="9"/>
      <x:c r="D289" s="9"/>
      <x:c r="E289" s="15"/>
      <x:c r="F289" s="15"/>
      <x:c r="G289" s="9"/>
      <x:c r="H289" s="9"/>
    </x:row>
    <x:row r="290" ht="22" customHeight="1">
      <x:c r="A290" s="11"/>
      <x:c r="B290" s="9"/>
      <x:c r="C290" s="9"/>
      <x:c r="D290" s="9"/>
      <x:c r="E290" s="15"/>
      <x:c r="F290" s="15"/>
      <x:c r="G290" s="9"/>
      <x:c r="H290" s="9"/>
    </x:row>
    <x:row r="291" ht="22" customHeight="1">
      <x:c r="A291" s="11"/>
      <x:c r="B291" s="9"/>
      <x:c r="C291" s="9"/>
      <x:c r="D291" s="9"/>
      <x:c r="E291" s="15"/>
      <x:c r="F291" s="15"/>
      <x:c r="G291" s="9"/>
      <x:c r="H291" s="9"/>
    </x:row>
    <x:row r="292" ht="22" customHeight="1">
      <x:c r="A292" s="11"/>
      <x:c r="B292" s="9"/>
      <x:c r="C292" s="9"/>
      <x:c r="D292" s="9"/>
      <x:c r="E292" s="15"/>
      <x:c r="F292" s="15"/>
      <x:c r="G292" s="9"/>
      <x:c r="H292" s="9"/>
    </x:row>
    <x:row r="293" ht="22" customHeight="1">
      <x:c r="A293" s="11"/>
      <x:c r="B293" s="9"/>
      <x:c r="C293" s="9"/>
      <x:c r="D293" s="9"/>
      <x:c r="E293" s="15"/>
      <x:c r="F293" s="15"/>
      <x:c r="G293" s="9"/>
      <x:c r="H293" s="9"/>
    </x:row>
    <x:row r="294" ht="22" customHeight="1">
      <x:c r="A294" s="11"/>
      <x:c r="B294" s="9"/>
      <x:c r="C294" s="9"/>
      <x:c r="D294" s="9"/>
      <x:c r="E294" s="15"/>
      <x:c r="F294" s="15"/>
      <x:c r="G294" s="9"/>
      <x:c r="H294" s="9"/>
    </x:row>
    <x:row r="295" ht="22" customHeight="1">
      <x:c r="A295" s="11"/>
      <x:c r="B295" s="9"/>
      <x:c r="C295" s="9"/>
      <x:c r="D295" s="9"/>
      <x:c r="E295" s="15"/>
      <x:c r="F295" s="15"/>
      <x:c r="G295" s="9"/>
      <x:c r="H295" s="9"/>
    </x:row>
    <x:row r="296" ht="22" customHeight="1">
      <x:c r="A296" s="11"/>
      <x:c r="B296" s="9"/>
      <x:c r="C296" s="9"/>
      <x:c r="D296" s="9"/>
      <x:c r="E296" s="15"/>
      <x:c r="F296" s="15"/>
      <x:c r="G296" s="9"/>
      <x:c r="H296" s="9"/>
    </x:row>
    <x:row r="297" ht="22" customHeight="1">
      <x:c r="A297" s="11"/>
      <x:c r="B297" s="9"/>
      <x:c r="C297" s="9"/>
      <x:c r="D297" s="9"/>
      <x:c r="E297" s="15"/>
      <x:c r="F297" s="15"/>
      <x:c r="G297" s="9"/>
      <x:c r="H297" s="9"/>
    </x:row>
    <x:row r="298" ht="22" customHeight="1">
      <x:c r="A298" s="11"/>
      <x:c r="B298" s="9"/>
      <x:c r="C298" s="9"/>
      <x:c r="D298" s="9"/>
      <x:c r="E298" s="15"/>
      <x:c r="F298" s="15"/>
      <x:c r="G298" s="9"/>
      <x:c r="H298" s="9"/>
    </x:row>
    <x:row r="299" ht="22" customHeight="1">
      <x:c r="A299" s="11"/>
      <x:c r="B299" s="9"/>
      <x:c r="C299" s="9"/>
      <x:c r="D299" s="9"/>
      <x:c r="E299" s="15"/>
      <x:c r="F299" s="15"/>
      <x:c r="G299" s="9"/>
      <x:c r="H299" s="9"/>
    </x:row>
    <x:row r="300" ht="22" customHeight="1">
      <x:c r="A300" s="11"/>
      <x:c r="B300" s="9"/>
      <x:c r="C300" s="9"/>
      <x:c r="D300" s="9"/>
      <x:c r="E300" s="15"/>
      <x:c r="F300" s="15"/>
      <x:c r="G300" s="9"/>
      <x:c r="H300" s="9"/>
    </x:row>
    <x:row r="301" ht="22" customHeight="1">
      <x:c r="A301" s="11"/>
      <x:c r="B301" s="9"/>
      <x:c r="C301" s="9"/>
      <x:c r="D301" s="9"/>
      <x:c r="E301" s="15"/>
      <x:c r="F301" s="15"/>
      <x:c r="G301" s="9"/>
      <x:c r="H301" s="9"/>
    </x:row>
    <x:row r="302" ht="22" customHeight="1">
      <x:c r="A302" s="11"/>
      <x:c r="B302" s="9"/>
      <x:c r="C302" s="9"/>
      <x:c r="D302" s="9"/>
      <x:c r="E302" s="15"/>
      <x:c r="F302" s="15"/>
      <x:c r="G302" s="9"/>
      <x:c r="H302" s="9"/>
    </x:row>
    <x:row r="303" ht="22" customHeight="1">
      <x:c r="A303" s="11"/>
      <x:c r="B303" s="9"/>
      <x:c r="C303" s="9"/>
      <x:c r="D303" s="9"/>
      <x:c r="E303" s="15"/>
      <x:c r="F303" s="15"/>
      <x:c r="G303" s="9"/>
      <x:c r="H303" s="9"/>
    </x:row>
    <x:row r="304" ht="22" customHeight="1">
      <x:c r="A304" s="11"/>
      <x:c r="B304" s="9"/>
      <x:c r="C304" s="9"/>
      <x:c r="D304" s="9"/>
      <x:c r="E304" s="15"/>
      <x:c r="F304" s="15"/>
      <x:c r="G304" s="9"/>
      <x:c r="H304" s="9"/>
    </x:row>
    <x:row r="305" ht="22" customHeight="1">
      <x:c r="A305" s="11"/>
      <x:c r="B305" s="9"/>
      <x:c r="C305" s="9"/>
      <x:c r="D305" s="9"/>
      <x:c r="E305" s="15"/>
      <x:c r="F305" s="15"/>
      <x:c r="G305" s="9"/>
      <x:c r="H305" s="9"/>
    </x:row>
    <x:row r="306" ht="22" customHeight="1">
      <x:c r="A306" s="11"/>
      <x:c r="B306" s="9"/>
      <x:c r="C306" s="9"/>
      <x:c r="D306" s="9"/>
      <x:c r="E306" s="15"/>
      <x:c r="F306" s="15"/>
      <x:c r="G306" s="9"/>
      <x:c r="H306" s="9"/>
    </x:row>
    <x:row r="307" ht="22" customHeight="1">
      <x:c r="A307" s="11"/>
      <x:c r="B307" s="9"/>
      <x:c r="C307" s="9"/>
      <x:c r="D307" s="9"/>
      <x:c r="E307" s="15"/>
      <x:c r="F307" s="15"/>
      <x:c r="G307" s="9"/>
      <x:c r="H307" s="9"/>
    </x:row>
    <x:row r="308" ht="22" customHeight="1">
      <x:c r="A308" s="11"/>
      <x:c r="B308" s="9"/>
      <x:c r="C308" s="9"/>
      <x:c r="D308" s="9"/>
      <x:c r="E308" s="15"/>
      <x:c r="F308" s="15"/>
      <x:c r="G308" s="9"/>
      <x:c r="H308" s="9"/>
    </x:row>
    <x:row r="309" ht="22" customHeight="1">
      <x:c r="A309" s="11"/>
      <x:c r="B309" s="9"/>
      <x:c r="C309" s="9"/>
      <x:c r="D309" s="9"/>
      <x:c r="E309" s="15"/>
      <x:c r="F309" s="15"/>
      <x:c r="G309" s="9"/>
      <x:c r="H309" s="9"/>
    </x:row>
    <x:row r="310" ht="22" customHeight="1">
      <x:c r="A310" s="11"/>
      <x:c r="B310" s="9"/>
      <x:c r="C310" s="9"/>
      <x:c r="D310" s="9"/>
      <x:c r="E310" s="15"/>
      <x:c r="F310" s="15"/>
      <x:c r="G310" s="9"/>
      <x:c r="H310" s="9"/>
    </x:row>
    <x:row r="311" ht="22" customHeight="1">
      <x:c r="A311" s="11"/>
      <x:c r="B311" s="9"/>
      <x:c r="C311" s="9"/>
      <x:c r="D311" s="9"/>
      <x:c r="E311" s="15"/>
      <x:c r="F311" s="15"/>
      <x:c r="G311" s="9"/>
      <x:c r="H311" s="9"/>
    </x:row>
    <x:row r="312" ht="22" customHeight="1">
      <x:c r="A312" s="11"/>
      <x:c r="B312" s="9"/>
      <x:c r="C312" s="9"/>
      <x:c r="D312" s="9"/>
      <x:c r="E312" s="15"/>
      <x:c r="F312" s="15"/>
      <x:c r="G312" s="9"/>
      <x:c r="H312" s="9"/>
    </x:row>
    <x:row r="313" ht="22" customHeight="1">
      <x:c r="A313" s="11"/>
      <x:c r="B313" s="9"/>
      <x:c r="C313" s="9"/>
      <x:c r="D313" s="9"/>
      <x:c r="E313" s="15"/>
      <x:c r="F313" s="15"/>
      <x:c r="G313" s="9"/>
      <x:c r="H313" s="9"/>
    </x:row>
    <x:row r="314" ht="22" customHeight="1">
      <x:c r="A314" s="11"/>
      <x:c r="B314" s="9"/>
      <x:c r="C314" s="9"/>
      <x:c r="D314" s="9"/>
      <x:c r="E314" s="15"/>
      <x:c r="F314" s="15"/>
      <x:c r="G314" s="9"/>
      <x:c r="H314" s="9"/>
    </x:row>
    <x:row r="315" ht="22" customHeight="1">
      <x:c r="A315" s="11"/>
      <x:c r="B315" s="9"/>
      <x:c r="C315" s="9"/>
      <x:c r="D315" s="9"/>
      <x:c r="E315" s="15"/>
      <x:c r="F315" s="15"/>
      <x:c r="G315" s="9"/>
      <x:c r="H315" s="9"/>
    </x:row>
    <x:row r="316" ht="22" customHeight="1">
      <x:c r="A316" s="11"/>
      <x:c r="B316" s="9"/>
      <x:c r="C316" s="9"/>
      <x:c r="D316" s="9"/>
      <x:c r="E316" s="15"/>
      <x:c r="F316" s="15"/>
      <x:c r="G316" s="9"/>
      <x:c r="H316" s="9"/>
    </x:row>
    <x:row r="317" ht="22" customHeight="1">
      <x:c r="A317" s="11"/>
      <x:c r="B317" s="9"/>
      <x:c r="C317" s="9"/>
      <x:c r="D317" s="9"/>
      <x:c r="E317" s="15"/>
      <x:c r="F317" s="15"/>
      <x:c r="G317" s="9"/>
      <x:c r="H317" s="9"/>
    </x:row>
    <x:row r="318" ht="22" customHeight="1">
      <x:c r="A318" s="11"/>
      <x:c r="B318" s="9"/>
      <x:c r="C318" s="9"/>
      <x:c r="D318" s="9"/>
      <x:c r="E318" s="15"/>
      <x:c r="F318" s="15"/>
      <x:c r="G318" s="9"/>
      <x:c r="H318" s="9"/>
    </x:row>
    <x:row r="319" ht="22" customHeight="1">
      <x:c r="A319" s="11"/>
      <x:c r="B319" s="9"/>
      <x:c r="C319" s="9"/>
      <x:c r="D319" s="9"/>
      <x:c r="E319" s="15"/>
      <x:c r="F319" s="15"/>
      <x:c r="G319" s="9"/>
      <x:c r="H319" s="9"/>
    </x:row>
    <x:row r="320" ht="22" customHeight="1">
      <x:c r="A320" s="11"/>
      <x:c r="B320" s="9"/>
      <x:c r="C320" s="9"/>
      <x:c r="D320" s="9"/>
      <x:c r="E320" s="15"/>
      <x:c r="F320" s="15"/>
      <x:c r="G320" s="9"/>
      <x:c r="H320" s="9"/>
    </x:row>
    <x:row r="321" ht="22" customHeight="1">
      <x:c r="A321" s="11"/>
      <x:c r="B321" s="9"/>
      <x:c r="C321" s="9"/>
      <x:c r="D321" s="9"/>
      <x:c r="E321" s="15"/>
      <x:c r="F321" s="15"/>
      <x:c r="G321" s="9"/>
      <x:c r="H321" s="9"/>
    </x:row>
    <x:row r="322" ht="22" customHeight="1">
      <x:c r="A322" s="11"/>
      <x:c r="B322" s="9"/>
      <x:c r="C322" s="9"/>
      <x:c r="D322" s="9"/>
      <x:c r="E322" s="15"/>
      <x:c r="F322" s="15"/>
      <x:c r="G322" s="9"/>
      <x:c r="H322" s="9"/>
    </x:row>
    <x:row r="323" ht="22" customHeight="1">
      <x:c r="A323" s="11"/>
      <x:c r="B323" s="9"/>
      <x:c r="C323" s="9"/>
      <x:c r="D323" s="9"/>
      <x:c r="E323" s="15"/>
      <x:c r="F323" s="15"/>
      <x:c r="G323" s="9"/>
      <x:c r="H323" s="9"/>
    </x:row>
    <x:row r="324" ht="22" customHeight="1">
      <x:c r="A324" s="11"/>
      <x:c r="B324" s="9"/>
      <x:c r="C324" s="9"/>
      <x:c r="D324" s="9"/>
      <x:c r="E324" s="15"/>
      <x:c r="F324" s="15"/>
      <x:c r="G324" s="9"/>
      <x:c r="H324" s="9"/>
    </x:row>
    <x:row r="325" ht="22" customHeight="1">
      <x:c r="A325" s="11"/>
      <x:c r="B325" s="9"/>
      <x:c r="C325" s="9"/>
      <x:c r="D325" s="9"/>
      <x:c r="E325" s="15"/>
      <x:c r="F325" s="15"/>
      <x:c r="G325" s="9"/>
      <x:c r="H325" s="9"/>
    </x:row>
    <x:row r="326" ht="22" customHeight="1">
      <x:c r="A326" s="11"/>
      <x:c r="B326" s="9"/>
      <x:c r="C326" s="9"/>
      <x:c r="D326" s="9"/>
      <x:c r="E326" s="15"/>
      <x:c r="F326" s="15"/>
      <x:c r="G326" s="9"/>
      <x:c r="H326" s="9"/>
    </x:row>
    <x:row r="327" ht="22" customHeight="1">
      <x:c r="A327" s="11"/>
      <x:c r="B327" s="9"/>
      <x:c r="C327" s="9"/>
      <x:c r="D327" s="9"/>
      <x:c r="E327" s="15"/>
      <x:c r="F327" s="15"/>
      <x:c r="G327" s="9"/>
      <x:c r="H327" s="9"/>
    </x:row>
    <x:row r="328" ht="22" customHeight="1">
      <x:c r="A328" s="11"/>
      <x:c r="B328" s="9"/>
      <x:c r="C328" s="9"/>
      <x:c r="D328" s="9"/>
      <x:c r="E328" s="15"/>
      <x:c r="F328" s="15"/>
      <x:c r="G328" s="9"/>
      <x:c r="H328" s="9"/>
    </x:row>
    <x:row r="329" ht="22" customHeight="1">
      <x:c r="A329" s="11"/>
      <x:c r="B329" s="9"/>
      <x:c r="C329" s="9"/>
      <x:c r="D329" s="9"/>
      <x:c r="E329" s="15"/>
      <x:c r="F329" s="15"/>
      <x:c r="G329" s="9"/>
      <x:c r="H329" s="9"/>
    </x:row>
    <x:row r="330" ht="22" customHeight="1">
      <x:c r="A330" s="11"/>
      <x:c r="B330" s="9"/>
      <x:c r="C330" s="9"/>
      <x:c r="D330" s="9"/>
      <x:c r="E330" s="15"/>
      <x:c r="F330" s="15"/>
      <x:c r="G330" s="9"/>
      <x:c r="H330" s="9"/>
    </x:row>
    <x:row r="331" ht="22" customHeight="1">
      <x:c r="A331" s="11"/>
      <x:c r="B331" s="9"/>
      <x:c r="C331" s="9"/>
      <x:c r="D331" s="9"/>
      <x:c r="E331" s="15"/>
      <x:c r="F331" s="15"/>
      <x:c r="G331" s="9"/>
      <x:c r="H331" s="9"/>
    </x:row>
    <x:row r="332" ht="22" customHeight="1">
      <x:c r="A332" s="11"/>
      <x:c r="B332" s="9"/>
      <x:c r="C332" s="9"/>
      <x:c r="D332" s="9"/>
      <x:c r="E332" s="15"/>
      <x:c r="F332" s="15"/>
      <x:c r="G332" s="9"/>
      <x:c r="H332" s="9"/>
    </x:row>
    <x:row r="333" ht="22" customHeight="1">
      <x:c r="A333" s="11"/>
      <x:c r="B333" s="9"/>
      <x:c r="C333" s="9"/>
      <x:c r="D333" s="9"/>
      <x:c r="E333" s="15"/>
      <x:c r="F333" s="15"/>
      <x:c r="G333" s="9"/>
      <x:c r="H333" s="9"/>
    </x:row>
    <x:row r="334" ht="22" customHeight="1">
      <x:c r="A334" s="11"/>
      <x:c r="B334" s="9"/>
      <x:c r="C334" s="9"/>
      <x:c r="D334" s="9"/>
      <x:c r="E334" s="15"/>
      <x:c r="F334" s="15"/>
      <x:c r="G334" s="9"/>
      <x:c r="H334" s="9"/>
    </x:row>
    <x:row r="335" ht="22" customHeight="1">
      <x:c r="A335" s="11"/>
      <x:c r="B335" s="9"/>
      <x:c r="C335" s="9"/>
      <x:c r="D335" s="9"/>
      <x:c r="E335" s="15"/>
      <x:c r="F335" s="15"/>
      <x:c r="G335" s="9"/>
      <x:c r="H335" s="9"/>
    </x:row>
    <x:row r="336" ht="22" customHeight="1">
      <x:c r="A336" s="11"/>
      <x:c r="B336" s="9"/>
      <x:c r="C336" s="9"/>
      <x:c r="D336" s="9"/>
      <x:c r="E336" s="15"/>
      <x:c r="F336" s="15"/>
      <x:c r="G336" s="9"/>
      <x:c r="H336" s="9"/>
    </x:row>
    <x:row r="337" ht="22" customHeight="1">
      <x:c r="A337" s="11"/>
      <x:c r="B337" s="9"/>
      <x:c r="C337" s="9"/>
      <x:c r="D337" s="9"/>
      <x:c r="E337" s="15"/>
      <x:c r="F337" s="15"/>
      <x:c r="G337" s="9"/>
      <x:c r="H337" s="9"/>
    </x:row>
    <x:row r="338" ht="22" customHeight="1">
      <x:c r="A338" s="11"/>
      <x:c r="B338" s="9"/>
      <x:c r="C338" s="9"/>
      <x:c r="D338" s="9"/>
      <x:c r="E338" s="15"/>
      <x:c r="F338" s="15"/>
      <x:c r="G338" s="9"/>
      <x:c r="H338" s="9"/>
    </x:row>
    <x:row r="339" ht="22" customHeight="1">
      <x:c r="A339" s="11"/>
      <x:c r="B339" s="9"/>
      <x:c r="C339" s="9"/>
      <x:c r="D339" s="9"/>
      <x:c r="E339" s="15"/>
      <x:c r="F339" s="15"/>
      <x:c r="G339" s="9"/>
      <x:c r="H339" s="9"/>
    </x:row>
    <x:row r="340" ht="22" customHeight="1">
      <x:c r="A340" s="11"/>
      <x:c r="B340" s="9"/>
      <x:c r="C340" s="9"/>
      <x:c r="D340" s="9"/>
      <x:c r="E340" s="15"/>
      <x:c r="F340" s="15"/>
      <x:c r="G340" s="9"/>
      <x:c r="H340" s="9"/>
    </x:row>
    <x:row r="341" ht="22" customHeight="1">
      <x:c r="A341" s="11"/>
      <x:c r="B341" s="9"/>
      <x:c r="C341" s="9"/>
      <x:c r="D341" s="9"/>
      <x:c r="E341" s="15"/>
      <x:c r="F341" s="15"/>
      <x:c r="G341" s="9"/>
      <x:c r="H341" s="9"/>
    </x:row>
    <x:row r="342" ht="22" customHeight="1">
      <x:c r="A342" s="11"/>
      <x:c r="B342" s="9"/>
      <x:c r="C342" s="9"/>
      <x:c r="D342" s="9"/>
      <x:c r="E342" s="15"/>
      <x:c r="F342" s="15"/>
      <x:c r="G342" s="9"/>
      <x:c r="H342" s="9"/>
    </x:row>
    <x:row r="343" ht="22" customHeight="1">
      <x:c r="A343" s="11"/>
      <x:c r="B343" s="9"/>
      <x:c r="C343" s="9"/>
      <x:c r="D343" s="9"/>
      <x:c r="E343" s="15"/>
      <x:c r="F343" s="15"/>
      <x:c r="G343" s="9"/>
      <x:c r="H343" s="9"/>
    </x:row>
    <x:row r="344" ht="22" customHeight="1">
      <x:c r="A344" s="11"/>
      <x:c r="B344" s="9"/>
      <x:c r="C344" s="9"/>
      <x:c r="D344" s="9"/>
      <x:c r="E344" s="15"/>
      <x:c r="F344" s="15"/>
      <x:c r="G344" s="9"/>
      <x:c r="H344" s="9"/>
    </x:row>
    <x:row r="345" ht="22" customHeight="1">
      <x:c r="A345" s="11"/>
      <x:c r="B345" s="9"/>
      <x:c r="C345" s="9"/>
      <x:c r="D345" s="9"/>
      <x:c r="E345" s="15"/>
      <x:c r="F345" s="15"/>
      <x:c r="G345" s="9"/>
      <x:c r="H345" s="9"/>
    </x:row>
    <x:row r="346" ht="22" customHeight="1">
      <x:c r="A346" s="11"/>
      <x:c r="B346" s="9"/>
      <x:c r="C346" s="9"/>
      <x:c r="D346" s="9"/>
      <x:c r="E346" s="15"/>
      <x:c r="F346" s="15"/>
      <x:c r="G346" s="9"/>
      <x:c r="H346" s="9"/>
    </x:row>
    <x:row r="347" ht="22" customHeight="1">
      <x:c r="A347" s="11"/>
      <x:c r="B347" s="9"/>
      <x:c r="C347" s="9"/>
      <x:c r="D347" s="9"/>
      <x:c r="E347" s="15"/>
      <x:c r="F347" s="15"/>
      <x:c r="G347" s="9"/>
      <x:c r="H347" s="9"/>
    </x:row>
    <x:row r="348" ht="22" customHeight="1">
      <x:c r="A348" s="11"/>
      <x:c r="B348" s="9"/>
      <x:c r="C348" s="9"/>
      <x:c r="D348" s="9"/>
      <x:c r="E348" s="15"/>
      <x:c r="F348" s="15"/>
      <x:c r="G348" s="9"/>
      <x:c r="H348" s="9"/>
    </x:row>
    <x:row r="349" ht="22" customHeight="1">
      <x:c r="A349" s="11"/>
      <x:c r="B349" s="9"/>
      <x:c r="C349" s="9"/>
      <x:c r="D349" s="9"/>
      <x:c r="E349" s="15"/>
      <x:c r="F349" s="15"/>
      <x:c r="G349" s="9"/>
      <x:c r="H349" s="9"/>
    </x:row>
    <x:row r="350" ht="22" customHeight="1">
      <x:c r="A350" s="11"/>
      <x:c r="B350" s="9"/>
      <x:c r="C350" s="9"/>
      <x:c r="D350" s="9"/>
      <x:c r="E350" s="15"/>
      <x:c r="F350" s="15"/>
      <x:c r="G350" s="9"/>
      <x:c r="H350" s="9"/>
    </x:row>
    <x:row r="351" ht="22" customHeight="1">
      <x:c r="A351" s="11"/>
      <x:c r="B351" s="9"/>
      <x:c r="C351" s="9"/>
      <x:c r="D351" s="9"/>
      <x:c r="E351" s="15"/>
      <x:c r="F351" s="15"/>
      <x:c r="G351" s="9"/>
      <x:c r="H351" s="9"/>
    </x:row>
    <x:row r="352" ht="22" customHeight="1">
      <x:c r="A352" s="11"/>
      <x:c r="B352" s="9"/>
      <x:c r="C352" s="9"/>
      <x:c r="D352" s="9"/>
      <x:c r="E352" s="15"/>
      <x:c r="F352" s="15"/>
      <x:c r="G352" s="9"/>
      <x:c r="H352" s="9"/>
    </x:row>
    <x:row r="353" ht="22" customHeight="1">
      <x:c r="A353" s="11"/>
      <x:c r="B353" s="9"/>
      <x:c r="C353" s="9"/>
      <x:c r="D353" s="9"/>
      <x:c r="E353" s="15"/>
      <x:c r="F353" s="15"/>
      <x:c r="G353" s="9"/>
      <x:c r="H353" s="9"/>
    </x:row>
    <x:row r="354" ht="22" customHeight="1">
      <x:c r="A354" s="11"/>
      <x:c r="B354" s="9"/>
      <x:c r="C354" s="9"/>
      <x:c r="D354" s="9"/>
      <x:c r="E354" s="15"/>
      <x:c r="F354" s="15"/>
      <x:c r="G354" s="9"/>
      <x:c r="H354" s="9"/>
    </x:row>
    <x:row r="355" ht="22" customHeight="1">
      <x:c r="A355" s="11"/>
      <x:c r="B355" s="9"/>
      <x:c r="C355" s="9"/>
      <x:c r="D355" s="9"/>
      <x:c r="E355" s="15"/>
      <x:c r="F355" s="15"/>
      <x:c r="G355" s="9"/>
      <x:c r="H355" s="9"/>
    </x:row>
    <x:row r="356" ht="22" customHeight="1">
      <x:c r="A356" s="11"/>
      <x:c r="B356" s="9"/>
      <x:c r="C356" s="9"/>
      <x:c r="D356" s="9"/>
      <x:c r="E356" s="15"/>
      <x:c r="F356" s="15"/>
      <x:c r="G356" s="9"/>
      <x:c r="H356" s="9"/>
    </x:row>
    <x:row r="357" ht="22" customHeight="1">
      <x:c r="A357" s="11"/>
      <x:c r="B357" s="9"/>
      <x:c r="C357" s="9"/>
      <x:c r="D357" s="9"/>
      <x:c r="E357" s="15"/>
      <x:c r="F357" s="15"/>
      <x:c r="G357" s="9"/>
      <x:c r="H357" s="9"/>
    </x:row>
    <x:row r="358" ht="22" customHeight="1">
      <x:c r="A358" s="11"/>
      <x:c r="B358" s="9"/>
      <x:c r="C358" s="9"/>
      <x:c r="D358" s="9"/>
      <x:c r="E358" s="15"/>
      <x:c r="F358" s="15"/>
      <x:c r="G358" s="9"/>
      <x:c r="H358" s="9"/>
    </x:row>
    <x:row r="359" ht="22" customHeight="1">
      <x:c r="A359" s="11"/>
      <x:c r="B359" s="9"/>
      <x:c r="C359" s="9"/>
      <x:c r="D359" s="9"/>
      <x:c r="E359" s="15"/>
      <x:c r="F359" s="15"/>
      <x:c r="G359" s="9"/>
      <x:c r="H359" s="9"/>
    </x:row>
    <x:row r="360" ht="22" customHeight="1">
      <x:c r="A360" s="11"/>
      <x:c r="B360" s="9"/>
      <x:c r="C360" s="9"/>
      <x:c r="D360" s="9"/>
      <x:c r="E360" s="15"/>
      <x:c r="F360" s="15"/>
      <x:c r="G360" s="9"/>
      <x:c r="H360" s="9"/>
    </x:row>
    <x:row r="361" ht="22" customHeight="1">
      <x:c r="A361" s="11"/>
      <x:c r="B361" s="9"/>
      <x:c r="C361" s="9"/>
      <x:c r="D361" s="9"/>
      <x:c r="E361" s="15"/>
      <x:c r="F361" s="15"/>
      <x:c r="G361" s="9"/>
      <x:c r="H361" s="9"/>
    </x:row>
    <x:row r="362" ht="22" customHeight="1">
      <x:c r="A362" s="11"/>
      <x:c r="B362" s="9"/>
      <x:c r="C362" s="9"/>
      <x:c r="D362" s="9"/>
      <x:c r="E362" s="15"/>
      <x:c r="F362" s="15"/>
      <x:c r="G362" s="9"/>
      <x:c r="H362" s="9"/>
    </x:row>
    <x:row r="363" ht="22" customHeight="1">
      <x:c r="A363" s="11"/>
      <x:c r="B363" s="9"/>
      <x:c r="C363" s="9"/>
      <x:c r="D363" s="9"/>
      <x:c r="E363" s="15"/>
      <x:c r="F363" s="15"/>
      <x:c r="G363" s="9"/>
      <x:c r="H363" s="9"/>
    </x:row>
    <x:row r="364" ht="22" customHeight="1">
      <x:c r="A364" s="11"/>
      <x:c r="B364" s="9"/>
      <x:c r="C364" s="9"/>
      <x:c r="D364" s="9"/>
      <x:c r="E364" s="15"/>
      <x:c r="F364" s="15"/>
      <x:c r="G364" s="9"/>
      <x:c r="H364" s="9"/>
    </x:row>
    <x:row r="365" ht="22" customHeight="1">
      <x:c r="A365" s="11"/>
      <x:c r="B365" s="9"/>
      <x:c r="C365" s="9"/>
      <x:c r="D365" s="9"/>
      <x:c r="E365" s="15"/>
      <x:c r="F365" s="15"/>
      <x:c r="G365" s="9"/>
      <x:c r="H365" s="9"/>
    </x:row>
    <x:row r="366" ht="22" customHeight="1">
      <x:c r="A366" s="11"/>
      <x:c r="B366" s="9"/>
      <x:c r="C366" s="9"/>
      <x:c r="D366" s="9"/>
      <x:c r="E366" s="15"/>
      <x:c r="F366" s="15"/>
      <x:c r="G366" s="9"/>
      <x:c r="H366" s="9"/>
    </x:row>
    <x:row r="367" ht="22" customHeight="1">
      <x:c r="A367" s="11"/>
      <x:c r="B367" s="9"/>
      <x:c r="C367" s="9"/>
      <x:c r="D367" s="9"/>
      <x:c r="E367" s="15"/>
      <x:c r="F367" s="15"/>
      <x:c r="G367" s="9"/>
      <x:c r="H367" s="9"/>
    </x:row>
    <x:row r="368" ht="22" customHeight="1">
      <x:c r="A368" s="11"/>
      <x:c r="B368" s="9"/>
      <x:c r="C368" s="9"/>
      <x:c r="D368" s="9"/>
      <x:c r="E368" s="15"/>
      <x:c r="F368" s="15"/>
      <x:c r="G368" s="9"/>
      <x:c r="H368" s="9"/>
    </x:row>
    <x:row r="369" ht="22" customHeight="1">
      <x:c r="A369" s="11"/>
      <x:c r="B369" s="9"/>
      <x:c r="C369" s="9"/>
      <x:c r="D369" s="9"/>
      <x:c r="E369" s="15"/>
      <x:c r="F369" s="15"/>
      <x:c r="G369" s="9"/>
      <x:c r="H369" s="9"/>
    </x:row>
    <x:row r="370" ht="22" customHeight="1">
      <x:c r="A370" s="11"/>
      <x:c r="B370" s="9"/>
      <x:c r="C370" s="9"/>
      <x:c r="D370" s="9"/>
      <x:c r="E370" s="15"/>
      <x:c r="F370" s="15"/>
      <x:c r="G370" s="9"/>
      <x:c r="H370" s="9"/>
    </x:row>
    <x:row r="371" ht="22" customHeight="1">
      <x:c r="A371" s="11"/>
      <x:c r="B371" s="9"/>
      <x:c r="C371" s="9"/>
      <x:c r="D371" s="9"/>
      <x:c r="E371" s="15"/>
      <x:c r="F371" s="15"/>
      <x:c r="G371" s="9"/>
      <x:c r="H371" s="9"/>
    </x:row>
    <x:row r="372" ht="22" customHeight="1">
      <x:c r="A372" s="11"/>
      <x:c r="B372" s="9"/>
      <x:c r="C372" s="9"/>
      <x:c r="D372" s="9"/>
      <x:c r="E372" s="15"/>
      <x:c r="F372" s="15"/>
      <x:c r="G372" s="9"/>
      <x:c r="H372" s="9"/>
    </x:row>
    <x:row r="373" ht="22" customHeight="1">
      <x:c r="A373" s="11"/>
      <x:c r="B373" s="9"/>
      <x:c r="C373" s="9"/>
      <x:c r="D373" s="9"/>
      <x:c r="E373" s="15"/>
      <x:c r="F373" s="15"/>
      <x:c r="G373" s="9"/>
      <x:c r="H373" s="9"/>
    </x:row>
    <x:row r="374" ht="22" customHeight="1">
      <x:c r="A374" s="11"/>
      <x:c r="B374" s="9"/>
      <x:c r="C374" s="9"/>
      <x:c r="D374" s="9"/>
      <x:c r="E374" s="15"/>
      <x:c r="F374" s="15"/>
      <x:c r="G374" s="9"/>
      <x:c r="H374" s="9"/>
    </x:row>
    <x:row r="375" ht="22" customHeight="1">
      <x:c r="A375" s="11"/>
      <x:c r="B375" s="9"/>
      <x:c r="C375" s="9"/>
      <x:c r="D375" s="9"/>
      <x:c r="E375" s="15"/>
      <x:c r="F375" s="15"/>
      <x:c r="G375" s="9"/>
      <x:c r="H375" s="9"/>
    </x:row>
    <x:row r="376" ht="22" customHeight="1">
      <x:c r="A376" s="11"/>
      <x:c r="B376" s="9"/>
      <x:c r="C376" s="9"/>
      <x:c r="D376" s="9"/>
      <x:c r="E376" s="15"/>
      <x:c r="F376" s="15"/>
      <x:c r="G376" s="9"/>
      <x:c r="H376" s="9"/>
    </x:row>
    <x:row r="377" ht="22" customHeight="1">
      <x:c r="A377" s="11"/>
      <x:c r="B377" s="9"/>
      <x:c r="C377" s="9"/>
      <x:c r="D377" s="9"/>
      <x:c r="E377" s="15"/>
      <x:c r="F377" s="15"/>
      <x:c r="G377" s="9"/>
      <x:c r="H377" s="9"/>
    </x:row>
    <x:row r="378" ht="22" customHeight="1">
      <x:c r="A378" s="11"/>
      <x:c r="B378" s="9"/>
      <x:c r="C378" s="9"/>
      <x:c r="D378" s="9"/>
      <x:c r="E378" s="15"/>
      <x:c r="F378" s="15"/>
      <x:c r="G378" s="9"/>
      <x:c r="H378" s="9"/>
    </x:row>
    <x:row r="379" ht="22" customHeight="1">
      <x:c r="A379" s="11"/>
      <x:c r="B379" s="9"/>
      <x:c r="C379" s="9"/>
      <x:c r="D379" s="9"/>
      <x:c r="E379" s="15"/>
      <x:c r="F379" s="15"/>
      <x:c r="G379" s="9"/>
      <x:c r="H379" s="9"/>
    </x:row>
    <x:row r="380" ht="22" customHeight="1">
      <x:c r="A380" s="11"/>
      <x:c r="B380" s="9"/>
      <x:c r="C380" s="9"/>
      <x:c r="D380" s="9"/>
      <x:c r="E380" s="15"/>
      <x:c r="F380" s="15"/>
      <x:c r="G380" s="9"/>
      <x:c r="H380" s="9"/>
    </x:row>
    <x:row r="381" ht="22" customHeight="1">
      <x:c r="A381" s="11"/>
      <x:c r="B381" s="9"/>
      <x:c r="C381" s="9"/>
      <x:c r="D381" s="9"/>
      <x:c r="E381" s="15"/>
      <x:c r="F381" s="15"/>
      <x:c r="G381" s="9"/>
      <x:c r="H381" s="9"/>
    </x:row>
    <x:row r="382" ht="22" customHeight="1">
      <x:c r="A382" s="11"/>
      <x:c r="B382" s="9"/>
      <x:c r="C382" s="9"/>
      <x:c r="D382" s="9"/>
      <x:c r="E382" s="15"/>
      <x:c r="F382" s="15"/>
      <x:c r="G382" s="9"/>
      <x:c r="H382" s="9"/>
    </x:row>
    <x:row r="383" ht="22" customHeight="1">
      <x:c r="A383" s="11"/>
      <x:c r="B383" s="9"/>
      <x:c r="C383" s="9"/>
      <x:c r="D383" s="9"/>
      <x:c r="E383" s="15"/>
      <x:c r="F383" s="15"/>
      <x:c r="G383" s="9"/>
      <x:c r="H383" s="9"/>
    </x:row>
    <x:row r="384" ht="22" customHeight="1">
      <x:c r="A384" s="11"/>
      <x:c r="B384" s="9"/>
      <x:c r="C384" s="9"/>
      <x:c r="D384" s="9"/>
      <x:c r="E384" s="15"/>
      <x:c r="F384" s="15"/>
      <x:c r="G384" s="9"/>
      <x:c r="H384" s="9"/>
    </x:row>
    <x:row r="385" ht="22" customHeight="1">
      <x:c r="A385" s="11"/>
      <x:c r="B385" s="9"/>
      <x:c r="C385" s="9"/>
      <x:c r="D385" s="9"/>
      <x:c r="E385" s="15"/>
      <x:c r="F385" s="15"/>
      <x:c r="G385" s="9"/>
      <x:c r="H385" s="9"/>
    </x:row>
    <x:row r="386" ht="22" customHeight="1">
      <x:c r="A386" s="11"/>
      <x:c r="B386" s="9"/>
      <x:c r="C386" s="9"/>
      <x:c r="D386" s="9"/>
      <x:c r="E386" s="15"/>
      <x:c r="F386" s="15"/>
      <x:c r="G386" s="9"/>
      <x:c r="H386" s="9"/>
    </x:row>
    <x:row r="387" ht="22" customHeight="1">
      <x:c r="A387" s="11"/>
      <x:c r="B387" s="9"/>
      <x:c r="C387" s="9"/>
      <x:c r="D387" s="9"/>
      <x:c r="E387" s="15"/>
      <x:c r="F387" s="15"/>
      <x:c r="G387" s="9"/>
      <x:c r="H387" s="9"/>
    </x:row>
    <x:row r="388" ht="22" customHeight="1">
      <x:c r="A388" s="11"/>
      <x:c r="B388" s="9"/>
      <x:c r="C388" s="9"/>
      <x:c r="D388" s="9"/>
      <x:c r="E388" s="15"/>
      <x:c r="F388" s="15"/>
      <x:c r="G388" s="9"/>
      <x:c r="H388" s="9"/>
    </x:row>
    <x:row r="389" ht="22" customHeight="1">
      <x:c r="A389" s="11"/>
      <x:c r="B389" s="9"/>
      <x:c r="C389" s="9"/>
      <x:c r="D389" s="9"/>
      <x:c r="E389" s="15"/>
      <x:c r="F389" s="15"/>
      <x:c r="G389" s="9"/>
      <x:c r="H389" s="9"/>
    </x:row>
    <x:row r="390" ht="22" customHeight="1">
      <x:c r="A390" s="11"/>
      <x:c r="B390" s="9"/>
      <x:c r="C390" s="9"/>
      <x:c r="D390" s="9"/>
      <x:c r="E390" s="15"/>
      <x:c r="F390" s="15"/>
      <x:c r="G390" s="9"/>
      <x:c r="H390" s="9"/>
    </x:row>
    <x:row r="391" ht="22" customHeight="1">
      <x:c r="A391" s="11"/>
      <x:c r="B391" s="9"/>
      <x:c r="C391" s="9"/>
      <x:c r="D391" s="9"/>
      <x:c r="E391" s="15"/>
      <x:c r="F391" s="15"/>
      <x:c r="G391" s="9"/>
      <x:c r="H391" s="9"/>
    </x:row>
    <x:row r="392" ht="22" customHeight="1">
      <x:c r="A392" s="11"/>
      <x:c r="B392" s="9"/>
      <x:c r="C392" s="9"/>
      <x:c r="D392" s="9"/>
      <x:c r="E392" s="15"/>
      <x:c r="F392" s="15"/>
      <x:c r="G392" s="9"/>
      <x:c r="H392" s="9"/>
    </x:row>
    <x:row r="393" ht="22" customHeight="1">
      <x:c r="A393" s="11"/>
      <x:c r="B393" s="9"/>
      <x:c r="C393" s="9"/>
      <x:c r="D393" s="9"/>
      <x:c r="E393" s="15"/>
      <x:c r="F393" s="15"/>
      <x:c r="G393" s="9"/>
      <x:c r="H393" s="9"/>
    </x:row>
    <x:row r="394" ht="22" customHeight="1">
      <x:c r="A394" s="11"/>
      <x:c r="B394" s="9"/>
      <x:c r="C394" s="9"/>
      <x:c r="D394" s="9"/>
      <x:c r="E394" s="15"/>
      <x:c r="F394" s="15"/>
      <x:c r="G394" s="9"/>
      <x:c r="H394" s="9"/>
    </x:row>
    <x:row r="395" ht="22" customHeight="1">
      <x:c r="A395" s="11"/>
      <x:c r="B395" s="9"/>
      <x:c r="C395" s="9"/>
      <x:c r="D395" s="9"/>
      <x:c r="E395" s="15"/>
      <x:c r="F395" s="15"/>
      <x:c r="G395" s="9"/>
      <x:c r="H395" s="9"/>
    </x:row>
    <x:row r="396" ht="22" customHeight="1">
      <x:c r="A396" s="11"/>
      <x:c r="B396" s="9"/>
      <x:c r="C396" s="9"/>
      <x:c r="D396" s="9"/>
      <x:c r="E396" s="15"/>
      <x:c r="F396" s="15"/>
      <x:c r="G396" s="9"/>
      <x:c r="H396" s="9"/>
    </x:row>
    <x:row r="397" ht="22" customHeight="1">
      <x:c r="A397" s="11"/>
      <x:c r="B397" s="9"/>
      <x:c r="C397" s="9"/>
      <x:c r="D397" s="9"/>
      <x:c r="E397" s="15"/>
      <x:c r="F397" s="15"/>
      <x:c r="G397" s="9"/>
      <x:c r="H397" s="9"/>
    </x:row>
    <x:row r="398" ht="22" customHeight="1">
      <x:c r="A398" s="11"/>
      <x:c r="B398" s="9"/>
      <x:c r="C398" s="9"/>
      <x:c r="D398" s="9"/>
      <x:c r="E398" s="15"/>
      <x:c r="F398" s="15"/>
      <x:c r="G398" s="9"/>
      <x:c r="H398" s="9"/>
    </x:row>
    <x:row r="399" ht="22" customHeight="1">
      <x:c r="A399" s="11"/>
      <x:c r="B399" s="9"/>
      <x:c r="C399" s="9"/>
      <x:c r="D399" s="9"/>
      <x:c r="E399" s="15"/>
      <x:c r="F399" s="15"/>
      <x:c r="G399" s="9"/>
      <x:c r="H399" s="9"/>
    </x:row>
    <x:row r="400" ht="22" customHeight="1">
      <x:c r="A400" s="11"/>
      <x:c r="B400" s="9"/>
      <x:c r="C400" s="9"/>
      <x:c r="D400" s="9"/>
      <x:c r="E400" s="15"/>
      <x:c r="F400" s="15"/>
      <x:c r="G400" s="9"/>
      <x:c r="H400" s="9"/>
    </x:row>
    <x:row r="401" ht="22" customHeight="1">
      <x:c r="A401" s="11"/>
      <x:c r="B401" s="9"/>
      <x:c r="C401" s="9"/>
      <x:c r="D401" s="9"/>
      <x:c r="E401" s="15"/>
      <x:c r="F401" s="15"/>
      <x:c r="G401" s="9"/>
      <x:c r="H401" s="9"/>
    </x:row>
    <x:row r="402" ht="22" customHeight="1">
      <x:c r="A402" s="11"/>
      <x:c r="B402" s="9"/>
      <x:c r="C402" s="9"/>
      <x:c r="D402" s="9"/>
      <x:c r="E402" s="15"/>
      <x:c r="F402" s="15"/>
      <x:c r="G402" s="9"/>
      <x:c r="H402" s="9"/>
    </x:row>
    <x:row r="403" ht="22" customHeight="1">
      <x:c r="A403" s="11"/>
      <x:c r="B403" s="9"/>
      <x:c r="C403" s="9"/>
      <x:c r="D403" s="9"/>
      <x:c r="E403" s="15"/>
      <x:c r="F403" s="15"/>
      <x:c r="G403" s="9"/>
      <x:c r="H403" s="9"/>
    </x:row>
    <x:row r="404" ht="22" customHeight="1">
      <x:c r="A404" s="11"/>
      <x:c r="B404" s="9"/>
      <x:c r="C404" s="9"/>
      <x:c r="D404" s="9"/>
      <x:c r="E404" s="15"/>
      <x:c r="F404" s="15"/>
      <x:c r="G404" s="9"/>
      <x:c r="H404" s="9"/>
    </x:row>
    <x:row r="405" ht="22" customHeight="1">
      <x:c r="A405" s="11"/>
      <x:c r="B405" s="9"/>
      <x:c r="C405" s="9"/>
      <x:c r="D405" s="9"/>
      <x:c r="E405" s="15"/>
      <x:c r="F405" s="15"/>
      <x:c r="G405" s="9"/>
      <x:c r="H405" s="9"/>
    </x:row>
    <x:row r="406" ht="22" customHeight="1">
      <x:c r="A406" s="11"/>
      <x:c r="B406" s="9"/>
      <x:c r="C406" s="9"/>
      <x:c r="D406" s="9"/>
      <x:c r="E406" s="15"/>
      <x:c r="F406" s="15"/>
      <x:c r="G406" s="9"/>
      <x:c r="H406" s="9"/>
    </x:row>
    <x:row r="407" ht="22" customHeight="1">
      <x:c r="A407" s="11"/>
      <x:c r="B407" s="9"/>
      <x:c r="C407" s="9"/>
      <x:c r="D407" s="9"/>
      <x:c r="E407" s="15"/>
      <x:c r="F407" s="15"/>
      <x:c r="G407" s="9"/>
      <x:c r="H407" s="9"/>
    </x:row>
    <x:row r="408" ht="22" customHeight="1">
      <x:c r="A408" s="11"/>
      <x:c r="B408" s="9"/>
      <x:c r="C408" s="9"/>
      <x:c r="D408" s="9"/>
      <x:c r="E408" s="15"/>
      <x:c r="F408" s="15"/>
      <x:c r="G408" s="9"/>
      <x:c r="H408" s="9"/>
    </x:row>
    <x:row r="409" ht="22" customHeight="1">
      <x:c r="A409" s="11"/>
      <x:c r="B409" s="9"/>
      <x:c r="C409" s="9"/>
      <x:c r="D409" s="9"/>
      <x:c r="E409" s="15"/>
      <x:c r="F409" s="15"/>
      <x:c r="G409" s="9"/>
      <x:c r="H409" s="9"/>
    </x:row>
    <x:row r="410" ht="22" customHeight="1">
      <x:c r="A410" s="11"/>
      <x:c r="B410" s="9"/>
      <x:c r="C410" s="9"/>
      <x:c r="D410" s="9"/>
      <x:c r="E410" s="15"/>
      <x:c r="F410" s="15"/>
      <x:c r="G410" s="9"/>
      <x:c r="H410" s="9"/>
    </x:row>
    <x:row r="411" ht="22" customHeight="1">
      <x:c r="A411" s="11"/>
      <x:c r="B411" s="9"/>
      <x:c r="C411" s="9"/>
      <x:c r="D411" s="9"/>
      <x:c r="E411" s="15"/>
      <x:c r="F411" s="15"/>
      <x:c r="G411" s="9"/>
      <x:c r="H411" s="9"/>
    </x:row>
    <x:row r="412" ht="22" customHeight="1">
      <x:c r="A412" s="11"/>
      <x:c r="B412" s="9"/>
      <x:c r="C412" s="9"/>
      <x:c r="D412" s="9"/>
      <x:c r="E412" s="15"/>
      <x:c r="F412" s="15"/>
      <x:c r="G412" s="9"/>
      <x:c r="H412" s="9"/>
    </x:row>
    <x:row r="413" ht="22" customHeight="1">
      <x:c r="A413" s="11"/>
      <x:c r="B413" s="9"/>
      <x:c r="C413" s="9"/>
      <x:c r="D413" s="9"/>
      <x:c r="E413" s="15"/>
      <x:c r="F413" s="15"/>
      <x:c r="G413" s="9"/>
      <x:c r="H413" s="9"/>
    </x:row>
    <x:row r="414" ht="22" customHeight="1">
      <x:c r="A414" s="11"/>
      <x:c r="B414" s="9"/>
      <x:c r="C414" s="9"/>
      <x:c r="D414" s="9"/>
      <x:c r="E414" s="15"/>
      <x:c r="F414" s="15"/>
      <x:c r="G414" s="9"/>
      <x:c r="H414" s="9"/>
    </x:row>
    <x:row r="415" ht="22" customHeight="1">
      <x:c r="A415" s="11"/>
      <x:c r="B415" s="9"/>
      <x:c r="C415" s="9"/>
      <x:c r="D415" s="9"/>
      <x:c r="E415" s="15"/>
      <x:c r="F415" s="15"/>
      <x:c r="G415" s="9"/>
      <x:c r="H415" s="9"/>
    </x:row>
    <x:row r="416" ht="22" customHeight="1">
      <x:c r="A416" s="11"/>
      <x:c r="B416" s="9"/>
      <x:c r="C416" s="9"/>
      <x:c r="D416" s="9"/>
      <x:c r="E416" s="15"/>
      <x:c r="F416" s="15"/>
      <x:c r="G416" s="9"/>
      <x:c r="H416" s="9"/>
    </x:row>
    <x:row r="417" ht="22" customHeight="1">
      <x:c r="A417" s="11"/>
      <x:c r="B417" s="9"/>
      <x:c r="C417" s="9"/>
      <x:c r="D417" s="9"/>
      <x:c r="E417" s="15"/>
      <x:c r="F417" s="15"/>
      <x:c r="G417" s="9"/>
      <x:c r="H417" s="9"/>
    </x:row>
    <x:row r="418" ht="22" customHeight="1">
      <x:c r="A418" s="11"/>
      <x:c r="B418" s="9"/>
      <x:c r="C418" s="9"/>
      <x:c r="D418" s="9"/>
      <x:c r="E418" s="15"/>
      <x:c r="F418" s="15"/>
      <x:c r="G418" s="9"/>
      <x:c r="H418" s="9"/>
    </x:row>
    <x:row r="419" ht="22" customHeight="1">
      <x:c r="A419" s="11"/>
      <x:c r="B419" s="9"/>
      <x:c r="C419" s="9"/>
      <x:c r="D419" s="9"/>
      <x:c r="E419" s="15"/>
      <x:c r="F419" s="15"/>
      <x:c r="G419" s="9"/>
      <x:c r="H419" s="9"/>
    </x:row>
    <x:row r="420" ht="22" customHeight="1">
      <x:c r="A420" s="11"/>
      <x:c r="B420" s="9"/>
      <x:c r="C420" s="9"/>
      <x:c r="D420" s="9"/>
      <x:c r="E420" s="15"/>
      <x:c r="F420" s="15"/>
      <x:c r="G420" s="9"/>
      <x:c r="H420" s="9"/>
    </x:row>
    <x:row r="421" ht="22" customHeight="1">
      <x:c r="A421" s="11"/>
      <x:c r="B421" s="9"/>
      <x:c r="C421" s="9"/>
      <x:c r="D421" s="9"/>
      <x:c r="E421" s="15"/>
      <x:c r="F421" s="15"/>
      <x:c r="G421" s="9"/>
      <x:c r="H421" s="9"/>
    </x:row>
    <x:row r="422" ht="22" customHeight="1">
      <x:c r="A422" s="11"/>
      <x:c r="B422" s="9"/>
      <x:c r="C422" s="9"/>
      <x:c r="D422" s="9"/>
      <x:c r="E422" s="15"/>
      <x:c r="F422" s="15"/>
      <x:c r="G422" s="9"/>
      <x:c r="H422" s="9"/>
    </x:row>
    <x:row r="423" ht="22" customHeight="1">
      <x:c r="A423" s="11"/>
      <x:c r="B423" s="9"/>
      <x:c r="C423" s="9"/>
      <x:c r="D423" s="9"/>
      <x:c r="E423" s="15"/>
      <x:c r="F423" s="15"/>
      <x:c r="G423" s="9"/>
      <x:c r="H423" s="9"/>
    </x:row>
    <x:row r="424" ht="22" customHeight="1">
      <x:c r="A424" s="11"/>
      <x:c r="B424" s="9"/>
      <x:c r="C424" s="9"/>
      <x:c r="D424" s="9"/>
      <x:c r="E424" s="15"/>
      <x:c r="F424" s="15"/>
      <x:c r="G424" s="9"/>
      <x:c r="H424" s="9"/>
    </x:row>
    <x:row r="425" ht="22" customHeight="1">
      <x:c r="A425" s="11"/>
      <x:c r="B425" s="9"/>
      <x:c r="C425" s="9"/>
      <x:c r="D425" s="9"/>
      <x:c r="E425" s="15"/>
      <x:c r="F425" s="15"/>
      <x:c r="G425" s="9"/>
      <x:c r="H425" s="9"/>
    </x:row>
    <x:row r="426" ht="22" customHeight="1">
      <x:c r="A426" s="11"/>
      <x:c r="B426" s="9"/>
      <x:c r="C426" s="9"/>
      <x:c r="D426" s="9"/>
      <x:c r="E426" s="15"/>
      <x:c r="F426" s="15"/>
      <x:c r="G426" s="9"/>
      <x:c r="H426" s="9"/>
    </x:row>
    <x:row r="427" ht="22" customHeight="1">
      <x:c r="A427" s="11"/>
      <x:c r="B427" s="9"/>
      <x:c r="C427" s="9"/>
      <x:c r="D427" s="9"/>
      <x:c r="E427" s="15"/>
      <x:c r="F427" s="15"/>
      <x:c r="G427" s="9"/>
      <x:c r="H427" s="9"/>
    </x:row>
    <x:row r="428" ht="22" customHeight="1">
      <x:c r="A428" s="11"/>
      <x:c r="B428" s="9"/>
      <x:c r="C428" s="9"/>
      <x:c r="D428" s="9"/>
      <x:c r="E428" s="15"/>
      <x:c r="F428" s="15"/>
      <x:c r="G428" s="9"/>
      <x:c r="H428" s="9"/>
    </x:row>
    <x:row r="429" ht="22" customHeight="1">
      <x:c r="A429" s="11"/>
      <x:c r="B429" s="9"/>
      <x:c r="C429" s="9"/>
      <x:c r="D429" s="9"/>
      <x:c r="E429" s="15"/>
      <x:c r="F429" s="15"/>
      <x:c r="G429" s="9"/>
      <x:c r="H429" s="9"/>
    </x:row>
    <x:row r="430" ht="22" customHeight="1">
      <x:c r="A430" s="11"/>
      <x:c r="B430" s="9"/>
      <x:c r="C430" s="9"/>
      <x:c r="D430" s="9"/>
      <x:c r="E430" s="15"/>
      <x:c r="F430" s="15"/>
      <x:c r="G430" s="9"/>
      <x:c r="H430" s="9"/>
    </x:row>
    <x:row r="431" ht="22" customHeight="1">
      <x:c r="A431" s="11"/>
      <x:c r="B431" s="9"/>
      <x:c r="C431" s="9"/>
      <x:c r="D431" s="9"/>
      <x:c r="E431" s="15"/>
      <x:c r="F431" s="15"/>
      <x:c r="G431" s="9"/>
      <x:c r="H431" s="9"/>
    </x:row>
    <x:row r="432" ht="22" customHeight="1">
      <x:c r="A432" s="11"/>
      <x:c r="B432" s="9"/>
      <x:c r="C432" s="9"/>
      <x:c r="D432" s="9"/>
      <x:c r="E432" s="15"/>
      <x:c r="F432" s="15"/>
      <x:c r="G432" s="9"/>
      <x:c r="H432" s="9"/>
    </x:row>
    <x:row r="433" ht="22" customHeight="1">
      <x:c r="A433" s="11"/>
      <x:c r="B433" s="9"/>
      <x:c r="C433" s="9"/>
      <x:c r="D433" s="9"/>
      <x:c r="E433" s="15"/>
      <x:c r="F433" s="15"/>
      <x:c r="G433" s="9"/>
      <x:c r="H433" s="9"/>
    </x:row>
    <x:row r="434" ht="22" customHeight="1">
      <x:c r="A434" s="11"/>
      <x:c r="B434" s="9"/>
      <x:c r="C434" s="9"/>
      <x:c r="D434" s="9"/>
      <x:c r="E434" s="15"/>
      <x:c r="F434" s="15"/>
      <x:c r="G434" s="9"/>
      <x:c r="H434" s="9"/>
    </x:row>
    <x:row r="435" ht="22" customHeight="1">
      <x:c r="A435" s="11"/>
      <x:c r="B435" s="9"/>
      <x:c r="C435" s="9"/>
      <x:c r="D435" s="9"/>
      <x:c r="E435" s="15"/>
      <x:c r="F435" s="15"/>
      <x:c r="G435" s="9"/>
      <x:c r="H435" s="9"/>
    </x:row>
    <x:row r="436" ht="22" customHeight="1">
      <x:c r="A436" s="11"/>
      <x:c r="B436" s="9"/>
      <x:c r="C436" s="9"/>
      <x:c r="D436" s="9"/>
      <x:c r="E436" s="15"/>
      <x:c r="F436" s="15"/>
      <x:c r="G436" s="9"/>
      <x:c r="H436" s="9"/>
    </x:row>
    <x:row r="437" ht="22" customHeight="1">
      <x:c r="A437" s="11"/>
      <x:c r="B437" s="9"/>
      <x:c r="C437" s="9"/>
      <x:c r="D437" s="9"/>
      <x:c r="E437" s="15"/>
      <x:c r="F437" s="15"/>
      <x:c r="G437" s="9"/>
      <x:c r="H437" s="9"/>
    </x:row>
    <x:row r="438" ht="22" customHeight="1">
      <x:c r="A438" s="11"/>
      <x:c r="B438" s="9"/>
      <x:c r="C438" s="9"/>
      <x:c r="D438" s="9"/>
      <x:c r="E438" s="15"/>
      <x:c r="F438" s="15"/>
      <x:c r="G438" s="9"/>
      <x:c r="H438" s="9"/>
    </x:row>
    <x:row r="439" ht="22" customHeight="1">
      <x:c r="A439" s="11"/>
      <x:c r="B439" s="9"/>
      <x:c r="C439" s="9"/>
      <x:c r="D439" s="9"/>
      <x:c r="E439" s="15"/>
      <x:c r="F439" s="15"/>
      <x:c r="G439" s="9"/>
      <x:c r="H439" s="9"/>
    </x:row>
    <x:row r="440" ht="22" customHeight="1">
      <x:c r="A440" s="11"/>
      <x:c r="B440" s="9"/>
      <x:c r="C440" s="9"/>
      <x:c r="D440" s="9"/>
      <x:c r="E440" s="15"/>
      <x:c r="F440" s="15"/>
      <x:c r="G440" s="9"/>
      <x:c r="H440" s="9"/>
    </x:row>
    <x:row r="441" ht="22" customHeight="1">
      <x:c r="A441" s="11"/>
      <x:c r="B441" s="9"/>
      <x:c r="C441" s="9"/>
      <x:c r="D441" s="9"/>
      <x:c r="E441" s="15"/>
      <x:c r="F441" s="15"/>
      <x:c r="G441" s="9"/>
      <x:c r="H441" s="9"/>
    </x:row>
    <x:row r="442" ht="22" customHeight="1">
      <x:c r="A442" s="11"/>
      <x:c r="B442" s="9"/>
      <x:c r="C442" s="9"/>
      <x:c r="D442" s="9"/>
      <x:c r="E442" s="15"/>
      <x:c r="F442" s="15"/>
      <x:c r="G442" s="9"/>
      <x:c r="H442" s="9"/>
    </x:row>
    <x:row r="443" ht="22" customHeight="1">
      <x:c r="A443" s="11"/>
      <x:c r="B443" s="9"/>
      <x:c r="C443" s="9"/>
      <x:c r="D443" s="9"/>
      <x:c r="E443" s="15"/>
      <x:c r="F443" s="15"/>
      <x:c r="G443" s="9"/>
      <x:c r="H443" s="9"/>
    </x:row>
    <x:row r="444" ht="22" customHeight="1">
      <x:c r="A444" s="11"/>
      <x:c r="B444" s="9"/>
      <x:c r="C444" s="9"/>
      <x:c r="D444" s="9"/>
      <x:c r="E444" s="15"/>
      <x:c r="F444" s="15"/>
      <x:c r="G444" s="9"/>
      <x:c r="H444" s="9"/>
    </x:row>
    <x:row r="445" ht="22" customHeight="1">
      <x:c r="A445" s="11"/>
      <x:c r="B445" s="9"/>
      <x:c r="C445" s="9"/>
      <x:c r="D445" s="9"/>
      <x:c r="E445" s="15"/>
      <x:c r="F445" s="15"/>
      <x:c r="G445" s="9"/>
      <x:c r="H445" s="9"/>
    </x:row>
    <x:row r="446" ht="22" customHeight="1">
      <x:c r="A446" s="11"/>
      <x:c r="B446" s="9"/>
      <x:c r="C446" s="9"/>
      <x:c r="D446" s="9"/>
      <x:c r="E446" s="15"/>
      <x:c r="F446" s="15"/>
      <x:c r="G446" s="9"/>
      <x:c r="H446" s="9"/>
    </x:row>
    <x:row r="447" ht="22" customHeight="1">
      <x:c r="A447" s="11"/>
      <x:c r="B447" s="9"/>
      <x:c r="C447" s="9"/>
      <x:c r="D447" s="9"/>
      <x:c r="E447" s="15"/>
      <x:c r="F447" s="15"/>
      <x:c r="G447" s="9"/>
      <x:c r="H447" s="9"/>
    </x:row>
    <x:row r="448" ht="22" customHeight="1">
      <x:c r="A448" s="11"/>
      <x:c r="B448" s="9"/>
      <x:c r="C448" s="9"/>
      <x:c r="D448" s="9"/>
      <x:c r="E448" s="15"/>
      <x:c r="F448" s="15"/>
      <x:c r="G448" s="9"/>
      <x:c r="H448" s="9"/>
    </x:row>
    <x:row r="449" ht="22" customHeight="1">
      <x:c r="A449" s="11"/>
      <x:c r="B449" s="9"/>
      <x:c r="C449" s="9"/>
      <x:c r="D449" s="9"/>
      <x:c r="E449" s="15"/>
      <x:c r="F449" s="15"/>
      <x:c r="G449" s="9"/>
      <x:c r="H449" s="9"/>
    </x:row>
    <x:row r="450" ht="22" customHeight="1">
      <x:c r="A450" s="11"/>
      <x:c r="B450" s="9"/>
      <x:c r="C450" s="9"/>
      <x:c r="D450" s="9"/>
      <x:c r="E450" s="15"/>
      <x:c r="F450" s="15"/>
      <x:c r="G450" s="9"/>
      <x:c r="H450" s="9"/>
    </x:row>
    <x:row r="451" ht="22" customHeight="1">
      <x:c r="A451" s="11"/>
      <x:c r="B451" s="9"/>
      <x:c r="C451" s="9"/>
      <x:c r="D451" s="9"/>
      <x:c r="E451" s="15"/>
      <x:c r="F451" s="15"/>
      <x:c r="G451" s="9"/>
      <x:c r="H451" s="9"/>
    </x:row>
    <x:row r="452" ht="22" customHeight="1">
      <x:c r="A452" s="11"/>
      <x:c r="B452" s="9"/>
      <x:c r="C452" s="9"/>
      <x:c r="D452" s="9"/>
      <x:c r="E452" s="15"/>
      <x:c r="F452" s="15"/>
      <x:c r="G452" s="9"/>
      <x:c r="H452" s="9"/>
    </x:row>
    <x:row r="453" ht="22" customHeight="1">
      <x:c r="A453" s="11"/>
      <x:c r="B453" s="9"/>
      <x:c r="C453" s="9"/>
      <x:c r="D453" s="9"/>
      <x:c r="E453" s="15"/>
      <x:c r="F453" s="15"/>
      <x:c r="G453" s="9"/>
      <x:c r="H453" s="9"/>
    </x:row>
    <x:row r="454" ht="22" customHeight="1">
      <x:c r="A454" s="11"/>
      <x:c r="B454" s="9"/>
      <x:c r="C454" s="9"/>
      <x:c r="D454" s="9"/>
      <x:c r="E454" s="15"/>
      <x:c r="F454" s="15"/>
      <x:c r="G454" s="9"/>
      <x:c r="H454" s="9"/>
    </x:row>
    <x:row r="455" ht="22" customHeight="1">
      <x:c r="A455" s="11"/>
      <x:c r="B455" s="9"/>
      <x:c r="C455" s="9"/>
      <x:c r="D455" s="9"/>
      <x:c r="E455" s="15"/>
      <x:c r="F455" s="15"/>
      <x:c r="G455" s="9"/>
      <x:c r="H455" s="9"/>
    </x:row>
    <x:row r="456" ht="22" customHeight="1">
      <x:c r="A456" s="11"/>
      <x:c r="B456" s="9"/>
      <x:c r="C456" s="9"/>
      <x:c r="D456" s="9"/>
      <x:c r="E456" s="15"/>
      <x:c r="F456" s="15"/>
      <x:c r="G456" s="9"/>
      <x:c r="H456" s="9"/>
    </x:row>
    <x:row r="457" ht="22" customHeight="1">
      <x:c r="A457" s="11"/>
      <x:c r="B457" s="9"/>
      <x:c r="C457" s="9"/>
      <x:c r="D457" s="9"/>
      <x:c r="E457" s="15"/>
      <x:c r="F457" s="15"/>
      <x:c r="G457" s="9"/>
      <x:c r="H457" s="9"/>
    </x:row>
    <x:row r="458" ht="22" customHeight="1">
      <x:c r="A458" s="11"/>
      <x:c r="B458" s="9"/>
      <x:c r="C458" s="9"/>
      <x:c r="D458" s="9"/>
      <x:c r="E458" s="15"/>
      <x:c r="F458" s="15"/>
      <x:c r="G458" s="9"/>
      <x:c r="H458" s="9"/>
    </x:row>
    <x:row r="459" ht="22" customHeight="1">
      <x:c r="A459" s="11"/>
      <x:c r="B459" s="9"/>
      <x:c r="C459" s="9"/>
      <x:c r="D459" s="9"/>
      <x:c r="E459" s="15"/>
      <x:c r="F459" s="15"/>
      <x:c r="G459" s="9"/>
      <x:c r="H459" s="9"/>
    </x:row>
    <x:row r="460" ht="22" customHeight="1">
      <x:c r="A460" s="11"/>
      <x:c r="B460" s="9"/>
      <x:c r="C460" s="9"/>
      <x:c r="D460" s="9"/>
      <x:c r="E460" s="15"/>
      <x:c r="F460" s="15"/>
      <x:c r="G460" s="9"/>
      <x:c r="H460" s="9"/>
    </x:row>
    <x:row r="461" ht="22" customHeight="1">
      <x:c r="A461" s="11"/>
      <x:c r="B461" s="9"/>
      <x:c r="C461" s="9"/>
      <x:c r="D461" s="9"/>
      <x:c r="E461" s="15"/>
      <x:c r="F461" s="15"/>
      <x:c r="G461" s="9"/>
      <x:c r="H461" s="9"/>
    </x:row>
    <x:row r="462" ht="22" customHeight="1">
      <x:c r="A462" s="11"/>
      <x:c r="B462" s="9"/>
      <x:c r="C462" s="9"/>
      <x:c r="D462" s="9"/>
      <x:c r="E462" s="15"/>
      <x:c r="F462" s="15"/>
      <x:c r="G462" s="9"/>
      <x:c r="H462" s="9"/>
    </x:row>
    <x:row r="463" ht="22" customHeight="1">
      <x:c r="A463" s="11"/>
      <x:c r="B463" s="9"/>
      <x:c r="C463" s="9"/>
      <x:c r="D463" s="9"/>
      <x:c r="E463" s="15"/>
      <x:c r="F463" s="15"/>
      <x:c r="G463" s="9"/>
      <x:c r="H463" s="9"/>
    </x:row>
    <x:row r="464" ht="22" customHeight="1">
      <x:c r="A464" s="11"/>
      <x:c r="B464" s="9"/>
      <x:c r="C464" s="9"/>
      <x:c r="D464" s="9"/>
      <x:c r="E464" s="15"/>
      <x:c r="F464" s="15"/>
      <x:c r="G464" s="9"/>
      <x:c r="H464" s="9"/>
    </x:row>
    <x:row r="465" ht="22" customHeight="1">
      <x:c r="A465" s="11"/>
      <x:c r="B465" s="9"/>
      <x:c r="C465" s="9"/>
      <x:c r="D465" s="9"/>
      <x:c r="E465" s="15"/>
      <x:c r="F465" s="15"/>
      <x:c r="G465" s="9"/>
      <x:c r="H465" s="9"/>
    </x:row>
    <x:row r="466" ht="22" customHeight="1">
      <x:c r="A466" s="11"/>
      <x:c r="B466" s="9"/>
      <x:c r="C466" s="9"/>
      <x:c r="D466" s="9"/>
      <x:c r="E466" s="15"/>
      <x:c r="F466" s="15"/>
      <x:c r="G466" s="9"/>
      <x:c r="H466" s="9"/>
    </x:row>
    <x:row r="467" ht="22" customHeight="1">
      <x:c r="A467" s="11"/>
      <x:c r="B467" s="9"/>
      <x:c r="C467" s="9"/>
      <x:c r="D467" s="9"/>
      <x:c r="E467" s="15"/>
      <x:c r="F467" s="15"/>
      <x:c r="G467" s="9"/>
      <x:c r="H467" s="9"/>
    </x:row>
    <x:row r="468" ht="22" customHeight="1">
      <x:c r="A468" s="11"/>
      <x:c r="B468" s="9"/>
      <x:c r="C468" s="9"/>
      <x:c r="D468" s="9"/>
      <x:c r="E468" s="15"/>
      <x:c r="F468" s="15"/>
      <x:c r="G468" s="9"/>
      <x:c r="H468" s="9"/>
    </x:row>
    <x:row r="469" ht="22" customHeight="1">
      <x:c r="A469" s="11"/>
      <x:c r="B469" s="9"/>
      <x:c r="C469" s="9"/>
      <x:c r="D469" s="9"/>
      <x:c r="E469" s="15"/>
      <x:c r="F469" s="15"/>
      <x:c r="G469" s="9"/>
      <x:c r="H469" s="9"/>
    </x:row>
    <x:row r="470" ht="22" customHeight="1">
      <x:c r="A470" s="11"/>
      <x:c r="B470" s="9"/>
      <x:c r="C470" s="9"/>
      <x:c r="D470" s="9"/>
      <x:c r="E470" s="15"/>
      <x:c r="F470" s="15"/>
      <x:c r="G470" s="9"/>
      <x:c r="H470" s="9"/>
    </x:row>
    <x:row r="471" ht="22" customHeight="1">
      <x:c r="A471" s="11"/>
      <x:c r="B471" s="9"/>
      <x:c r="C471" s="9"/>
      <x:c r="D471" s="9"/>
      <x:c r="E471" s="15"/>
      <x:c r="F471" s="15"/>
      <x:c r="G471" s="9"/>
      <x:c r="H471" s="9"/>
    </x:row>
    <x:row r="472" ht="22" customHeight="1">
      <x:c r="A472" s="11"/>
      <x:c r="B472" s="9"/>
      <x:c r="C472" s="9"/>
      <x:c r="D472" s="9"/>
      <x:c r="E472" s="15"/>
      <x:c r="F472" s="15"/>
      <x:c r="G472" s="9"/>
      <x:c r="H472" s="9"/>
    </x:row>
    <x:row r="473" ht="22" customHeight="1">
      <x:c r="A473" s="11"/>
      <x:c r="B473" s="9"/>
      <x:c r="C473" s="9"/>
      <x:c r="D473" s="9"/>
      <x:c r="E473" s="15"/>
      <x:c r="F473" s="15"/>
      <x:c r="G473" s="9"/>
      <x:c r="H473" s="9"/>
    </x:row>
    <x:row r="474" ht="22" customHeight="1">
      <x:c r="A474" s="11"/>
      <x:c r="B474" s="9"/>
      <x:c r="C474" s="9"/>
      <x:c r="D474" s="9"/>
      <x:c r="E474" s="15"/>
      <x:c r="F474" s="15"/>
      <x:c r="G474" s="9"/>
      <x:c r="H474" s="9"/>
    </x:row>
    <x:row r="475" ht="22" customHeight="1">
      <x:c r="A475" s="11"/>
      <x:c r="B475" s="9"/>
      <x:c r="C475" s="9"/>
      <x:c r="D475" s="9"/>
      <x:c r="E475" s="15"/>
      <x:c r="F475" s="15"/>
      <x:c r="G475" s="9"/>
      <x:c r="H475" s="9"/>
    </x:row>
    <x:row r="476" ht="22" customHeight="1">
      <x:c r="A476" s="11"/>
      <x:c r="B476" s="9"/>
      <x:c r="C476" s="9"/>
      <x:c r="D476" s="9"/>
      <x:c r="E476" s="15"/>
      <x:c r="F476" s="15"/>
      <x:c r="G476" s="9"/>
      <x:c r="H476" s="9"/>
    </x:row>
    <x:row r="477" ht="22" customHeight="1">
      <x:c r="A477" s="11"/>
      <x:c r="B477" s="9"/>
      <x:c r="C477" s="9"/>
      <x:c r="D477" s="9"/>
      <x:c r="E477" s="15"/>
      <x:c r="F477" s="15"/>
      <x:c r="G477" s="9"/>
      <x:c r="H477" s="9"/>
    </x:row>
    <x:row r="478" ht="22" customHeight="1">
      <x:c r="A478" s="11"/>
      <x:c r="B478" s="9"/>
      <x:c r="C478" s="9"/>
      <x:c r="D478" s="9"/>
      <x:c r="E478" s="15"/>
      <x:c r="F478" s="15"/>
      <x:c r="G478" s="9"/>
      <x:c r="H478" s="9"/>
    </x:row>
    <x:row r="479" ht="22" customHeight="1">
      <x:c r="A479" s="11"/>
      <x:c r="B479" s="9"/>
      <x:c r="C479" s="9"/>
      <x:c r="D479" s="9"/>
      <x:c r="E479" s="15"/>
      <x:c r="F479" s="15"/>
      <x:c r="G479" s="9"/>
      <x:c r="H479" s="9"/>
    </x:row>
    <x:row r="480" ht="22" customHeight="1">
      <x:c r="A480" s="11"/>
      <x:c r="B480" s="9"/>
      <x:c r="C480" s="9"/>
      <x:c r="D480" s="9"/>
      <x:c r="E480" s="15"/>
      <x:c r="F480" s="15"/>
      <x:c r="G480" s="9"/>
      <x:c r="H480" s="9"/>
    </x:row>
    <x:row r="481" ht="22" customHeight="1">
      <x:c r="A481" s="11"/>
      <x:c r="B481" s="9"/>
      <x:c r="C481" s="9"/>
      <x:c r="D481" s="9"/>
      <x:c r="E481" s="15"/>
      <x:c r="F481" s="15"/>
      <x:c r="G481" s="9"/>
      <x:c r="H481" s="9"/>
    </x:row>
    <x:row r="482" ht="22" customHeight="1">
      <x:c r="A482" s="11"/>
      <x:c r="B482" s="9"/>
      <x:c r="C482" s="9"/>
      <x:c r="D482" s="9"/>
      <x:c r="E482" s="15"/>
      <x:c r="F482" s="15"/>
      <x:c r="G482" s="9"/>
      <x:c r="H482" s="9"/>
    </x:row>
    <x:row r="483" ht="22" customHeight="1">
      <x:c r="A483" s="11"/>
      <x:c r="B483" s="9"/>
      <x:c r="C483" s="9"/>
      <x:c r="D483" s="9"/>
      <x:c r="E483" s="15"/>
      <x:c r="F483" s="15"/>
      <x:c r="G483" s="9"/>
      <x:c r="H483" s="9"/>
    </x:row>
    <x:row r="484" ht="22" customHeight="1">
      <x:c r="A484" s="11"/>
      <x:c r="B484" s="9"/>
      <x:c r="C484" s="9"/>
      <x:c r="D484" s="9"/>
      <x:c r="E484" s="15"/>
      <x:c r="F484" s="15"/>
      <x:c r="G484" s="9"/>
      <x:c r="H484" s="9"/>
    </x:row>
    <x:row r="485" ht="22" customHeight="1">
      <x:c r="A485" s="11"/>
      <x:c r="B485" s="9"/>
      <x:c r="C485" s="9"/>
      <x:c r="D485" s="9"/>
      <x:c r="E485" s="15"/>
      <x:c r="F485" s="15"/>
      <x:c r="G485" s="9"/>
      <x:c r="H485" s="9"/>
    </x:row>
    <x:row r="486" ht="22" customHeight="1">
      <x:c r="A486" s="11"/>
      <x:c r="B486" s="9"/>
      <x:c r="C486" s="9"/>
      <x:c r="D486" s="9"/>
      <x:c r="E486" s="15"/>
      <x:c r="F486" s="15"/>
      <x:c r="G486" s="9"/>
      <x:c r="H486" s="9"/>
    </x:row>
    <x:row r="487" ht="22" customHeight="1">
      <x:c r="A487" s="11"/>
      <x:c r="B487" s="9"/>
      <x:c r="C487" s="9"/>
      <x:c r="D487" s="9"/>
      <x:c r="E487" s="15"/>
      <x:c r="F487" s="15"/>
      <x:c r="G487" s="9"/>
      <x:c r="H487" s="9"/>
    </x:row>
    <x:row r="488" ht="22" customHeight="1">
      <x:c r="A488" s="11"/>
      <x:c r="B488" s="9"/>
      <x:c r="C488" s="9"/>
      <x:c r="D488" s="9"/>
      <x:c r="E488" s="15"/>
      <x:c r="F488" s="15"/>
      <x:c r="G488" s="9"/>
      <x:c r="H488" s="9"/>
    </x:row>
    <x:row r="489" ht="22" customHeight="1">
      <x:c r="A489" s="11"/>
      <x:c r="B489" s="9"/>
      <x:c r="C489" s="9"/>
      <x:c r="D489" s="9"/>
      <x:c r="E489" s="15"/>
      <x:c r="F489" s="15"/>
      <x:c r="G489" s="9"/>
      <x:c r="H489" s="9"/>
    </x:row>
    <x:row r="490" ht="22" customHeight="1">
      <x:c r="A490" s="11"/>
      <x:c r="B490" s="9"/>
      <x:c r="C490" s="9"/>
      <x:c r="D490" s="9"/>
      <x:c r="E490" s="15"/>
      <x:c r="F490" s="15"/>
      <x:c r="G490" s="9"/>
      <x:c r="H490" s="9"/>
    </x:row>
    <x:row r="491" ht="22" customHeight="1">
      <x:c r="A491" s="11"/>
      <x:c r="B491" s="9"/>
      <x:c r="C491" s="9"/>
      <x:c r="D491" s="9"/>
      <x:c r="E491" s="15"/>
      <x:c r="F491" s="15"/>
      <x:c r="G491" s="9"/>
      <x:c r="H491" s="9"/>
    </x:row>
    <x:row r="492" ht="22" customHeight="1">
      <x:c r="A492" s="11"/>
      <x:c r="B492" s="9"/>
      <x:c r="C492" s="9"/>
      <x:c r="D492" s="9"/>
      <x:c r="E492" s="15"/>
      <x:c r="F492" s="15"/>
      <x:c r="G492" s="9"/>
      <x:c r="H492" s="9"/>
    </x:row>
    <x:row r="493" ht="22" customHeight="1">
      <x:c r="A493" s="11"/>
      <x:c r="B493" s="9"/>
      <x:c r="C493" s="9"/>
      <x:c r="D493" s="9"/>
      <x:c r="E493" s="15"/>
      <x:c r="F493" s="15"/>
      <x:c r="G493" s="9"/>
      <x:c r="H493" s="9"/>
    </x:row>
    <x:row r="494" ht="22" customHeight="1">
      <x:c r="A494" s="11"/>
      <x:c r="B494" s="9"/>
      <x:c r="C494" s="9"/>
      <x:c r="D494" s="9"/>
      <x:c r="E494" s="15"/>
      <x:c r="F494" s="15"/>
      <x:c r="G494" s="9"/>
      <x:c r="H494" s="9"/>
    </x:row>
    <x:row r="495" ht="22" customHeight="1">
      <x:c r="A495" s="11"/>
      <x:c r="B495" s="9"/>
      <x:c r="C495" s="9"/>
      <x:c r="D495" s="9"/>
      <x:c r="E495" s="15"/>
      <x:c r="F495" s="15"/>
      <x:c r="G495" s="9"/>
      <x:c r="H495" s="9"/>
    </x:row>
    <x:row r="496" ht="22" customHeight="1">
      <x:c r="A496" s="11"/>
      <x:c r="B496" s="9"/>
      <x:c r="C496" s="9"/>
      <x:c r="D496" s="9"/>
      <x:c r="E496" s="15"/>
      <x:c r="F496" s="15"/>
      <x:c r="G496" s="9"/>
      <x:c r="H496" s="9"/>
    </x:row>
    <x:row r="497" ht="22" customHeight="1">
      <x:c r="A497" s="11"/>
      <x:c r="B497" s="9"/>
      <x:c r="C497" s="9"/>
      <x:c r="D497" s="9"/>
      <x:c r="E497" s="15"/>
      <x:c r="F497" s="15"/>
      <x:c r="G497" s="9"/>
      <x:c r="H497" s="9"/>
    </x:row>
    <x:row r="498" ht="22" customHeight="1">
      <x:c r="A498" s="11"/>
      <x:c r="B498" s="9"/>
      <x:c r="C498" s="9"/>
      <x:c r="D498" s="9"/>
      <x:c r="E498" s="15"/>
      <x:c r="F498" s="15"/>
      <x:c r="G498" s="9"/>
      <x:c r="H498" s="9"/>
    </x:row>
    <x:row r="499" ht="22" customHeight="1">
      <x:c r="A499" s="11"/>
      <x:c r="B499" s="9"/>
      <x:c r="C499" s="9"/>
      <x:c r="D499" s="9"/>
      <x:c r="E499" s="15"/>
      <x:c r="F499" s="15"/>
      <x:c r="G499" s="9"/>
      <x:c r="H499" s="9"/>
    </x:row>
    <x:row r="500" ht="22" customHeight="1">
      <x:c r="A500" s="11"/>
      <x:c r="B500" s="9"/>
      <x:c r="C500" s="9"/>
      <x:c r="D500" s="9"/>
      <x:c r="E500" s="15"/>
      <x:c r="F500" s="15"/>
      <x:c r="G500" s="9"/>
      <x:c r="H500" s="9"/>
    </x:row>
    <x:row r="501" ht="22" customHeight="1">
      <x:c r="A501" s="11"/>
      <x:c r="B501" s="9"/>
      <x:c r="C501" s="9"/>
      <x:c r="D501" s="9"/>
      <x:c r="E501" s="15"/>
      <x:c r="F501" s="15"/>
      <x:c r="G501" s="9"/>
      <x:c r="H501" s="9"/>
    </x:row>
    <x:row r="502" ht="22" customHeight="1">
      <x:c r="A502" s="11"/>
      <x:c r="B502" s="9"/>
      <x:c r="C502" s="9"/>
      <x:c r="D502" s="9"/>
      <x:c r="E502" s="15"/>
      <x:c r="F502" s="15"/>
      <x:c r="G502" s="9"/>
      <x:c r="H502" s="9"/>
    </x:row>
    <x:row r="503" ht="22" customHeight="1">
      <x:c r="A503" s="11"/>
      <x:c r="B503" s="9"/>
      <x:c r="C503" s="9"/>
      <x:c r="D503" s="9"/>
      <x:c r="E503" s="15"/>
      <x:c r="F503" s="15"/>
      <x:c r="G503" s="9"/>
      <x:c r="H503" s="9"/>
    </x:row>
    <x:row r="504" ht="22" customHeight="1">
      <x:c r="A504" s="11"/>
      <x:c r="B504" s="9"/>
      <x:c r="C504" s="9"/>
      <x:c r="D504" s="9"/>
      <x:c r="E504" s="15"/>
      <x:c r="F504" s="15"/>
      <x:c r="G504" s="9"/>
      <x:c r="H504" s="9"/>
    </x:row>
    <x:row r="505" ht="22" customHeight="1">
      <x:c r="A505" s="11"/>
      <x:c r="B505" s="9"/>
      <x:c r="C505" s="9"/>
      <x:c r="D505" s="9"/>
      <x:c r="E505" s="15"/>
      <x:c r="F505" s="15"/>
      <x:c r="G505" s="9"/>
      <x:c r="H505" s="9"/>
    </x:row>
    <x:row r="506" ht="22" customHeight="1">
      <x:c r="A506" s="11"/>
      <x:c r="B506" s="9"/>
      <x:c r="C506" s="9"/>
      <x:c r="D506" s="9"/>
      <x:c r="E506" s="15"/>
      <x:c r="F506" s="15"/>
      <x:c r="G506" s="9"/>
      <x:c r="H506" s="9"/>
    </x:row>
    <x:row r="507" ht="22" customHeight="1">
      <x:c r="A507" s="11"/>
      <x:c r="B507" s="9"/>
      <x:c r="C507" s="9"/>
      <x:c r="D507" s="9"/>
      <x:c r="E507" s="15"/>
      <x:c r="F507" s="15"/>
      <x:c r="G507" s="9"/>
      <x:c r="H507" s="9"/>
    </x:row>
    <x:row r="508" ht="22" customHeight="1">
      <x:c r="A508" s="11"/>
      <x:c r="B508" s="9"/>
      <x:c r="C508" s="9"/>
      <x:c r="D508" s="9"/>
      <x:c r="E508" s="15"/>
      <x:c r="F508" s="15"/>
      <x:c r="G508" s="9"/>
      <x:c r="H508" s="9"/>
    </x:row>
    <x:row r="509" ht="22" customHeight="1">
      <x:c r="A509" s="11"/>
      <x:c r="B509" s="9"/>
      <x:c r="C509" s="9"/>
      <x:c r="D509" s="9"/>
      <x:c r="E509" s="15"/>
      <x:c r="F509" s="15"/>
      <x:c r="G509" s="9"/>
      <x:c r="H509" s="9"/>
    </x:row>
    <x:row r="510" ht="22" customHeight="1">
      <x:c r="A510" s="11"/>
      <x:c r="B510" s="9"/>
      <x:c r="C510" s="9"/>
      <x:c r="D510" s="9"/>
      <x:c r="E510" s="15"/>
      <x:c r="F510" s="15"/>
      <x:c r="G510" s="9"/>
      <x:c r="H510" s="9"/>
    </x:row>
    <x:row r="511" ht="22" customHeight="1">
      <x:c r="A511" s="11"/>
      <x:c r="B511" s="9"/>
      <x:c r="C511" s="9"/>
      <x:c r="D511" s="9"/>
      <x:c r="E511" s="15"/>
      <x:c r="F511" s="15"/>
      <x:c r="G511" s="9"/>
      <x:c r="H511" s="9"/>
    </x:row>
    <x:row r="512" ht="22" customHeight="1">
      <x:c r="A512" s="11"/>
      <x:c r="B512" s="9"/>
      <x:c r="C512" s="9"/>
      <x:c r="D512" s="9"/>
      <x:c r="E512" s="15"/>
      <x:c r="F512" s="15"/>
      <x:c r="G512" s="9"/>
      <x:c r="H512" s="9"/>
    </x:row>
    <x:row r="513" ht="22" customHeight="1">
      <x:c r="A513" s="11"/>
      <x:c r="B513" s="9"/>
      <x:c r="C513" s="9"/>
      <x:c r="D513" s="9"/>
      <x:c r="E513" s="15"/>
      <x:c r="F513" s="15"/>
      <x:c r="G513" s="9"/>
      <x:c r="H513" s="9"/>
    </x:row>
    <x:row r="514" ht="22" customHeight="1">
      <x:c r="A514" s="11"/>
      <x:c r="B514" s="9"/>
      <x:c r="C514" s="9"/>
      <x:c r="D514" s="9"/>
      <x:c r="E514" s="15"/>
      <x:c r="F514" s="15"/>
      <x:c r="G514" s="9"/>
      <x:c r="H514" s="9"/>
    </x:row>
    <x:row r="515" ht="22" customHeight="1">
      <x:c r="A515" s="11"/>
      <x:c r="B515" s="9"/>
      <x:c r="C515" s="9"/>
      <x:c r="D515" s="9"/>
      <x:c r="E515" s="15"/>
      <x:c r="F515" s="15"/>
      <x:c r="G515" s="9"/>
      <x:c r="H515" s="9"/>
    </x:row>
    <x:row r="516" ht="22" customHeight="1">
      <x:c r="A516" s="11"/>
      <x:c r="B516" s="9"/>
      <x:c r="C516" s="9"/>
      <x:c r="D516" s="9"/>
      <x:c r="E516" s="15"/>
      <x:c r="F516" s="15"/>
      <x:c r="G516" s="9"/>
      <x:c r="H516" s="9"/>
    </x:row>
    <x:row r="517" ht="22" customHeight="1">
      <x:c r="A517" s="11"/>
      <x:c r="B517" s="9"/>
      <x:c r="C517" s="9"/>
      <x:c r="D517" s="9"/>
      <x:c r="E517" s="15"/>
      <x:c r="F517" s="15"/>
      <x:c r="G517" s="9"/>
      <x:c r="H517" s="9"/>
    </x:row>
    <x:row r="518" ht="22" customHeight="1">
      <x:c r="A518" s="11"/>
      <x:c r="B518" s="9"/>
      <x:c r="C518" s="9"/>
      <x:c r="D518" s="9"/>
      <x:c r="E518" s="15"/>
      <x:c r="F518" s="15"/>
      <x:c r="G518" s="9"/>
      <x:c r="H518" s="9"/>
    </x:row>
    <x:row r="519" ht="22" customHeight="1">
      <x:c r="A519" s="11"/>
      <x:c r="B519" s="9"/>
      <x:c r="C519" s="9"/>
      <x:c r="D519" s="9"/>
      <x:c r="E519" s="15"/>
      <x:c r="F519" s="15"/>
      <x:c r="G519" s="9"/>
      <x:c r="H519" s="9"/>
    </x:row>
    <x:row r="520" ht="22" customHeight="1">
      <x:c r="A520" s="11"/>
      <x:c r="B520" s="9"/>
      <x:c r="C520" s="9"/>
      <x:c r="D520" s="9"/>
      <x:c r="E520" s="15"/>
      <x:c r="F520" s="15"/>
      <x:c r="G520" s="9"/>
      <x:c r="H520" s="9"/>
    </x:row>
    <x:row r="521" ht="22" customHeight="1">
      <x:c r="A521" s="11"/>
      <x:c r="B521" s="9"/>
      <x:c r="C521" s="9"/>
      <x:c r="D521" s="9"/>
      <x:c r="E521" s="15"/>
      <x:c r="F521" s="15"/>
      <x:c r="G521" s="9"/>
      <x:c r="H521" s="9"/>
    </x:row>
    <x:row r="522" ht="22" customHeight="1">
      <x:c r="A522" s="11"/>
      <x:c r="B522" s="9"/>
      <x:c r="C522" s="9"/>
      <x:c r="D522" s="9"/>
      <x:c r="E522" s="15"/>
      <x:c r="F522" s="15"/>
      <x:c r="G522" s="9"/>
      <x:c r="H522" s="9"/>
    </x:row>
    <x:row r="523" ht="22" customHeight="1">
      <x:c r="A523" s="11"/>
      <x:c r="B523" s="9"/>
      <x:c r="C523" s="9"/>
      <x:c r="D523" s="9"/>
      <x:c r="E523" s="15"/>
      <x:c r="F523" s="15"/>
      <x:c r="G523" s="9"/>
      <x:c r="H523" s="9"/>
    </x:row>
    <x:row r="524" ht="22" customHeight="1">
      <x:c r="A524" s="11"/>
      <x:c r="B524" s="9"/>
      <x:c r="C524" s="9"/>
      <x:c r="D524" s="9"/>
      <x:c r="E524" s="15"/>
      <x:c r="F524" s="15"/>
      <x:c r="G524" s="9"/>
      <x:c r="H524" s="9"/>
    </x:row>
    <x:row r="525" ht="22" customHeight="1">
      <x:c r="A525" s="11"/>
      <x:c r="B525" s="9"/>
      <x:c r="C525" s="9"/>
      <x:c r="D525" s="9"/>
      <x:c r="E525" s="15"/>
      <x:c r="F525" s="15"/>
      <x:c r="G525" s="9"/>
      <x:c r="H525" s="9"/>
    </x:row>
    <x:row r="526" ht="22" customHeight="1">
      <x:c r="A526" s="11"/>
      <x:c r="B526" s="9"/>
      <x:c r="C526" s="9"/>
      <x:c r="D526" s="9"/>
      <x:c r="E526" s="15"/>
      <x:c r="F526" s="15"/>
      <x:c r="G526" s="9"/>
      <x:c r="H526" s="9"/>
    </x:row>
    <x:row r="527" ht="22" customHeight="1">
      <x:c r="A527" s="11"/>
      <x:c r="B527" s="9"/>
      <x:c r="C527" s="9"/>
      <x:c r="D527" s="9"/>
      <x:c r="E527" s="15"/>
      <x:c r="F527" s="15"/>
      <x:c r="G527" s="9"/>
      <x:c r="H527" s="9"/>
    </x:row>
    <x:row r="528" ht="22" customHeight="1">
      <x:c r="A528" s="11"/>
      <x:c r="B528" s="9"/>
      <x:c r="C528" s="9"/>
      <x:c r="D528" s="9"/>
      <x:c r="E528" s="15"/>
      <x:c r="F528" s="15"/>
      <x:c r="G528" s="9"/>
      <x:c r="H528" s="9"/>
    </x:row>
    <x:row r="529" ht="22" customHeight="1">
      <x:c r="A529" s="11"/>
      <x:c r="B529" s="9"/>
      <x:c r="C529" s="9"/>
      <x:c r="D529" s="9"/>
      <x:c r="E529" s="15"/>
      <x:c r="F529" s="15"/>
      <x:c r="G529" s="9"/>
      <x:c r="H529" s="9"/>
    </x:row>
    <x:row r="530" ht="22" customHeight="1">
      <x:c r="A530" s="11"/>
      <x:c r="B530" s="9"/>
      <x:c r="C530" s="9"/>
      <x:c r="D530" s="9"/>
      <x:c r="E530" s="15"/>
      <x:c r="F530" s="15"/>
      <x:c r="G530" s="9"/>
      <x:c r="H530" s="9"/>
    </x:row>
    <x:row r="531" ht="22" customHeight="1">
      <x:c r="A531" s="11"/>
      <x:c r="B531" s="9"/>
      <x:c r="C531" s="9"/>
      <x:c r="D531" s="9"/>
      <x:c r="E531" s="15"/>
      <x:c r="F531" s="15"/>
      <x:c r="G531" s="9"/>
      <x:c r="H531" s="9"/>
    </x:row>
    <x:row r="532" ht="22" customHeight="1">
      <x:c r="A532" s="11"/>
      <x:c r="B532" s="9"/>
      <x:c r="C532" s="9"/>
      <x:c r="D532" s="9"/>
      <x:c r="E532" s="15"/>
      <x:c r="F532" s="15"/>
      <x:c r="G532" s="9"/>
      <x:c r="H532" s="9"/>
    </x:row>
    <x:row r="533" ht="22" customHeight="1">
      <x:c r="A533" s="11"/>
      <x:c r="B533" s="9"/>
      <x:c r="C533" s="9"/>
      <x:c r="D533" s="9"/>
      <x:c r="E533" s="15"/>
      <x:c r="F533" s="15"/>
      <x:c r="G533" s="9"/>
      <x:c r="H533" s="9"/>
    </x:row>
    <x:row r="534" ht="22" customHeight="1">
      <x:c r="A534" s="11"/>
      <x:c r="B534" s="9"/>
      <x:c r="C534" s="9"/>
      <x:c r="D534" s="9"/>
      <x:c r="E534" s="15"/>
      <x:c r="F534" s="15"/>
      <x:c r="G534" s="9"/>
      <x:c r="H534" s="9"/>
    </x:row>
    <x:row r="535" ht="22" customHeight="1">
      <x:c r="A535" s="11"/>
      <x:c r="B535" s="9"/>
      <x:c r="C535" s="9"/>
      <x:c r="D535" s="9"/>
      <x:c r="E535" s="15"/>
      <x:c r="F535" s="15"/>
      <x:c r="G535" s="9"/>
      <x:c r="H535" s="9"/>
    </x:row>
    <x:row r="536" ht="22" customHeight="1">
      <x:c r="A536" s="11"/>
      <x:c r="B536" s="9"/>
      <x:c r="C536" s="9"/>
      <x:c r="D536" s="9"/>
      <x:c r="E536" s="15"/>
      <x:c r="F536" s="15"/>
      <x:c r="G536" s="9"/>
      <x:c r="H536" s="9"/>
    </x:row>
    <x:row r="537" ht="22" customHeight="1">
      <x:c r="A537" s="11"/>
      <x:c r="B537" s="9"/>
      <x:c r="C537" s="9"/>
      <x:c r="D537" s="9"/>
      <x:c r="E537" s="15"/>
      <x:c r="F537" s="15"/>
      <x:c r="G537" s="9"/>
      <x:c r="H537" s="9"/>
    </x:row>
    <x:row r="538" ht="22" customHeight="1">
      <x:c r="A538" s="11"/>
      <x:c r="B538" s="9"/>
      <x:c r="C538" s="9"/>
      <x:c r="D538" s="9"/>
      <x:c r="E538" s="15"/>
      <x:c r="F538" s="15"/>
      <x:c r="G538" s="9"/>
      <x:c r="H538" s="9"/>
    </x:row>
    <x:row r="539" ht="22" customHeight="1">
      <x:c r="A539" s="11"/>
      <x:c r="B539" s="9"/>
      <x:c r="C539" s="9"/>
      <x:c r="D539" s="9"/>
      <x:c r="E539" s="15"/>
      <x:c r="F539" s="15"/>
      <x:c r="G539" s="9"/>
      <x:c r="H539" s="9"/>
    </x:row>
    <x:row r="540" ht="22" customHeight="1">
      <x:c r="A540" s="11"/>
      <x:c r="B540" s="9"/>
      <x:c r="C540" s="9"/>
      <x:c r="D540" s="9"/>
      <x:c r="E540" s="15"/>
      <x:c r="F540" s="15"/>
      <x:c r="G540" s="9"/>
      <x:c r="H540" s="9"/>
    </x:row>
    <x:row r="541" ht="22" customHeight="1">
      <x:c r="A541" s="11"/>
      <x:c r="B541" s="9"/>
      <x:c r="C541" s="9"/>
      <x:c r="D541" s="9"/>
      <x:c r="E541" s="15"/>
      <x:c r="F541" s="15"/>
      <x:c r="G541" s="9"/>
      <x:c r="H541" s="9"/>
    </x:row>
    <x:row r="542" ht="22" customHeight="1">
      <x:c r="A542" s="11"/>
      <x:c r="B542" s="9"/>
      <x:c r="C542" s="9"/>
      <x:c r="D542" s="9"/>
      <x:c r="E542" s="15"/>
      <x:c r="F542" s="15"/>
      <x:c r="G542" s="9"/>
      <x:c r="H542" s="9"/>
    </x:row>
    <x:row r="543" ht="22" customHeight="1">
      <x:c r="A543" s="11"/>
      <x:c r="B543" s="9"/>
      <x:c r="C543" s="9"/>
      <x:c r="D543" s="9"/>
      <x:c r="E543" s="15"/>
      <x:c r="F543" s="15"/>
      <x:c r="G543" s="9"/>
      <x:c r="H543" s="9"/>
    </x:row>
    <x:row r="544" ht="22" customHeight="1">
      <x:c r="A544" s="11"/>
      <x:c r="B544" s="9"/>
      <x:c r="C544" s="9"/>
      <x:c r="D544" s="9"/>
      <x:c r="E544" s="15"/>
      <x:c r="F544" s="15"/>
      <x:c r="G544" s="9"/>
      <x:c r="H544" s="9"/>
    </x:row>
    <x:row r="545" ht="22" customHeight="1">
      <x:c r="A545" s="11"/>
      <x:c r="B545" s="9"/>
      <x:c r="C545" s="9"/>
      <x:c r="D545" s="9"/>
      <x:c r="E545" s="15"/>
      <x:c r="F545" s="15"/>
      <x:c r="G545" s="9"/>
      <x:c r="H545" s="9"/>
    </x:row>
    <x:row r="546" ht="22" customHeight="1">
      <x:c r="A546" s="11"/>
      <x:c r="B546" s="9"/>
      <x:c r="C546" s="9"/>
      <x:c r="D546" s="9"/>
      <x:c r="E546" s="15"/>
      <x:c r="F546" s="15"/>
      <x:c r="G546" s="9"/>
      <x:c r="H546" s="9"/>
    </x:row>
    <x:row r="547" ht="22" customHeight="1">
      <x:c r="A547" s="11"/>
      <x:c r="B547" s="9"/>
      <x:c r="C547" s="9"/>
      <x:c r="D547" s="9"/>
      <x:c r="E547" s="15"/>
      <x:c r="F547" s="15"/>
      <x:c r="G547" s="9"/>
      <x:c r="H547" s="9"/>
    </x:row>
    <x:row r="548" ht="22" customHeight="1">
      <x:c r="A548" s="11"/>
      <x:c r="B548" s="9"/>
      <x:c r="C548" s="9"/>
      <x:c r="D548" s="9"/>
      <x:c r="E548" s="15"/>
      <x:c r="F548" s="15"/>
      <x:c r="G548" s="9"/>
      <x:c r="H548" s="9"/>
    </x:row>
    <x:row r="549" ht="22" customHeight="1">
      <x:c r="A549" s="11"/>
      <x:c r="B549" s="9"/>
      <x:c r="C549" s="9"/>
      <x:c r="D549" s="9"/>
      <x:c r="E549" s="15"/>
      <x:c r="F549" s="15"/>
      <x:c r="G549" s="9"/>
      <x:c r="H549" s="9"/>
    </x:row>
    <x:row r="550" ht="22" customHeight="1">
      <x:c r="A550" s="11"/>
      <x:c r="B550" s="9"/>
      <x:c r="C550" s="9"/>
      <x:c r="D550" s="9"/>
      <x:c r="E550" s="15"/>
      <x:c r="F550" s="15"/>
      <x:c r="G550" s="9"/>
      <x:c r="H550" s="9"/>
    </x:row>
    <x:row r="551" ht="22" customHeight="1">
      <x:c r="A551" s="11"/>
      <x:c r="B551" s="9"/>
      <x:c r="C551" s="9"/>
      <x:c r="D551" s="9"/>
      <x:c r="E551" s="15"/>
      <x:c r="F551" s="15"/>
      <x:c r="G551" s="9"/>
      <x:c r="H551" s="9"/>
    </x:row>
    <x:row r="552" ht="22" customHeight="1">
      <x:c r="A552" s="11"/>
      <x:c r="B552" s="9"/>
      <x:c r="C552" s="9"/>
      <x:c r="D552" s="9"/>
      <x:c r="E552" s="15"/>
      <x:c r="F552" s="15"/>
      <x:c r="G552" s="9"/>
      <x:c r="H552" s="9"/>
    </x:row>
    <x:row r="553" ht="22" customHeight="1">
      <x:c r="A553" s="11"/>
      <x:c r="B553" s="9"/>
      <x:c r="C553" s="9"/>
      <x:c r="D553" s="9"/>
      <x:c r="E553" s="15"/>
      <x:c r="F553" s="15"/>
      <x:c r="G553" s="9"/>
      <x:c r="H553" s="9"/>
    </x:row>
    <x:row r="554" ht="22" customHeight="1">
      <x:c r="A554" s="11"/>
      <x:c r="B554" s="9"/>
      <x:c r="C554" s="9"/>
      <x:c r="D554" s="9"/>
      <x:c r="E554" s="15"/>
      <x:c r="F554" s="15"/>
      <x:c r="G554" s="9"/>
      <x:c r="H554" s="9"/>
    </x:row>
    <x:row r="555" ht="22" customHeight="1">
      <x:c r="A555" s="11"/>
      <x:c r="B555" s="9"/>
      <x:c r="C555" s="9"/>
      <x:c r="D555" s="9"/>
      <x:c r="E555" s="15"/>
      <x:c r="F555" s="15"/>
      <x:c r="G555" s="9"/>
      <x:c r="H555" s="9"/>
    </x:row>
    <x:row r="556" ht="22" customHeight="1">
      <x:c r="A556" s="11"/>
      <x:c r="B556" s="9"/>
      <x:c r="C556" s="9"/>
      <x:c r="D556" s="9"/>
      <x:c r="E556" s="15"/>
      <x:c r="F556" s="15"/>
      <x:c r="G556" s="9"/>
      <x:c r="H556" s="9"/>
    </x:row>
    <x:row r="557" ht="22" customHeight="1">
      <x:c r="A557" s="11"/>
      <x:c r="B557" s="9"/>
      <x:c r="C557" s="9"/>
      <x:c r="D557" s="9"/>
      <x:c r="E557" s="15"/>
      <x:c r="F557" s="15"/>
      <x:c r="G557" s="9"/>
      <x:c r="H557" s="9"/>
    </x:row>
    <x:row r="558" ht="22" customHeight="1">
      <x:c r="A558" s="11"/>
      <x:c r="B558" s="9"/>
      <x:c r="C558" s="9"/>
      <x:c r="D558" s="9"/>
      <x:c r="E558" s="15"/>
      <x:c r="F558" s="15"/>
      <x:c r="G558" s="9"/>
      <x:c r="H558" s="9"/>
    </x:row>
    <x:row r="559" ht="22" customHeight="1">
      <x:c r="A559" s="11"/>
      <x:c r="B559" s="9"/>
      <x:c r="C559" s="9"/>
      <x:c r="D559" s="9"/>
      <x:c r="E559" s="15"/>
      <x:c r="F559" s="15"/>
      <x:c r="G559" s="9"/>
      <x:c r="H559" s="9"/>
    </x:row>
    <x:row r="560" ht="22" customHeight="1">
      <x:c r="A560" s="11"/>
      <x:c r="B560" s="9"/>
      <x:c r="C560" s="9"/>
      <x:c r="D560" s="9"/>
      <x:c r="E560" s="15"/>
      <x:c r="F560" s="15"/>
      <x:c r="G560" s="9"/>
      <x:c r="H560" s="9"/>
    </x:row>
    <x:row r="561" ht="22" customHeight="1">
      <x:c r="A561" s="11"/>
      <x:c r="B561" s="9"/>
      <x:c r="C561" s="9"/>
      <x:c r="D561" s="9"/>
      <x:c r="E561" s="15"/>
      <x:c r="F561" s="15"/>
      <x:c r="G561" s="9"/>
      <x:c r="H561" s="9"/>
    </x:row>
    <x:row r="562" ht="22" customHeight="1">
      <x:c r="A562" s="11"/>
      <x:c r="B562" s="9"/>
      <x:c r="C562" s="9"/>
      <x:c r="D562" s="9"/>
      <x:c r="E562" s="15"/>
      <x:c r="F562" s="15"/>
      <x:c r="G562" s="9"/>
      <x:c r="H562" s="9"/>
    </x:row>
    <x:row r="563" ht="22" customHeight="1">
      <x:c r="A563" s="11"/>
      <x:c r="B563" s="9"/>
      <x:c r="C563" s="9"/>
      <x:c r="D563" s="9"/>
      <x:c r="E563" s="15"/>
      <x:c r="F563" s="15"/>
      <x:c r="G563" s="9"/>
      <x:c r="H563" s="9"/>
    </x:row>
    <x:row r="564" ht="22" customHeight="1">
      <x:c r="A564" s="11"/>
      <x:c r="B564" s="9"/>
      <x:c r="C564" s="9"/>
      <x:c r="D564" s="9"/>
      <x:c r="E564" s="15"/>
      <x:c r="F564" s="15"/>
      <x:c r="G564" s="9"/>
      <x:c r="H564" s="9"/>
    </x:row>
    <x:row r="565" ht="22" customHeight="1">
      <x:c r="A565" s="11"/>
      <x:c r="B565" s="9"/>
      <x:c r="C565" s="9"/>
      <x:c r="D565" s="9"/>
      <x:c r="E565" s="15"/>
      <x:c r="F565" s="15"/>
      <x:c r="G565" s="9"/>
      <x:c r="H565" s="9"/>
    </x:row>
    <x:row r="566" ht="22" customHeight="1">
      <x:c r="A566" s="11"/>
      <x:c r="B566" s="9"/>
      <x:c r="C566" s="9"/>
      <x:c r="D566" s="9"/>
      <x:c r="E566" s="15"/>
      <x:c r="F566" s="15"/>
      <x:c r="G566" s="9"/>
      <x:c r="H566" s="9"/>
    </x:row>
    <x:row r="567" ht="22" customHeight="1">
      <x:c r="A567" s="11"/>
      <x:c r="B567" s="9"/>
      <x:c r="C567" s="9"/>
      <x:c r="D567" s="9"/>
      <x:c r="E567" s="15"/>
      <x:c r="F567" s="15"/>
      <x:c r="G567" s="9"/>
      <x:c r="H567" s="9"/>
    </x:row>
    <x:row r="568" ht="22" customHeight="1">
      <x:c r="A568" s="11"/>
      <x:c r="B568" s="9"/>
      <x:c r="C568" s="9"/>
      <x:c r="D568" s="9"/>
      <x:c r="E568" s="15"/>
      <x:c r="F568" s="15"/>
      <x:c r="G568" s="9"/>
      <x:c r="H568" s="9"/>
    </x:row>
    <x:row r="569" ht="22" customHeight="1">
      <x:c r="A569" s="11"/>
      <x:c r="B569" s="9"/>
      <x:c r="C569" s="9"/>
      <x:c r="D569" s="9"/>
      <x:c r="E569" s="15"/>
      <x:c r="F569" s="15"/>
      <x:c r="G569" s="9"/>
      <x:c r="H569" s="9"/>
    </x:row>
    <x:row r="570" ht="22" customHeight="1">
      <x:c r="A570" s="11"/>
      <x:c r="B570" s="9"/>
      <x:c r="C570" s="9"/>
      <x:c r="D570" s="9"/>
      <x:c r="E570" s="15"/>
      <x:c r="F570" s="15"/>
      <x:c r="G570" s="9"/>
      <x:c r="H570" s="9"/>
    </x:row>
    <x:row r="571" ht="22" customHeight="1">
      <x:c r="A571" s="11"/>
      <x:c r="B571" s="9"/>
      <x:c r="C571" s="9"/>
      <x:c r="D571" s="9"/>
      <x:c r="E571" s="15"/>
      <x:c r="F571" s="15"/>
      <x:c r="G571" s="9"/>
      <x:c r="H571" s="9"/>
    </x:row>
    <x:row r="572" ht="22" customHeight="1">
      <x:c r="A572" s="11"/>
      <x:c r="B572" s="9"/>
      <x:c r="C572" s="9"/>
      <x:c r="D572" s="9"/>
      <x:c r="E572" s="15"/>
      <x:c r="F572" s="15"/>
      <x:c r="G572" s="9"/>
      <x:c r="H572" s="9"/>
    </x:row>
    <x:row r="573" ht="22" customHeight="1">
      <x:c r="A573" s="11"/>
      <x:c r="B573" s="9"/>
      <x:c r="C573" s="9"/>
      <x:c r="D573" s="9"/>
      <x:c r="E573" s="15"/>
      <x:c r="F573" s="15"/>
      <x:c r="G573" s="9"/>
      <x:c r="H573" s="9"/>
    </x:row>
    <x:row r="574" ht="22" customHeight="1">
      <x:c r="A574" s="11"/>
      <x:c r="B574" s="9"/>
      <x:c r="C574" s="9"/>
      <x:c r="D574" s="9"/>
      <x:c r="E574" s="15"/>
      <x:c r="F574" s="15"/>
      <x:c r="G574" s="9"/>
      <x:c r="H574" s="9"/>
    </x:row>
    <x:row r="575" ht="22" customHeight="1">
      <x:c r="A575" s="11"/>
      <x:c r="B575" s="9"/>
      <x:c r="C575" s="9"/>
      <x:c r="D575" s="9"/>
      <x:c r="E575" s="15"/>
      <x:c r="F575" s="15"/>
      <x:c r="G575" s="9"/>
      <x:c r="H575" s="9"/>
    </x:row>
    <x:row r="576" ht="22" customHeight="1">
      <x:c r="A576" s="11"/>
      <x:c r="B576" s="9"/>
      <x:c r="C576" s="9"/>
      <x:c r="D576" s="9"/>
      <x:c r="E576" s="15"/>
      <x:c r="F576" s="15"/>
      <x:c r="G576" s="9"/>
      <x:c r="H576" s="9"/>
    </x:row>
    <x:row r="577" ht="22" customHeight="1">
      <x:c r="A577" s="11"/>
      <x:c r="B577" s="9"/>
      <x:c r="C577" s="9"/>
      <x:c r="D577" s="9"/>
      <x:c r="E577" s="15"/>
      <x:c r="F577" s="15"/>
      <x:c r="G577" s="9"/>
      <x:c r="H577" s="9"/>
    </x:row>
    <x:row r="578" ht="22" customHeight="1">
      <x:c r="A578" s="11"/>
      <x:c r="B578" s="9"/>
      <x:c r="C578" s="9"/>
      <x:c r="D578" s="9"/>
      <x:c r="E578" s="15"/>
      <x:c r="F578" s="15"/>
      <x:c r="G578" s="9"/>
      <x:c r="H578" s="9"/>
    </x:row>
    <x:row r="579" ht="22" customHeight="1">
      <x:c r="A579" s="11"/>
      <x:c r="B579" s="9"/>
      <x:c r="C579" s="9"/>
      <x:c r="D579" s="9"/>
      <x:c r="E579" s="15"/>
      <x:c r="F579" s="15"/>
      <x:c r="G579" s="9"/>
      <x:c r="H579" s="9"/>
    </x:row>
    <x:row r="580" ht="22" customHeight="1">
      <x:c r="A580" s="11"/>
      <x:c r="B580" s="9"/>
      <x:c r="C580" s="9"/>
      <x:c r="D580" s="9"/>
      <x:c r="E580" s="15"/>
      <x:c r="F580" s="15"/>
      <x:c r="G580" s="9"/>
      <x:c r="H580" s="9"/>
    </x:row>
    <x:row r="581" ht="22" customHeight="1">
      <x:c r="A581" s="11"/>
      <x:c r="B581" s="9"/>
      <x:c r="C581" s="9"/>
      <x:c r="D581" s="9"/>
      <x:c r="E581" s="15"/>
      <x:c r="F581" s="15"/>
      <x:c r="G581" s="9"/>
      <x:c r="H581" s="9"/>
    </x:row>
    <x:row r="582" ht="22" customHeight="1">
      <x:c r="A582" s="11"/>
      <x:c r="B582" s="9"/>
      <x:c r="C582" s="9"/>
      <x:c r="D582" s="9"/>
      <x:c r="E582" s="15"/>
      <x:c r="F582" s="15"/>
      <x:c r="G582" s="9"/>
      <x:c r="H582" s="9"/>
    </x:row>
    <x:row r="583" ht="22" customHeight="1">
      <x:c r="A583" s="11"/>
      <x:c r="B583" s="9"/>
      <x:c r="C583" s="9"/>
      <x:c r="D583" s="9"/>
      <x:c r="E583" s="15"/>
      <x:c r="F583" s="15"/>
      <x:c r="G583" s="9"/>
      <x:c r="H583" s="9"/>
    </x:row>
    <x:row r="584" ht="22" customHeight="1">
      <x:c r="A584" s="11"/>
      <x:c r="B584" s="9"/>
      <x:c r="C584" s="9"/>
      <x:c r="D584" s="9"/>
      <x:c r="E584" s="15"/>
      <x:c r="F584" s="15"/>
      <x:c r="G584" s="9"/>
      <x:c r="H584" s="9"/>
    </x:row>
    <x:row r="585" ht="22" customHeight="1">
      <x:c r="A585" s="11"/>
      <x:c r="B585" s="9"/>
      <x:c r="C585" s="9"/>
      <x:c r="D585" s="9"/>
      <x:c r="E585" s="15"/>
      <x:c r="F585" s="15"/>
      <x:c r="G585" s="9"/>
      <x:c r="H585" s="9"/>
    </x:row>
    <x:row r="586" ht="22" customHeight="1">
      <x:c r="A586" s="11"/>
      <x:c r="B586" s="9"/>
      <x:c r="C586" s="9"/>
      <x:c r="D586" s="9"/>
      <x:c r="E586" s="15"/>
      <x:c r="F586" s="15"/>
      <x:c r="G586" s="9"/>
      <x:c r="H586" s="9"/>
    </x:row>
    <x:row r="587" ht="22" customHeight="1">
      <x:c r="A587" s="11"/>
      <x:c r="B587" s="9"/>
      <x:c r="C587" s="9"/>
      <x:c r="D587" s="9"/>
      <x:c r="E587" s="15"/>
      <x:c r="F587" s="15"/>
      <x:c r="G587" s="9"/>
      <x:c r="H587" s="9"/>
    </x:row>
    <x:row r="588" ht="22" customHeight="1">
      <x:c r="A588" s="11"/>
      <x:c r="B588" s="9"/>
      <x:c r="C588" s="9"/>
      <x:c r="D588" s="9"/>
      <x:c r="E588" s="15"/>
      <x:c r="F588" s="15"/>
      <x:c r="G588" s="9"/>
      <x:c r="H588" s="9"/>
    </x:row>
    <x:row r="589" ht="22" customHeight="1">
      <x:c r="A589" s="11"/>
      <x:c r="B589" s="9"/>
      <x:c r="C589" s="9"/>
      <x:c r="D589" s="9"/>
      <x:c r="E589" s="15"/>
      <x:c r="F589" s="15"/>
      <x:c r="G589" s="9"/>
      <x:c r="H589" s="9"/>
    </x:row>
    <x:row r="590" ht="22" customHeight="1">
      <x:c r="A590" s="11"/>
      <x:c r="B590" s="9"/>
      <x:c r="C590" s="9"/>
      <x:c r="D590" s="9"/>
      <x:c r="E590" s="15"/>
      <x:c r="F590" s="15"/>
      <x:c r="G590" s="9"/>
      <x:c r="H590" s="9"/>
    </x:row>
    <x:row r="591" ht="22" customHeight="1">
      <x:c r="A591" s="11"/>
      <x:c r="B591" s="9"/>
      <x:c r="C591" s="9"/>
      <x:c r="D591" s="9"/>
      <x:c r="E591" s="15"/>
      <x:c r="F591" s="15"/>
      <x:c r="G591" s="9"/>
      <x:c r="H591" s="9"/>
    </x:row>
    <x:row r="592" ht="22" customHeight="1">
      <x:c r="A592" s="11"/>
      <x:c r="B592" s="9"/>
      <x:c r="C592" s="9"/>
      <x:c r="D592" s="9"/>
      <x:c r="E592" s="15"/>
      <x:c r="F592" s="15"/>
      <x:c r="G592" s="9"/>
      <x:c r="H592" s="9"/>
    </x:row>
    <x:row r="593" ht="22" customHeight="1">
      <x:c r="A593" s="11"/>
      <x:c r="B593" s="9"/>
      <x:c r="C593" s="9"/>
      <x:c r="D593" s="9"/>
      <x:c r="E593" s="15"/>
      <x:c r="F593" s="15"/>
      <x:c r="G593" s="9"/>
      <x:c r="H593" s="9"/>
    </x:row>
    <x:row r="594" ht="22" customHeight="1">
      <x:c r="A594" s="11"/>
      <x:c r="B594" s="9"/>
      <x:c r="C594" s="9"/>
      <x:c r="D594" s="9"/>
      <x:c r="E594" s="15"/>
      <x:c r="F594" s="15"/>
      <x:c r="G594" s="9"/>
      <x:c r="H594" s="9"/>
    </x:row>
    <x:row r="595" ht="22" customHeight="1">
      <x:c r="A595" s="11"/>
      <x:c r="B595" s="9"/>
      <x:c r="C595" s="9"/>
      <x:c r="D595" s="9"/>
      <x:c r="E595" s="15"/>
      <x:c r="F595" s="15"/>
      <x:c r="G595" s="9"/>
      <x:c r="H595" s="9"/>
    </x:row>
    <x:row r="596" ht="22" customHeight="1">
      <x:c r="A596" s="11"/>
      <x:c r="B596" s="9"/>
      <x:c r="C596" s="9"/>
      <x:c r="D596" s="9"/>
      <x:c r="E596" s="15"/>
      <x:c r="F596" s="15"/>
      <x:c r="G596" s="9"/>
      <x:c r="H596" s="9"/>
    </x:row>
    <x:row r="597" ht="22" customHeight="1">
      <x:c r="A597" s="11"/>
      <x:c r="B597" s="9"/>
      <x:c r="C597" s="9"/>
      <x:c r="D597" s="9"/>
      <x:c r="E597" s="15"/>
      <x:c r="F597" s="15"/>
      <x:c r="G597" s="9"/>
      <x:c r="H597" s="9"/>
    </x:row>
    <x:row r="598" ht="22" customHeight="1">
      <x:c r="A598" s="11"/>
      <x:c r="B598" s="9"/>
      <x:c r="C598" s="9"/>
      <x:c r="D598" s="9"/>
      <x:c r="E598" s="15"/>
      <x:c r="F598" s="15"/>
      <x:c r="G598" s="9"/>
      <x:c r="H598" s="9"/>
    </x:row>
    <x:row r="599" ht="22" customHeight="1">
      <x:c r="A599" s="11"/>
      <x:c r="B599" s="9"/>
      <x:c r="C599" s="9"/>
      <x:c r="D599" s="9"/>
      <x:c r="E599" s="15"/>
      <x:c r="F599" s="15"/>
      <x:c r="G599" s="9"/>
      <x:c r="H599" s="9"/>
    </x:row>
    <x:row r="600" ht="22" customHeight="1">
      <x:c r="A600" s="11"/>
      <x:c r="B600" s="9"/>
      <x:c r="C600" s="9"/>
      <x:c r="D600" s="9"/>
      <x:c r="E600" s="15"/>
      <x:c r="F600" s="15"/>
      <x:c r="G600" s="9"/>
      <x:c r="H600" s="9"/>
    </x:row>
    <x:row r="601" ht="22" customHeight="1">
      <x:c r="A601" s="11"/>
      <x:c r="B601" s="9"/>
      <x:c r="C601" s="9"/>
      <x:c r="D601" s="9"/>
      <x:c r="E601" s="15"/>
      <x:c r="F601" s="15"/>
      <x:c r="G601" s="9"/>
      <x:c r="H601" s="9"/>
    </x:row>
    <x:row r="602" ht="22" customHeight="1">
      <x:c r="A602" s="11"/>
      <x:c r="B602" s="9"/>
      <x:c r="C602" s="9"/>
      <x:c r="D602" s="9"/>
      <x:c r="E602" s="15"/>
      <x:c r="F602" s="15"/>
      <x:c r="G602" s="9"/>
      <x:c r="H602" s="9"/>
    </x:row>
    <x:row r="603" ht="22" customHeight="1">
      <x:c r="A603" s="11"/>
      <x:c r="B603" s="9"/>
      <x:c r="C603" s="9"/>
      <x:c r="D603" s="9"/>
      <x:c r="E603" s="15"/>
      <x:c r="F603" s="15"/>
      <x:c r="G603" s="9"/>
      <x:c r="H603" s="9"/>
    </x:row>
    <x:row r="604" ht="22" customHeight="1">
      <x:c r="A604" s="11"/>
      <x:c r="B604" s="9"/>
      <x:c r="C604" s="9"/>
      <x:c r="D604" s="9"/>
      <x:c r="E604" s="15"/>
      <x:c r="F604" s="15"/>
      <x:c r="G604" s="9"/>
      <x:c r="H604" s="9"/>
    </x:row>
    <x:row r="605" ht="22" customHeight="1">
      <x:c r="A605" s="11"/>
      <x:c r="B605" s="9"/>
      <x:c r="C605" s="9"/>
      <x:c r="D605" s="9"/>
      <x:c r="E605" s="15"/>
      <x:c r="F605" s="15"/>
      <x:c r="G605" s="9"/>
      <x:c r="H605" s="9"/>
    </x:row>
    <x:row r="606" ht="22" customHeight="1">
      <x:c r="A606" s="11"/>
      <x:c r="B606" s="9"/>
      <x:c r="C606" s="9"/>
      <x:c r="D606" s="9"/>
      <x:c r="E606" s="15"/>
      <x:c r="F606" s="15"/>
      <x:c r="G606" s="9"/>
      <x:c r="H606" s="9"/>
    </x:row>
    <x:row r="607" ht="22" customHeight="1">
      <x:c r="A607" s="11"/>
      <x:c r="B607" s="9"/>
      <x:c r="C607" s="9"/>
      <x:c r="D607" s="9"/>
      <x:c r="E607" s="15"/>
      <x:c r="F607" s="15"/>
      <x:c r="G607" s="9"/>
      <x:c r="H607" s="9"/>
    </x:row>
    <x:row r="608" ht="22" customHeight="1">
      <x:c r="A608" s="11"/>
      <x:c r="B608" s="9"/>
      <x:c r="C608" s="9"/>
      <x:c r="D608" s="9"/>
      <x:c r="E608" s="15"/>
      <x:c r="F608" s="15"/>
      <x:c r="G608" s="9"/>
      <x:c r="H608" s="9"/>
    </x:row>
    <x:row r="609" ht="22" customHeight="1">
      <x:c r="A609" s="11"/>
      <x:c r="B609" s="9"/>
      <x:c r="C609" s="9"/>
      <x:c r="D609" s="9"/>
      <x:c r="E609" s="15"/>
      <x:c r="F609" s="15"/>
      <x:c r="G609" s="9"/>
      <x:c r="H609" s="9"/>
    </x:row>
    <x:row r="610" ht="22" customHeight="1">
      <x:c r="A610" s="11"/>
      <x:c r="B610" s="9"/>
      <x:c r="C610" s="9"/>
      <x:c r="D610" s="9"/>
      <x:c r="E610" s="15"/>
      <x:c r="F610" s="15"/>
      <x:c r="G610" s="9"/>
      <x:c r="H610" s="9"/>
    </x:row>
    <x:row r="611" ht="22" customHeight="1">
      <x:c r="A611" s="11"/>
      <x:c r="B611" s="9"/>
      <x:c r="C611" s="9"/>
      <x:c r="D611" s="9"/>
      <x:c r="E611" s="15"/>
      <x:c r="F611" s="15"/>
      <x:c r="G611" s="9"/>
      <x:c r="H611" s="9"/>
    </x:row>
    <x:row r="612" ht="22" customHeight="1">
      <x:c r="A612" s="11"/>
      <x:c r="B612" s="9"/>
      <x:c r="C612" s="9"/>
      <x:c r="D612" s="9"/>
      <x:c r="E612" s="15"/>
      <x:c r="F612" s="15"/>
      <x:c r="G612" s="9"/>
      <x:c r="H612" s="9"/>
    </x:row>
    <x:row r="613" ht="22" customHeight="1">
      <x:c r="A613" s="11"/>
      <x:c r="B613" s="9"/>
      <x:c r="C613" s="9"/>
      <x:c r="D613" s="9"/>
      <x:c r="E613" s="15"/>
      <x:c r="F613" s="15"/>
      <x:c r="G613" s="9"/>
      <x:c r="H613" s="9"/>
    </x:row>
    <x:row r="614" ht="22" customHeight="1">
      <x:c r="A614" s="11"/>
      <x:c r="B614" s="9"/>
      <x:c r="C614" s="9"/>
      <x:c r="D614" s="9"/>
      <x:c r="E614" s="15"/>
      <x:c r="F614" s="15"/>
      <x:c r="G614" s="9"/>
      <x:c r="H614" s="9"/>
    </x:row>
    <x:row r="615" ht="22" customHeight="1">
      <x:c r="A615" s="11"/>
      <x:c r="B615" s="9"/>
      <x:c r="C615" s="9"/>
      <x:c r="D615" s="9"/>
      <x:c r="E615" s="15"/>
      <x:c r="F615" s="15"/>
      <x:c r="G615" s="9"/>
      <x:c r="H615" s="9"/>
    </x:row>
    <x:row r="616" ht="22" customHeight="1">
      <x:c r="A616" s="11"/>
      <x:c r="B616" s="9"/>
      <x:c r="C616" s="9"/>
      <x:c r="D616" s="9"/>
      <x:c r="E616" s="15"/>
      <x:c r="F616" s="15"/>
      <x:c r="G616" s="9"/>
      <x:c r="H616" s="9"/>
    </x:row>
    <x:row r="617" ht="22" customHeight="1">
      <x:c r="A617" s="11"/>
      <x:c r="B617" s="9"/>
      <x:c r="C617" s="9"/>
      <x:c r="D617" s="9"/>
      <x:c r="E617" s="15"/>
      <x:c r="F617" s="15"/>
      <x:c r="G617" s="9"/>
      <x:c r="H617" s="9"/>
    </x:row>
    <x:row r="618" ht="22" customHeight="1">
      <x:c r="A618" s="11"/>
      <x:c r="B618" s="9"/>
      <x:c r="C618" s="9"/>
      <x:c r="D618" s="9"/>
      <x:c r="E618" s="15"/>
      <x:c r="F618" s="15"/>
      <x:c r="G618" s="9"/>
      <x:c r="H618" s="9"/>
    </x:row>
    <x:row r="619" ht="22" customHeight="1">
      <x:c r="A619" s="11"/>
      <x:c r="B619" s="9"/>
      <x:c r="C619" s="9"/>
      <x:c r="D619" s="9"/>
      <x:c r="E619" s="15"/>
      <x:c r="F619" s="15"/>
      <x:c r="G619" s="9"/>
      <x:c r="H619" s="9"/>
    </x:row>
    <x:row r="620" ht="22" customHeight="1">
      <x:c r="A620" s="11"/>
      <x:c r="B620" s="9"/>
      <x:c r="C620" s="9"/>
      <x:c r="D620" s="9"/>
      <x:c r="E620" s="15"/>
      <x:c r="F620" s="15"/>
      <x:c r="G620" s="9"/>
      <x:c r="H620" s="9"/>
    </x:row>
    <x:row r="621" ht="22" customHeight="1">
      <x:c r="A621" s="11"/>
      <x:c r="B621" s="9"/>
      <x:c r="C621" s="9"/>
      <x:c r="D621" s="9"/>
      <x:c r="E621" s="15"/>
      <x:c r="F621" s="15"/>
      <x:c r="G621" s="9"/>
      <x:c r="H621" s="9"/>
    </x:row>
    <x:row r="622" ht="22" customHeight="1">
      <x:c r="A622" s="11"/>
      <x:c r="B622" s="9"/>
      <x:c r="C622" s="9"/>
      <x:c r="D622" s="9"/>
      <x:c r="E622" s="15"/>
      <x:c r="F622" s="15"/>
      <x:c r="G622" s="9"/>
      <x:c r="H622" s="9"/>
    </x:row>
    <x:row r="623" ht="22" customHeight="1">
      <x:c r="A623" s="11"/>
      <x:c r="B623" s="9"/>
      <x:c r="C623" s="9"/>
      <x:c r="D623" s="9"/>
      <x:c r="E623" s="15"/>
      <x:c r="F623" s="15"/>
      <x:c r="G623" s="9"/>
      <x:c r="H623" s="9"/>
    </x:row>
    <x:row r="624" ht="22" customHeight="1">
      <x:c r="A624" s="11"/>
      <x:c r="B624" s="9"/>
      <x:c r="C624" s="9"/>
      <x:c r="D624" s="9"/>
      <x:c r="E624" s="15"/>
      <x:c r="F624" s="15"/>
      <x:c r="G624" s="9"/>
      <x:c r="H624" s="9"/>
    </x:row>
    <x:row r="625" ht="22" customHeight="1">
      <x:c r="A625" s="11"/>
      <x:c r="B625" s="9"/>
      <x:c r="C625" s="9"/>
      <x:c r="D625" s="9"/>
      <x:c r="E625" s="15"/>
      <x:c r="F625" s="15"/>
      <x:c r="G625" s="9"/>
      <x:c r="H625" s="9"/>
    </x:row>
    <x:row r="626" ht="22" customHeight="1">
      <x:c r="A626" s="11"/>
      <x:c r="B626" s="9"/>
      <x:c r="C626" s="9"/>
      <x:c r="D626" s="9"/>
      <x:c r="E626" s="15"/>
      <x:c r="F626" s="15"/>
      <x:c r="G626" s="9"/>
      <x:c r="H626" s="9"/>
    </x:row>
    <x:row r="627" ht="22" customHeight="1">
      <x:c r="A627" s="11"/>
      <x:c r="B627" s="9"/>
      <x:c r="C627" s="9"/>
      <x:c r="D627" s="9"/>
      <x:c r="E627" s="15"/>
      <x:c r="F627" s="15"/>
      <x:c r="G627" s="9"/>
      <x:c r="H627" s="9"/>
    </x:row>
    <x:row r="628" ht="22" customHeight="1">
      <x:c r="A628" s="11"/>
      <x:c r="B628" s="9"/>
      <x:c r="C628" s="9"/>
      <x:c r="D628" s="9"/>
      <x:c r="E628" s="15"/>
      <x:c r="F628" s="15"/>
      <x:c r="G628" s="9"/>
      <x:c r="H628" s="9"/>
    </x:row>
    <x:row r="629" ht="22" customHeight="1">
      <x:c r="A629" s="11"/>
      <x:c r="B629" s="9"/>
      <x:c r="C629" s="9"/>
      <x:c r="D629" s="9"/>
      <x:c r="E629" s="15"/>
      <x:c r="F629" s="15"/>
      <x:c r="G629" s="9"/>
      <x:c r="H629" s="9"/>
    </x:row>
    <x:row r="630" ht="22" customHeight="1">
      <x:c r="A630" s="11"/>
      <x:c r="B630" s="9"/>
      <x:c r="C630" s="9"/>
      <x:c r="D630" s="9"/>
      <x:c r="E630" s="15"/>
      <x:c r="F630" s="15"/>
      <x:c r="G630" s="9"/>
      <x:c r="H630" s="9"/>
    </x:row>
    <x:row r="631" ht="22" customHeight="1">
      <x:c r="A631" s="11"/>
      <x:c r="B631" s="9"/>
      <x:c r="C631" s="9"/>
      <x:c r="D631" s="9"/>
      <x:c r="E631" s="15"/>
      <x:c r="F631" s="15"/>
      <x:c r="G631" s="9"/>
      <x:c r="H631" s="9"/>
    </x:row>
    <x:row r="632" ht="22" customHeight="1">
      <x:c r="A632" s="11"/>
      <x:c r="B632" s="9"/>
      <x:c r="C632" s="9"/>
      <x:c r="D632" s="9"/>
      <x:c r="E632" s="15"/>
      <x:c r="F632" s="15"/>
      <x:c r="G632" s="9"/>
      <x:c r="H632" s="9"/>
    </x:row>
    <x:row r="633" ht="22" customHeight="1">
      <x:c r="A633" s="11"/>
      <x:c r="B633" s="9"/>
      <x:c r="C633" s="9"/>
      <x:c r="D633" s="9"/>
      <x:c r="E633" s="15"/>
      <x:c r="F633" s="15"/>
      <x:c r="G633" s="9"/>
      <x:c r="H633" s="9"/>
    </x:row>
    <x:row r="634" ht="22" customHeight="1">
      <x:c r="A634" s="11"/>
      <x:c r="B634" s="9"/>
      <x:c r="C634" s="9"/>
      <x:c r="D634" s="9"/>
      <x:c r="E634" s="15"/>
      <x:c r="F634" s="15"/>
      <x:c r="G634" s="9"/>
      <x:c r="H634" s="9"/>
    </x:row>
    <x:row r="635" ht="22" customHeight="1">
      <x:c r="A635" s="11"/>
      <x:c r="B635" s="9"/>
      <x:c r="C635" s="9"/>
      <x:c r="D635" s="9"/>
      <x:c r="E635" s="15"/>
      <x:c r="F635" s="15"/>
      <x:c r="G635" s="9"/>
      <x:c r="H635" s="9"/>
    </x:row>
    <x:row r="636" ht="22" customHeight="1">
      <x:c r="A636" s="11"/>
      <x:c r="B636" s="9"/>
      <x:c r="C636" s="9"/>
      <x:c r="D636" s="9"/>
      <x:c r="E636" s="15"/>
      <x:c r="F636" s="15"/>
      <x:c r="G636" s="9"/>
      <x:c r="H636" s="9"/>
    </x:row>
    <x:row r="637" ht="22" customHeight="1">
      <x:c r="A637" s="11"/>
      <x:c r="B637" s="9"/>
      <x:c r="C637" s="9"/>
      <x:c r="D637" s="9"/>
      <x:c r="E637" s="15"/>
      <x:c r="F637" s="15"/>
      <x:c r="G637" s="9"/>
      <x:c r="H637" s="9"/>
    </x:row>
    <x:row r="638" ht="22" customHeight="1">
      <x:c r="A638" s="11"/>
      <x:c r="B638" s="9"/>
      <x:c r="C638" s="9"/>
      <x:c r="D638" s="9"/>
      <x:c r="E638" s="15"/>
      <x:c r="F638" s="15"/>
      <x:c r="G638" s="9"/>
      <x:c r="H638" s="9"/>
    </x:row>
    <x:row r="639" ht="22" customHeight="1">
      <x:c r="A639" s="11"/>
      <x:c r="B639" s="9"/>
      <x:c r="C639" s="9"/>
      <x:c r="D639" s="9"/>
      <x:c r="E639" s="15"/>
      <x:c r="F639" s="15"/>
      <x:c r="G639" s="9"/>
      <x:c r="H639" s="9"/>
    </x:row>
    <x:row r="640" ht="22" customHeight="1">
      <x:c r="A640" s="11"/>
      <x:c r="B640" s="9"/>
      <x:c r="C640" s="9"/>
      <x:c r="D640" s="9"/>
      <x:c r="E640" s="15"/>
      <x:c r="F640" s="15"/>
      <x:c r="G640" s="9"/>
      <x:c r="H640" s="9"/>
    </x:row>
    <x:row r="641" ht="22" customHeight="1">
      <x:c r="A641" s="11"/>
      <x:c r="B641" s="9"/>
      <x:c r="C641" s="9"/>
      <x:c r="D641" s="9"/>
      <x:c r="E641" s="15"/>
      <x:c r="F641" s="15"/>
      <x:c r="G641" s="9"/>
      <x:c r="H641" s="9"/>
    </x:row>
    <x:row r="642" ht="22" customHeight="1">
      <x:c r="A642" s="11"/>
      <x:c r="B642" s="9"/>
      <x:c r="C642" s="9"/>
      <x:c r="D642" s="9"/>
      <x:c r="E642" s="15"/>
      <x:c r="F642" s="15"/>
      <x:c r="G642" s="9"/>
      <x:c r="H642" s="9"/>
    </x:row>
    <x:row r="643" ht="22" customHeight="1">
      <x:c r="A643" s="11"/>
      <x:c r="B643" s="9"/>
      <x:c r="C643" s="9"/>
      <x:c r="D643" s="9"/>
      <x:c r="E643" s="15"/>
      <x:c r="F643" s="15"/>
      <x:c r="G643" s="9"/>
      <x:c r="H643" s="9"/>
    </x:row>
    <x:row r="644" ht="22" customHeight="1">
      <x:c r="A644" s="11"/>
      <x:c r="B644" s="9"/>
      <x:c r="C644" s="9"/>
      <x:c r="D644" s="9"/>
      <x:c r="E644" s="15"/>
      <x:c r="F644" s="15"/>
      <x:c r="G644" s="9"/>
      <x:c r="H644" s="9"/>
    </x:row>
    <x:row r="645" ht="22" customHeight="1">
      <x:c r="A645" s="11"/>
      <x:c r="B645" s="9"/>
      <x:c r="C645" s="9"/>
      <x:c r="D645" s="9"/>
      <x:c r="E645" s="15"/>
      <x:c r="F645" s="15"/>
      <x:c r="G645" s="9"/>
      <x:c r="H645" s="9"/>
    </x:row>
    <x:row r="646" ht="22" customHeight="1">
      <x:c r="A646" s="11"/>
      <x:c r="B646" s="9"/>
      <x:c r="C646" s="9"/>
      <x:c r="D646" s="9"/>
      <x:c r="E646" s="15"/>
      <x:c r="F646" s="15"/>
      <x:c r="G646" s="9"/>
      <x:c r="H646" s="9"/>
    </x:row>
    <x:row r="647" ht="22" customHeight="1">
      <x:c r="A647" s="11"/>
      <x:c r="B647" s="9"/>
      <x:c r="C647" s="9"/>
      <x:c r="D647" s="9"/>
      <x:c r="E647" s="15"/>
      <x:c r="F647" s="15"/>
      <x:c r="G647" s="9"/>
      <x:c r="H647" s="9"/>
    </x:row>
    <x:row r="648" ht="22" customHeight="1">
      <x:c r="A648" s="11"/>
      <x:c r="B648" s="9"/>
      <x:c r="C648" s="9"/>
      <x:c r="D648" s="9"/>
      <x:c r="E648" s="15"/>
      <x:c r="F648" s="15"/>
      <x:c r="G648" s="9"/>
      <x:c r="H648" s="9"/>
    </x:row>
    <x:row r="649" ht="22" customHeight="1">
      <x:c r="A649" s="11"/>
      <x:c r="B649" s="9"/>
      <x:c r="C649" s="9"/>
      <x:c r="D649" s="9"/>
      <x:c r="E649" s="15"/>
      <x:c r="F649" s="15"/>
      <x:c r="G649" s="9"/>
      <x:c r="H649" s="9"/>
    </x:row>
    <x:row r="650" ht="22" customHeight="1">
      <x:c r="A650" s="11"/>
      <x:c r="B650" s="9"/>
      <x:c r="C650" s="9"/>
      <x:c r="D650" s="9"/>
      <x:c r="E650" s="15"/>
      <x:c r="F650" s="15"/>
      <x:c r="G650" s="9"/>
      <x:c r="H650" s="9"/>
    </x:row>
    <x:row r="651" ht="22" customHeight="1">
      <x:c r="A651" s="11"/>
      <x:c r="B651" s="9"/>
      <x:c r="C651" s="9"/>
      <x:c r="D651" s="9"/>
      <x:c r="E651" s="15"/>
      <x:c r="F651" s="15"/>
      <x:c r="G651" s="9"/>
      <x:c r="H651" s="9"/>
    </x:row>
    <x:row r="652" ht="22" customHeight="1">
      <x:c r="A652" s="11"/>
      <x:c r="B652" s="9"/>
      <x:c r="C652" s="9"/>
      <x:c r="D652" s="9"/>
      <x:c r="E652" s="15"/>
      <x:c r="F652" s="15"/>
      <x:c r="G652" s="9"/>
      <x:c r="H652" s="9"/>
    </x:row>
    <x:row r="653" ht="22" customHeight="1">
      <x:c r="A653" s="11"/>
      <x:c r="B653" s="9"/>
      <x:c r="C653" s="9"/>
      <x:c r="D653" s="9"/>
      <x:c r="E653" s="15"/>
      <x:c r="F653" s="15"/>
      <x:c r="G653" s="9"/>
      <x:c r="H653" s="9"/>
    </x:row>
    <x:row r="654" ht="22" customHeight="1">
      <x:c r="A654" s="11"/>
      <x:c r="B654" s="9"/>
      <x:c r="C654" s="9"/>
      <x:c r="D654" s="9"/>
      <x:c r="E654" s="15"/>
      <x:c r="F654" s="15"/>
      <x:c r="G654" s="9"/>
      <x:c r="H654" s="9"/>
    </x:row>
    <x:row r="655" ht="22" customHeight="1">
      <x:c r="A655" s="11"/>
      <x:c r="B655" s="9"/>
      <x:c r="C655" s="9"/>
      <x:c r="D655" s="9"/>
      <x:c r="E655" s="15"/>
      <x:c r="F655" s="15"/>
      <x:c r="G655" s="9"/>
      <x:c r="H655" s="9"/>
    </x:row>
    <x:row r="656" ht="22" customHeight="1">
      <x:c r="A656" s="11"/>
      <x:c r="B656" s="9"/>
      <x:c r="C656" s="9"/>
      <x:c r="D656" s="9"/>
      <x:c r="E656" s="15"/>
      <x:c r="F656" s="15"/>
      <x:c r="G656" s="9"/>
      <x:c r="H656" s="9"/>
    </x:row>
    <x:row r="657" ht="22" customHeight="1">
      <x:c r="A657" s="11"/>
      <x:c r="B657" s="9"/>
      <x:c r="C657" s="9"/>
      <x:c r="D657" s="9"/>
      <x:c r="E657" s="15"/>
      <x:c r="F657" s="15"/>
      <x:c r="G657" s="9"/>
      <x:c r="H657" s="9"/>
    </x:row>
    <x:row r="658" ht="22" customHeight="1">
      <x:c r="A658" s="11"/>
      <x:c r="B658" s="9"/>
      <x:c r="C658" s="9"/>
      <x:c r="D658" s="9"/>
      <x:c r="E658" s="15"/>
      <x:c r="F658" s="15"/>
      <x:c r="G658" s="9"/>
      <x:c r="H658" s="9"/>
    </x:row>
    <x:row r="659" ht="22" customHeight="1">
      <x:c r="A659" s="11"/>
      <x:c r="B659" s="9"/>
      <x:c r="C659" s="9"/>
      <x:c r="D659" s="9"/>
      <x:c r="E659" s="15"/>
      <x:c r="F659" s="15"/>
      <x:c r="G659" s="9"/>
      <x:c r="H659" s="9"/>
    </x:row>
    <x:row r="660" ht="22" customHeight="1">
      <x:c r="A660" s="11"/>
      <x:c r="B660" s="9"/>
      <x:c r="C660" s="9"/>
      <x:c r="D660" s="9"/>
      <x:c r="E660" s="15"/>
      <x:c r="F660" s="15"/>
      <x:c r="G660" s="9"/>
      <x:c r="H660" s="9"/>
    </x:row>
    <x:row r="661" ht="22" customHeight="1">
      <x:c r="A661" s="11"/>
      <x:c r="B661" s="9"/>
      <x:c r="C661" s="9"/>
      <x:c r="D661" s="9"/>
      <x:c r="E661" s="15"/>
      <x:c r="F661" s="15"/>
      <x:c r="G661" s="9"/>
      <x:c r="H661" s="9"/>
    </x:row>
    <x:row r="662" ht="22" customHeight="1">
      <x:c r="A662" s="11"/>
      <x:c r="B662" s="9"/>
      <x:c r="C662" s="9"/>
      <x:c r="D662" s="9"/>
      <x:c r="E662" s="15"/>
      <x:c r="F662" s="15"/>
      <x:c r="G662" s="9"/>
      <x:c r="H662" s="9"/>
    </x:row>
    <x:row r="663" ht="22" customHeight="1">
      <x:c r="A663" s="11"/>
      <x:c r="B663" s="9"/>
      <x:c r="C663" s="9"/>
      <x:c r="D663" s="9"/>
      <x:c r="E663" s="15"/>
      <x:c r="F663" s="15"/>
      <x:c r="G663" s="9"/>
      <x:c r="H663" s="9"/>
    </x:row>
    <x:row r="664" ht="22" customHeight="1">
      <x:c r="A664" s="11"/>
      <x:c r="B664" s="9"/>
      <x:c r="C664" s="9"/>
      <x:c r="D664" s="9"/>
      <x:c r="E664" s="15"/>
      <x:c r="F664" s="15"/>
      <x:c r="G664" s="9"/>
      <x:c r="H664" s="9"/>
    </x:row>
    <x:row r="665" ht="22" customHeight="1">
      <x:c r="A665" s="11"/>
      <x:c r="B665" s="9"/>
      <x:c r="C665" s="9"/>
      <x:c r="D665" s="9"/>
      <x:c r="E665" s="15"/>
      <x:c r="F665" s="15"/>
      <x:c r="G665" s="9"/>
      <x:c r="H665" s="9"/>
    </x:row>
    <x:row r="666" ht="22" customHeight="1">
      <x:c r="A666" s="11"/>
      <x:c r="B666" s="9"/>
      <x:c r="C666" s="9"/>
      <x:c r="D666" s="9"/>
      <x:c r="E666" s="15"/>
      <x:c r="F666" s="15"/>
      <x:c r="G666" s="9"/>
      <x:c r="H666" s="9"/>
    </x:row>
    <x:row r="667" ht="22" customHeight="1">
      <x:c r="A667" s="11"/>
      <x:c r="B667" s="9"/>
      <x:c r="C667" s="9"/>
      <x:c r="D667" s="9"/>
      <x:c r="E667" s="15"/>
      <x:c r="F667" s="15"/>
      <x:c r="G667" s="9"/>
      <x:c r="H667" s="9"/>
    </x:row>
    <x:row r="668" ht="22" customHeight="1">
      <x:c r="A668" s="11"/>
      <x:c r="B668" s="9"/>
      <x:c r="C668" s="9"/>
      <x:c r="D668" s="9"/>
      <x:c r="E668" s="15"/>
      <x:c r="F668" s="15"/>
      <x:c r="G668" s="9"/>
      <x:c r="H668" s="9"/>
    </x:row>
    <x:row r="669" ht="22" customHeight="1">
      <x:c r="A669" s="11"/>
      <x:c r="B669" s="9"/>
      <x:c r="C669" s="9"/>
      <x:c r="D669" s="9"/>
      <x:c r="E669" s="15"/>
      <x:c r="F669" s="15"/>
      <x:c r="G669" s="9"/>
      <x:c r="H669" s="9"/>
    </x:row>
    <x:row r="670" ht="22" customHeight="1">
      <x:c r="A670" s="11"/>
      <x:c r="B670" s="9"/>
      <x:c r="C670" s="9"/>
      <x:c r="D670" s="9"/>
      <x:c r="E670" s="15"/>
      <x:c r="F670" s="15"/>
      <x:c r="G670" s="9"/>
      <x:c r="H670" s="9"/>
    </x:row>
    <x:row r="671" ht="22" customHeight="1">
      <x:c r="A671" s="11"/>
      <x:c r="B671" s="9"/>
      <x:c r="C671" s="9"/>
      <x:c r="D671" s="9"/>
      <x:c r="E671" s="15"/>
      <x:c r="F671" s="15"/>
      <x:c r="G671" s="9"/>
      <x:c r="H671" s="9"/>
    </x:row>
    <x:row r="672" ht="22" customHeight="1">
      <x:c r="A672" s="11"/>
      <x:c r="B672" s="9"/>
      <x:c r="C672" s="9"/>
      <x:c r="D672" s="9"/>
      <x:c r="E672" s="15"/>
      <x:c r="F672" s="15"/>
      <x:c r="G672" s="9"/>
      <x:c r="H672" s="9"/>
    </x:row>
    <x:row r="673" ht="22" customHeight="1">
      <x:c r="A673" s="11"/>
      <x:c r="B673" s="9"/>
      <x:c r="C673" s="9"/>
      <x:c r="D673" s="9"/>
      <x:c r="E673" s="15"/>
      <x:c r="F673" s="15"/>
      <x:c r="G673" s="9"/>
      <x:c r="H673" s="9"/>
    </x:row>
    <x:row r="674" ht="22" customHeight="1">
      <x:c r="A674" s="11"/>
      <x:c r="B674" s="9"/>
      <x:c r="C674" s="9"/>
      <x:c r="D674" s="9"/>
      <x:c r="E674" s="15"/>
      <x:c r="F674" s="15"/>
      <x:c r="G674" s="9"/>
      <x:c r="H674" s="9"/>
    </x:row>
    <x:row r="675" ht="22" customHeight="1">
      <x:c r="A675" s="11"/>
      <x:c r="B675" s="9"/>
      <x:c r="C675" s="9"/>
      <x:c r="D675" s="9"/>
      <x:c r="E675" s="15"/>
      <x:c r="F675" s="15"/>
      <x:c r="G675" s="9"/>
      <x:c r="H675" s="9"/>
    </x:row>
    <x:row r="676" ht="22" customHeight="1">
      <x:c r="A676" s="11"/>
      <x:c r="B676" s="9"/>
      <x:c r="C676" s="9"/>
      <x:c r="D676" s="9"/>
      <x:c r="E676" s="15"/>
      <x:c r="F676" s="15"/>
      <x:c r="G676" s="9"/>
      <x:c r="H676" s="9"/>
    </x:row>
    <x:row r="677" ht="22" customHeight="1">
      <x:c r="A677" s="11"/>
      <x:c r="B677" s="9"/>
      <x:c r="C677" s="9"/>
      <x:c r="D677" s="9"/>
      <x:c r="E677" s="15"/>
      <x:c r="F677" s="15"/>
      <x:c r="G677" s="9"/>
      <x:c r="H677" s="9"/>
    </x:row>
    <x:row r="678" ht="22" customHeight="1">
      <x:c r="A678" s="11"/>
      <x:c r="B678" s="9"/>
      <x:c r="C678" s="9"/>
      <x:c r="D678" s="9"/>
      <x:c r="E678" s="15"/>
      <x:c r="F678" s="15"/>
      <x:c r="G678" s="9"/>
      <x:c r="H678" s="9"/>
    </x:row>
    <x:row r="679" ht="22" customHeight="1">
      <x:c r="A679" s="11"/>
      <x:c r="B679" s="9"/>
      <x:c r="C679" s="9"/>
      <x:c r="D679" s="9"/>
      <x:c r="E679" s="15"/>
      <x:c r="F679" s="15"/>
      <x:c r="G679" s="9"/>
      <x:c r="H679" s="9"/>
    </x:row>
    <x:row r="680" ht="22" customHeight="1">
      <x:c r="A680" s="11"/>
      <x:c r="B680" s="9"/>
      <x:c r="C680" s="9"/>
      <x:c r="D680" s="9"/>
      <x:c r="E680" s="15"/>
      <x:c r="F680" s="15"/>
      <x:c r="G680" s="9"/>
      <x:c r="H680" s="9"/>
    </x:row>
    <x:row r="681" ht="22" customHeight="1">
      <x:c r="A681" s="11"/>
      <x:c r="B681" s="9"/>
      <x:c r="C681" s="9"/>
      <x:c r="D681" s="9"/>
      <x:c r="E681" s="15"/>
      <x:c r="F681" s="15"/>
      <x:c r="G681" s="9"/>
      <x:c r="H681" s="9"/>
    </x:row>
    <x:row r="682" ht="22" customHeight="1">
      <x:c r="A682" s="11"/>
      <x:c r="B682" s="9"/>
      <x:c r="C682" s="9"/>
      <x:c r="D682" s="9"/>
      <x:c r="E682" s="15"/>
      <x:c r="F682" s="15"/>
      <x:c r="G682" s="9"/>
      <x:c r="H682" s="9"/>
    </x:row>
    <x:row r="683" ht="22" customHeight="1">
      <x:c r="A683" s="11"/>
      <x:c r="B683" s="9"/>
      <x:c r="C683" s="9"/>
      <x:c r="D683" s="9"/>
      <x:c r="E683" s="15"/>
      <x:c r="F683" s="15"/>
      <x:c r="G683" s="9"/>
      <x:c r="H683" s="9"/>
    </x:row>
    <x:row r="684" ht="22" customHeight="1">
      <x:c r="A684" s="11"/>
      <x:c r="B684" s="9"/>
      <x:c r="C684" s="9"/>
      <x:c r="D684" s="9"/>
      <x:c r="E684" s="15"/>
      <x:c r="F684" s="15"/>
      <x:c r="G684" s="9"/>
      <x:c r="H684" s="9"/>
    </x:row>
    <x:row r="685" ht="22" customHeight="1">
      <x:c r="A685" s="11"/>
      <x:c r="B685" s="9"/>
      <x:c r="C685" s="9"/>
      <x:c r="D685" s="9"/>
      <x:c r="E685" s="15"/>
      <x:c r="F685" s="15"/>
      <x:c r="G685" s="9"/>
      <x:c r="H685" s="9"/>
    </x:row>
    <x:row r="686" ht="22" customHeight="1">
      <x:c r="A686" s="11"/>
      <x:c r="B686" s="9"/>
      <x:c r="C686" s="9"/>
      <x:c r="D686" s="9"/>
      <x:c r="E686" s="15"/>
      <x:c r="F686" s="15"/>
      <x:c r="G686" s="9"/>
      <x:c r="H686" s="9"/>
    </x:row>
    <x:row r="687" ht="22" customHeight="1">
      <x:c r="A687" s="11"/>
      <x:c r="B687" s="9"/>
      <x:c r="C687" s="9"/>
      <x:c r="D687" s="9"/>
      <x:c r="E687" s="15"/>
      <x:c r="F687" s="15"/>
      <x:c r="G687" s="9"/>
      <x:c r="H687" s="9"/>
    </x:row>
    <x:row r="688" ht="22" customHeight="1">
      <x:c r="A688" s="11"/>
      <x:c r="B688" s="9"/>
      <x:c r="C688" s="9"/>
      <x:c r="D688" s="9"/>
      <x:c r="E688" s="15"/>
      <x:c r="F688" s="15"/>
      <x:c r="G688" s="9"/>
      <x:c r="H688" s="9"/>
    </x:row>
    <x:row r="689" ht="22" customHeight="1">
      <x:c r="A689" s="11"/>
      <x:c r="B689" s="9"/>
      <x:c r="C689" s="9"/>
      <x:c r="D689" s="9"/>
      <x:c r="E689" s="15"/>
      <x:c r="F689" s="15"/>
      <x:c r="G689" s="9"/>
      <x:c r="H689" s="9"/>
    </x:row>
    <x:row r="690" ht="22" customHeight="1">
      <x:c r="A690" s="11"/>
      <x:c r="B690" s="9"/>
      <x:c r="C690" s="9"/>
      <x:c r="D690" s="9"/>
      <x:c r="E690" s="15"/>
      <x:c r="F690" s="15"/>
      <x:c r="G690" s="9"/>
      <x:c r="H690" s="9"/>
    </x:row>
    <x:row r="691" ht="22" customHeight="1">
      <x:c r="A691" s="11"/>
      <x:c r="B691" s="9"/>
      <x:c r="C691" s="9"/>
      <x:c r="D691" s="9"/>
      <x:c r="E691" s="15"/>
      <x:c r="F691" s="15"/>
      <x:c r="G691" s="9"/>
      <x:c r="H691" s="9"/>
    </x:row>
    <x:row r="692" ht="22" customHeight="1">
      <x:c r="A692" s="11"/>
      <x:c r="B692" s="9"/>
      <x:c r="C692" s="9"/>
      <x:c r="D692" s="9"/>
      <x:c r="E692" s="15"/>
      <x:c r="F692" s="15"/>
      <x:c r="G692" s="9"/>
      <x:c r="H692" s="9"/>
    </x:row>
    <x:row r="693" ht="22" customHeight="1">
      <x:c r="A693" s="11"/>
      <x:c r="B693" s="9"/>
      <x:c r="C693" s="9"/>
      <x:c r="D693" s="9"/>
      <x:c r="E693" s="15"/>
      <x:c r="F693" s="15"/>
      <x:c r="G693" s="9"/>
      <x:c r="H693" s="9"/>
    </x:row>
    <x:row r="694" ht="22" customHeight="1">
      <x:c r="A694" s="11"/>
      <x:c r="B694" s="9"/>
      <x:c r="C694" s="9"/>
      <x:c r="D694" s="9"/>
      <x:c r="E694" s="15"/>
      <x:c r="F694" s="15"/>
      <x:c r="G694" s="9"/>
      <x:c r="H694" s="9"/>
    </x:row>
    <x:row r="695" ht="22" customHeight="1">
      <x:c r="A695" s="11"/>
      <x:c r="B695" s="9"/>
      <x:c r="C695" s="9"/>
      <x:c r="D695" s="9"/>
      <x:c r="E695" s="15"/>
      <x:c r="F695" s="15"/>
      <x:c r="G695" s="9"/>
      <x:c r="H695" s="9"/>
    </x:row>
    <x:row r="696" ht="22" customHeight="1">
      <x:c r="A696" s="11"/>
      <x:c r="B696" s="9"/>
      <x:c r="C696" s="9"/>
      <x:c r="D696" s="9"/>
      <x:c r="E696" s="15"/>
      <x:c r="F696" s="15"/>
      <x:c r="G696" s="9"/>
      <x:c r="H696" s="9"/>
    </x:row>
    <x:row r="697" ht="22" customHeight="1">
      <x:c r="A697" s="11"/>
      <x:c r="B697" s="9"/>
      <x:c r="C697" s="9"/>
      <x:c r="D697" s="9"/>
      <x:c r="E697" s="15"/>
      <x:c r="F697" s="15"/>
      <x:c r="G697" s="9"/>
      <x:c r="H697" s="9"/>
    </x:row>
    <x:row r="698" ht="22" customHeight="1">
      <x:c r="A698" s="11"/>
      <x:c r="B698" s="9"/>
      <x:c r="C698" s="9"/>
      <x:c r="D698" s="9"/>
      <x:c r="E698" s="15"/>
      <x:c r="F698" s="15"/>
      <x:c r="G698" s="9"/>
      <x:c r="H698" s="9"/>
    </x:row>
    <x:row r="699" ht="22" customHeight="1">
      <x:c r="A699" s="11"/>
      <x:c r="B699" s="9"/>
      <x:c r="C699" s="9"/>
      <x:c r="D699" s="9"/>
      <x:c r="E699" s="15"/>
      <x:c r="F699" s="15"/>
      <x:c r="G699" s="9"/>
      <x:c r="H699" s="9"/>
    </x:row>
    <x:row r="700" ht="22" customHeight="1">
      <x:c r="A700" s="11"/>
      <x:c r="B700" s="9"/>
      <x:c r="C700" s="9"/>
      <x:c r="D700" s="9"/>
      <x:c r="E700" s="15"/>
      <x:c r="F700" s="15"/>
      <x:c r="G700" s="9"/>
      <x:c r="H700" s="9"/>
    </x:row>
    <x:row r="701" ht="22" customHeight="1">
      <x:c r="A701" s="11"/>
      <x:c r="B701" s="9"/>
      <x:c r="C701" s="9"/>
      <x:c r="D701" s="9"/>
      <x:c r="E701" s="15"/>
      <x:c r="F701" s="15"/>
      <x:c r="G701" s="9"/>
      <x:c r="H701" s="9"/>
    </x:row>
    <x:row r="702" ht="22" customHeight="1">
      <x:c r="A702" s="11"/>
      <x:c r="B702" s="9"/>
      <x:c r="C702" s="9"/>
      <x:c r="D702" s="9"/>
      <x:c r="E702" s="15"/>
      <x:c r="F702" s="15"/>
      <x:c r="G702" s="9"/>
      <x:c r="H702" s="9"/>
    </x:row>
    <x:row r="703" ht="22" customHeight="1">
      <x:c r="A703" s="11"/>
      <x:c r="B703" s="9"/>
      <x:c r="C703" s="9"/>
      <x:c r="D703" s="9"/>
      <x:c r="E703" s="15"/>
      <x:c r="F703" s="15"/>
      <x:c r="G703" s="9"/>
      <x:c r="H703" s="9"/>
    </x:row>
    <x:row r="704" ht="22" customHeight="1">
      <x:c r="A704" s="11"/>
      <x:c r="B704" s="9"/>
      <x:c r="C704" s="9"/>
      <x:c r="D704" s="9"/>
      <x:c r="E704" s="15"/>
      <x:c r="F704" s="15"/>
      <x:c r="G704" s="9"/>
      <x:c r="H704" s="9"/>
    </x:row>
    <x:row r="705" ht="22" customHeight="1">
      <x:c r="A705" s="11"/>
      <x:c r="B705" s="9"/>
      <x:c r="C705" s="9"/>
      <x:c r="D705" s="9"/>
      <x:c r="E705" s="15"/>
      <x:c r="F705" s="15"/>
      <x:c r="G705" s="9"/>
      <x:c r="H705" s="9"/>
    </x:row>
    <x:row r="706" ht="22" customHeight="1">
      <x:c r="A706" s="11"/>
      <x:c r="B706" s="9"/>
      <x:c r="C706" s="9"/>
      <x:c r="D706" s="9"/>
      <x:c r="E706" s="15"/>
      <x:c r="F706" s="15"/>
      <x:c r="G706" s="9"/>
      <x:c r="H706" s="9"/>
    </x:row>
    <x:row r="707" ht="22" customHeight="1">
      <x:c r="A707" s="11"/>
      <x:c r="B707" s="9"/>
      <x:c r="C707" s="9"/>
      <x:c r="D707" s="9"/>
      <x:c r="E707" s="15"/>
      <x:c r="F707" s="15"/>
      <x:c r="G707" s="9"/>
      <x:c r="H707" s="9"/>
    </x:row>
    <x:row r="708" ht="22" customHeight="1">
      <x:c r="A708" s="11"/>
      <x:c r="B708" s="9"/>
      <x:c r="C708" s="9"/>
      <x:c r="D708" s="9"/>
      <x:c r="E708" s="15"/>
      <x:c r="F708" s="15"/>
      <x:c r="G708" s="9"/>
      <x:c r="H708" s="9"/>
    </x:row>
    <x:row r="709" ht="22" customHeight="1">
      <x:c r="A709" s="11"/>
      <x:c r="B709" s="9"/>
      <x:c r="C709" s="9"/>
      <x:c r="D709" s="9"/>
      <x:c r="E709" s="15"/>
      <x:c r="F709" s="15"/>
      <x:c r="G709" s="9"/>
      <x:c r="H709" s="9"/>
    </x:row>
    <x:row r="710" ht="22" customHeight="1">
      <x:c r="A710" s="11"/>
      <x:c r="B710" s="9"/>
      <x:c r="C710" s="9"/>
      <x:c r="D710" s="9"/>
      <x:c r="E710" s="15"/>
      <x:c r="F710" s="15"/>
      <x:c r="G710" s="9"/>
      <x:c r="H710" s="9"/>
    </x:row>
    <x:row r="711" ht="22" customHeight="1">
      <x:c r="A711" s="11"/>
      <x:c r="B711" s="9"/>
      <x:c r="C711" s="9"/>
      <x:c r="D711" s="9"/>
      <x:c r="E711" s="15"/>
      <x:c r="F711" s="15"/>
      <x:c r="G711" s="9"/>
      <x:c r="H711" s="9"/>
    </x:row>
    <x:row r="712" ht="22" customHeight="1">
      <x:c r="A712" s="11"/>
      <x:c r="B712" s="9"/>
      <x:c r="C712" s="9"/>
      <x:c r="D712" s="9"/>
      <x:c r="E712" s="15"/>
      <x:c r="F712" s="15"/>
      <x:c r="G712" s="9"/>
      <x:c r="H712" s="9"/>
    </x:row>
    <x:row r="713" ht="22" customHeight="1">
      <x:c r="A713" s="11"/>
      <x:c r="B713" s="9"/>
      <x:c r="C713" s="9"/>
      <x:c r="D713" s="9"/>
      <x:c r="E713" s="15"/>
      <x:c r="F713" s="15"/>
      <x:c r="G713" s="9"/>
      <x:c r="H713" s="9"/>
    </x:row>
    <x:row r="714" ht="22" customHeight="1">
      <x:c r="A714" s="11"/>
      <x:c r="B714" s="9"/>
      <x:c r="C714" s="9"/>
      <x:c r="D714" s="9"/>
      <x:c r="E714" s="15"/>
      <x:c r="F714" s="15"/>
      <x:c r="G714" s="9"/>
      <x:c r="H714" s="9"/>
    </x:row>
    <x:row r="715" ht="22" customHeight="1">
      <x:c r="A715" s="11"/>
      <x:c r="B715" s="9"/>
      <x:c r="C715" s="9"/>
      <x:c r="D715" s="9"/>
      <x:c r="E715" s="15"/>
      <x:c r="F715" s="15"/>
      <x:c r="G715" s="9"/>
      <x:c r="H715" s="9"/>
    </x:row>
    <x:row r="716" ht="22" customHeight="1">
      <x:c r="A716" s="11"/>
      <x:c r="B716" s="9"/>
      <x:c r="C716" s="9"/>
      <x:c r="D716" s="9"/>
      <x:c r="E716" s="15"/>
      <x:c r="F716" s="15"/>
      <x:c r="G716" s="9"/>
      <x:c r="H716" s="9"/>
    </x:row>
    <x:row r="717" ht="22" customHeight="1">
      <x:c r="A717" s="11"/>
      <x:c r="B717" s="9"/>
      <x:c r="C717" s="9"/>
      <x:c r="D717" s="9"/>
      <x:c r="E717" s="15"/>
      <x:c r="F717" s="15"/>
      <x:c r="G717" s="9"/>
      <x:c r="H717" s="9"/>
    </x:row>
    <x:row r="718" ht="22" customHeight="1">
      <x:c r="A718" s="11"/>
      <x:c r="B718" s="9"/>
      <x:c r="C718" s="9"/>
      <x:c r="D718" s="9"/>
      <x:c r="E718" s="15"/>
      <x:c r="F718" s="15"/>
      <x:c r="G718" s="9"/>
      <x:c r="H718" s="9"/>
    </x:row>
    <x:row r="719" ht="22" customHeight="1">
      <x:c r="A719" s="11"/>
      <x:c r="B719" s="9"/>
      <x:c r="C719" s="9"/>
      <x:c r="D719" s="9"/>
      <x:c r="E719" s="15"/>
      <x:c r="F719" s="15"/>
      <x:c r="G719" s="9"/>
      <x:c r="H719" s="9"/>
    </x:row>
    <x:row r="720" ht="22" customHeight="1">
      <x:c r="A720" s="11"/>
      <x:c r="B720" s="9"/>
      <x:c r="C720" s="9"/>
      <x:c r="D720" s="9"/>
      <x:c r="E720" s="15"/>
      <x:c r="F720" s="15"/>
      <x:c r="G720" s="9"/>
      <x:c r="H720" s="9"/>
    </x:row>
    <x:row r="721" ht="22" customHeight="1">
      <x:c r="A721" s="11"/>
      <x:c r="B721" s="9"/>
      <x:c r="C721" s="9"/>
      <x:c r="D721" s="9"/>
      <x:c r="E721" s="15"/>
      <x:c r="F721" s="15"/>
      <x:c r="G721" s="9"/>
      <x:c r="H721" s="9"/>
    </x:row>
    <x:row r="722" ht="22" customHeight="1">
      <x:c r="A722" s="11"/>
      <x:c r="B722" s="9"/>
      <x:c r="C722" s="9"/>
      <x:c r="D722" s="9"/>
      <x:c r="E722" s="15"/>
      <x:c r="F722" s="15"/>
      <x:c r="G722" s="9"/>
      <x:c r="H722" s="9"/>
    </x:row>
    <x:row r="723" ht="22" customHeight="1">
      <x:c r="A723" s="11"/>
      <x:c r="B723" s="9"/>
      <x:c r="C723" s="9"/>
      <x:c r="D723" s="9"/>
      <x:c r="E723" s="15"/>
      <x:c r="F723" s="15"/>
      <x:c r="G723" s="9"/>
      <x:c r="H723" s="9"/>
    </x:row>
    <x:row r="724" ht="22" customHeight="1">
      <x:c r="A724" s="11"/>
      <x:c r="B724" s="9"/>
      <x:c r="C724" s="9"/>
      <x:c r="D724" s="9"/>
      <x:c r="E724" s="15"/>
      <x:c r="F724" s="15"/>
      <x:c r="G724" s="9"/>
      <x:c r="H724" s="9"/>
    </x:row>
    <x:row r="725" ht="22" customHeight="1">
      <x:c r="A725" s="11"/>
      <x:c r="B725" s="9"/>
      <x:c r="C725" s="9"/>
      <x:c r="D725" s="9"/>
      <x:c r="E725" s="15"/>
      <x:c r="F725" s="15"/>
      <x:c r="G725" s="9"/>
      <x:c r="H725" s="9"/>
    </x:row>
    <x:row r="726" ht="22" customHeight="1">
      <x:c r="A726" s="11"/>
      <x:c r="B726" s="9"/>
      <x:c r="C726" s="9"/>
      <x:c r="D726" s="9"/>
      <x:c r="E726" s="15"/>
      <x:c r="F726" s="15"/>
      <x:c r="G726" s="9"/>
      <x:c r="H726" s="9"/>
    </x:row>
    <x:row r="727" ht="22" customHeight="1">
      <x:c r="A727" s="11"/>
      <x:c r="B727" s="9"/>
      <x:c r="C727" s="9"/>
      <x:c r="D727" s="9"/>
      <x:c r="E727" s="15"/>
      <x:c r="F727" s="15"/>
      <x:c r="G727" s="9"/>
      <x:c r="H727" s="9"/>
    </x:row>
    <x:row r="728" ht="22" customHeight="1">
      <x:c r="A728" s="11"/>
      <x:c r="B728" s="9"/>
      <x:c r="C728" s="9"/>
      <x:c r="D728" s="9"/>
      <x:c r="E728" s="15"/>
      <x:c r="F728" s="15"/>
      <x:c r="G728" s="9"/>
      <x:c r="H728" s="9"/>
    </x:row>
    <x:row r="729" ht="22" customHeight="1">
      <x:c r="A729" s="11"/>
      <x:c r="B729" s="9"/>
      <x:c r="C729" s="9"/>
      <x:c r="D729" s="9"/>
      <x:c r="E729" s="15"/>
      <x:c r="F729" s="15"/>
      <x:c r="G729" s="9"/>
      <x:c r="H729" s="9"/>
    </x:row>
    <x:row r="730" ht="22" customHeight="1">
      <x:c r="A730" s="11"/>
      <x:c r="B730" s="9"/>
      <x:c r="C730" s="9"/>
      <x:c r="D730" s="9"/>
      <x:c r="E730" s="15"/>
      <x:c r="F730" s="15"/>
      <x:c r="G730" s="9"/>
      <x:c r="H730" s="9"/>
    </x:row>
    <x:row r="731" ht="22" customHeight="1">
      <x:c r="A731" s="11"/>
      <x:c r="B731" s="9"/>
      <x:c r="C731" s="9"/>
      <x:c r="D731" s="9"/>
      <x:c r="E731" s="15"/>
      <x:c r="F731" s="15"/>
      <x:c r="G731" s="9"/>
      <x:c r="H731" s="9"/>
    </x:row>
    <x:row r="732" ht="22" customHeight="1">
      <x:c r="A732" s="11"/>
      <x:c r="B732" s="9"/>
      <x:c r="C732" s="9"/>
      <x:c r="D732" s="9"/>
      <x:c r="E732" s="15"/>
      <x:c r="F732" s="15"/>
      <x:c r="G732" s="9"/>
      <x:c r="H732" s="9"/>
    </x:row>
    <x:row r="733" ht="22" customHeight="1">
      <x:c r="A733" s="11"/>
      <x:c r="B733" s="9"/>
      <x:c r="C733" s="9"/>
      <x:c r="D733" s="9"/>
      <x:c r="E733" s="15"/>
      <x:c r="F733" s="15"/>
      <x:c r="G733" s="9"/>
      <x:c r="H733" s="9"/>
    </x:row>
    <x:row r="734" ht="22" customHeight="1">
      <x:c r="A734" s="11"/>
      <x:c r="B734" s="9"/>
      <x:c r="C734" s="9"/>
      <x:c r="D734" s="9"/>
      <x:c r="E734" s="15"/>
      <x:c r="F734" s="15"/>
      <x:c r="G734" s="9"/>
      <x:c r="H734" s="9"/>
    </x:row>
    <x:row r="735" ht="22" customHeight="1">
      <x:c r="A735" s="11"/>
      <x:c r="B735" s="9"/>
      <x:c r="C735" s="9"/>
      <x:c r="D735" s="9"/>
      <x:c r="E735" s="15"/>
      <x:c r="F735" s="15"/>
      <x:c r="G735" s="9"/>
      <x:c r="H735" s="9"/>
    </x:row>
    <x:row r="736" ht="22" customHeight="1">
      <x:c r="A736" s="11"/>
      <x:c r="B736" s="9"/>
      <x:c r="C736" s="9"/>
      <x:c r="D736" s="9"/>
      <x:c r="E736" s="15"/>
      <x:c r="F736" s="15"/>
      <x:c r="G736" s="9"/>
      <x:c r="H736" s="9"/>
    </x:row>
    <x:row r="737" ht="22" customHeight="1">
      <x:c r="A737" s="11"/>
      <x:c r="B737" s="9"/>
      <x:c r="C737" s="9"/>
      <x:c r="D737" s="9"/>
      <x:c r="E737" s="15"/>
      <x:c r="F737" s="15"/>
      <x:c r="G737" s="9"/>
      <x:c r="H737" s="9"/>
    </x:row>
    <x:row r="738" ht="22" customHeight="1">
      <x:c r="A738" s="11"/>
      <x:c r="B738" s="9"/>
      <x:c r="C738" s="9"/>
      <x:c r="D738" s="9"/>
      <x:c r="E738" s="15"/>
      <x:c r="F738" s="15"/>
      <x:c r="G738" s="9"/>
      <x:c r="H738" s="9"/>
    </x:row>
    <x:row r="739" ht="22" customHeight="1">
      <x:c r="A739" s="11"/>
      <x:c r="B739" s="9"/>
      <x:c r="C739" s="9"/>
      <x:c r="D739" s="9"/>
      <x:c r="E739" s="15"/>
      <x:c r="F739" s="15"/>
      <x:c r="G739" s="9"/>
      <x:c r="H739" s="9"/>
    </x:row>
    <x:row r="740" ht="22" customHeight="1">
      <x:c r="A740" s="11"/>
      <x:c r="B740" s="9"/>
      <x:c r="C740" s="9"/>
      <x:c r="D740" s="9"/>
      <x:c r="E740" s="15"/>
      <x:c r="F740" s="15"/>
      <x:c r="G740" s="9"/>
      <x:c r="H740" s="9"/>
    </x:row>
    <x:row r="741" ht="22" customHeight="1">
      <x:c r="A741" s="11"/>
      <x:c r="B741" s="9"/>
      <x:c r="C741" s="9"/>
      <x:c r="D741" s="9"/>
      <x:c r="E741" s="15"/>
      <x:c r="F741" s="15"/>
      <x:c r="G741" s="9"/>
      <x:c r="H741" s="9"/>
    </x:row>
    <x:row r="742" ht="22" customHeight="1">
      <x:c r="A742" s="11"/>
      <x:c r="B742" s="9"/>
      <x:c r="C742" s="9"/>
      <x:c r="D742" s="9"/>
      <x:c r="E742" s="15"/>
      <x:c r="F742" s="15"/>
      <x:c r="G742" s="9"/>
      <x:c r="H742" s="9"/>
    </x:row>
    <x:row r="743" ht="22" customHeight="1">
      <x:c r="A743" s="11"/>
      <x:c r="B743" s="9"/>
      <x:c r="C743" s="9"/>
      <x:c r="D743" s="9"/>
      <x:c r="E743" s="15"/>
      <x:c r="F743" s="15"/>
      <x:c r="G743" s="9"/>
      <x:c r="H743" s="9"/>
    </x:row>
    <x:row r="744" ht="22" customHeight="1">
      <x:c r="A744" s="11"/>
      <x:c r="B744" s="9"/>
      <x:c r="C744" s="9"/>
      <x:c r="D744" s="9"/>
      <x:c r="E744" s="15"/>
      <x:c r="F744" s="15"/>
      <x:c r="G744" s="9"/>
      <x:c r="H744" s="9"/>
    </x:row>
    <x:row r="745" ht="22" customHeight="1">
      <x:c r="A745" s="11"/>
      <x:c r="B745" s="9"/>
      <x:c r="C745" s="9"/>
      <x:c r="D745" s="9"/>
      <x:c r="E745" s="15"/>
      <x:c r="F745" s="15"/>
      <x:c r="G745" s="9"/>
      <x:c r="H745" s="9"/>
    </x:row>
    <x:row r="746" ht="22" customHeight="1">
      <x:c r="A746" s="11"/>
      <x:c r="B746" s="9"/>
      <x:c r="C746" s="9"/>
      <x:c r="D746" s="9"/>
      <x:c r="E746" s="15"/>
      <x:c r="F746" s="15"/>
      <x:c r="G746" s="9"/>
      <x:c r="H746" s="9"/>
    </x:row>
    <x:row r="747" ht="22" customHeight="1">
      <x:c r="A747" s="11"/>
      <x:c r="B747" s="9"/>
      <x:c r="C747" s="9"/>
      <x:c r="D747" s="9"/>
      <x:c r="E747" s="15"/>
      <x:c r="F747" s="15"/>
      <x:c r="G747" s="9"/>
      <x:c r="H747" s="9"/>
    </x:row>
    <x:row r="748" ht="22" customHeight="1">
      <x:c r="A748" s="11"/>
      <x:c r="B748" s="9"/>
      <x:c r="C748" s="9"/>
      <x:c r="D748" s="9"/>
      <x:c r="E748" s="15"/>
      <x:c r="F748" s="15"/>
      <x:c r="G748" s="9"/>
      <x:c r="H748" s="9"/>
    </x:row>
    <x:row r="749" ht="22" customHeight="1">
      <x:c r="A749" s="11"/>
      <x:c r="B749" s="9"/>
      <x:c r="C749" s="9"/>
      <x:c r="D749" s="9"/>
      <x:c r="E749" s="15"/>
      <x:c r="F749" s="15"/>
      <x:c r="G749" s="9"/>
      <x:c r="H749" s="9"/>
    </x:row>
    <x:row r="750" ht="22" customHeight="1">
      <x:c r="A750" s="11"/>
      <x:c r="B750" s="9"/>
      <x:c r="C750" s="9"/>
      <x:c r="D750" s="9"/>
      <x:c r="E750" s="15"/>
      <x:c r="F750" s="15"/>
      <x:c r="G750" s="9"/>
      <x:c r="H750" s="9"/>
    </x:row>
    <x:row r="751" ht="22" customHeight="1">
      <x:c r="A751" s="11"/>
      <x:c r="B751" s="9"/>
      <x:c r="C751" s="9"/>
      <x:c r="D751" s="9"/>
      <x:c r="E751" s="15"/>
      <x:c r="F751" s="15"/>
      <x:c r="G751" s="9"/>
      <x:c r="H751" s="9"/>
    </x:row>
    <x:row r="752" ht="22" customHeight="1">
      <x:c r="A752" s="11"/>
      <x:c r="B752" s="9"/>
      <x:c r="C752" s="9"/>
      <x:c r="D752" s="9"/>
      <x:c r="E752" s="15"/>
      <x:c r="F752" s="15"/>
      <x:c r="G752" s="9"/>
      <x:c r="H752" s="9"/>
    </x:row>
    <x:row r="753" ht="22" customHeight="1">
      <x:c r="A753" s="11"/>
      <x:c r="B753" s="9"/>
      <x:c r="C753" s="9"/>
      <x:c r="D753" s="9"/>
      <x:c r="E753" s="15"/>
      <x:c r="F753" s="15"/>
      <x:c r="G753" s="9"/>
      <x:c r="H753" s="9"/>
    </x:row>
    <x:row r="754" ht="22" customHeight="1">
      <x:c r="A754" s="11"/>
      <x:c r="B754" s="9"/>
      <x:c r="C754" s="9"/>
      <x:c r="D754" s="9"/>
      <x:c r="E754" s="15"/>
      <x:c r="F754" s="15"/>
      <x:c r="G754" s="9"/>
      <x:c r="H754" s="9"/>
    </x:row>
    <x:row r="755" ht="22" customHeight="1">
      <x:c r="A755" s="11"/>
      <x:c r="B755" s="9"/>
      <x:c r="C755" s="9"/>
      <x:c r="D755" s="9"/>
      <x:c r="E755" s="15"/>
      <x:c r="F755" s="15"/>
      <x:c r="G755" s="9"/>
      <x:c r="H755" s="9"/>
    </x:row>
    <x:row r="756" ht="22" customHeight="1">
      <x:c r="A756" s="11"/>
      <x:c r="B756" s="9"/>
      <x:c r="C756" s="9"/>
      <x:c r="D756" s="9"/>
      <x:c r="E756" s="15"/>
      <x:c r="F756" s="15"/>
      <x:c r="G756" s="9"/>
      <x:c r="H756" s="9"/>
    </x:row>
    <x:row r="757" ht="22" customHeight="1">
      <x:c r="A757" s="11"/>
      <x:c r="B757" s="9"/>
      <x:c r="C757" s="9"/>
      <x:c r="D757" s="9"/>
      <x:c r="E757" s="15"/>
      <x:c r="F757" s="15"/>
      <x:c r="G757" s="9"/>
      <x:c r="H757" s="9"/>
    </x:row>
    <x:row r="758" ht="22" customHeight="1">
      <x:c r="A758" s="11"/>
      <x:c r="B758" s="9"/>
      <x:c r="C758" s="9"/>
      <x:c r="D758" s="9"/>
      <x:c r="E758" s="15"/>
      <x:c r="F758" s="15"/>
      <x:c r="G758" s="9"/>
      <x:c r="H758" s="9"/>
    </x:row>
    <x:row r="759" ht="22" customHeight="1">
      <x:c r="A759" s="11"/>
      <x:c r="B759" s="9"/>
      <x:c r="C759" s="9"/>
      <x:c r="D759" s="9"/>
      <x:c r="E759" s="15"/>
      <x:c r="F759" s="15"/>
      <x:c r="G759" s="9"/>
      <x:c r="H759" s="9"/>
    </x:row>
    <x:row r="760" ht="22" customHeight="1">
      <x:c r="A760" s="11"/>
      <x:c r="B760" s="9"/>
      <x:c r="C760" s="9"/>
      <x:c r="D760" s="9"/>
      <x:c r="E760" s="15"/>
      <x:c r="F760" s="15"/>
      <x:c r="G760" s="9"/>
      <x:c r="H760" s="9"/>
    </x:row>
    <x:row r="761" ht="22" customHeight="1">
      <x:c r="A761" s="11"/>
      <x:c r="B761" s="9"/>
      <x:c r="C761" s="9"/>
      <x:c r="D761" s="9"/>
      <x:c r="E761" s="15"/>
      <x:c r="F761" s="15"/>
      <x:c r="G761" s="9"/>
      <x:c r="H761" s="9"/>
    </x:row>
    <x:row r="762" ht="22" customHeight="1">
      <x:c r="A762" s="11"/>
      <x:c r="B762" s="9"/>
      <x:c r="C762" s="9"/>
      <x:c r="D762" s="9"/>
      <x:c r="E762" s="15"/>
      <x:c r="F762" s="15"/>
      <x:c r="G762" s="9"/>
      <x:c r="H762" s="9"/>
    </x:row>
    <x:row r="763" ht="22" customHeight="1">
      <x:c r="A763" s="11"/>
      <x:c r="B763" s="9"/>
      <x:c r="C763" s="9"/>
      <x:c r="D763" s="9"/>
      <x:c r="E763" s="15"/>
      <x:c r="F763" s="15"/>
      <x:c r="G763" s="9"/>
      <x:c r="H763" s="9"/>
    </x:row>
    <x:row r="764" ht="22" customHeight="1">
      <x:c r="A764" s="11"/>
      <x:c r="B764" s="9"/>
      <x:c r="C764" s="9"/>
      <x:c r="D764" s="9"/>
      <x:c r="E764" s="15"/>
      <x:c r="F764" s="15"/>
      <x:c r="G764" s="9"/>
      <x:c r="H764" s="9"/>
    </x:row>
    <x:row r="765" ht="22" customHeight="1">
      <x:c r="A765" s="11"/>
      <x:c r="B765" s="9"/>
      <x:c r="C765" s="9"/>
      <x:c r="D765" s="9"/>
      <x:c r="E765" s="15"/>
      <x:c r="F765" s="15"/>
      <x:c r="G765" s="9"/>
      <x:c r="H765" s="9"/>
    </x:row>
    <x:row r="766" ht="22" customHeight="1">
      <x:c r="A766" s="11"/>
      <x:c r="B766" s="9"/>
      <x:c r="C766" s="9"/>
      <x:c r="D766" s="9"/>
      <x:c r="E766" s="15"/>
      <x:c r="F766" s="15"/>
      <x:c r="G766" s="9"/>
      <x:c r="H766" s="9"/>
    </x:row>
    <x:row r="767" ht="22" customHeight="1">
      <x:c r="A767" s="11"/>
      <x:c r="B767" s="9"/>
      <x:c r="C767" s="9"/>
      <x:c r="D767" s="9"/>
      <x:c r="E767" s="15"/>
      <x:c r="F767" s="15"/>
      <x:c r="G767" s="9"/>
      <x:c r="H767" s="9"/>
    </x:row>
    <x:row r="768" ht="22" customHeight="1">
      <x:c r="A768" s="11"/>
      <x:c r="B768" s="9"/>
      <x:c r="C768" s="9"/>
      <x:c r="D768" s="9"/>
      <x:c r="E768" s="15"/>
      <x:c r="F768" s="15"/>
      <x:c r="G768" s="9"/>
      <x:c r="H768" s="9"/>
    </x:row>
    <x:row r="769" ht="22" customHeight="1">
      <x:c r="A769" s="11"/>
      <x:c r="B769" s="9"/>
      <x:c r="C769" s="9"/>
      <x:c r="D769" s="9"/>
      <x:c r="E769" s="15"/>
      <x:c r="F769" s="15"/>
      <x:c r="G769" s="9"/>
      <x:c r="H769" s="9"/>
    </x:row>
    <x:row r="770" ht="22" customHeight="1">
      <x:c r="A770" s="11"/>
      <x:c r="B770" s="9"/>
      <x:c r="C770" s="9"/>
      <x:c r="D770" s="9"/>
      <x:c r="E770" s="15"/>
      <x:c r="F770" s="15"/>
      <x:c r="G770" s="9"/>
      <x:c r="H770" s="9"/>
    </x:row>
    <x:row r="771" ht="22" customHeight="1">
      <x:c r="A771" s="11"/>
      <x:c r="B771" s="9"/>
      <x:c r="C771" s="9"/>
      <x:c r="D771" s="9"/>
      <x:c r="E771" s="15"/>
      <x:c r="F771" s="15"/>
      <x:c r="G771" s="9"/>
      <x:c r="H771" s="9"/>
    </x:row>
    <x:row r="772" ht="22" customHeight="1">
      <x:c r="A772" s="11"/>
      <x:c r="B772" s="9"/>
      <x:c r="C772" s="9"/>
      <x:c r="D772" s="9"/>
      <x:c r="E772" s="15"/>
      <x:c r="F772" s="15"/>
      <x:c r="G772" s="9"/>
      <x:c r="H772" s="9"/>
    </x:row>
    <x:row r="773" ht="22" customHeight="1">
      <x:c r="A773" s="11"/>
      <x:c r="B773" s="9"/>
      <x:c r="C773" s="9"/>
      <x:c r="D773" s="9"/>
      <x:c r="E773" s="15"/>
      <x:c r="F773" s="15"/>
      <x:c r="G773" s="9"/>
      <x:c r="H773" s="9"/>
    </x:row>
    <x:row r="774" ht="22" customHeight="1">
      <x:c r="A774" s="11"/>
      <x:c r="B774" s="9"/>
      <x:c r="C774" s="9"/>
      <x:c r="D774" s="9"/>
      <x:c r="E774" s="15"/>
      <x:c r="F774" s="15"/>
      <x:c r="G774" s="9"/>
      <x:c r="H774" s="9"/>
    </x:row>
    <x:row r="775" ht="22" customHeight="1">
      <x:c r="A775" s="11"/>
      <x:c r="B775" s="9"/>
      <x:c r="C775" s="9"/>
      <x:c r="D775" s="9"/>
      <x:c r="E775" s="15"/>
      <x:c r="F775" s="15"/>
      <x:c r="G775" s="9"/>
      <x:c r="H775" s="9"/>
    </x:row>
    <x:row r="776" ht="22" customHeight="1">
      <x:c r="A776" s="11"/>
      <x:c r="B776" s="9"/>
      <x:c r="C776" s="9"/>
      <x:c r="D776" s="9"/>
      <x:c r="E776" s="15"/>
      <x:c r="F776" s="15"/>
      <x:c r="G776" s="9"/>
      <x:c r="H776" s="9"/>
    </x:row>
    <x:row r="777" ht="22" customHeight="1">
      <x:c r="A777" s="11"/>
      <x:c r="B777" s="9"/>
      <x:c r="C777" s="9"/>
      <x:c r="D777" s="9"/>
      <x:c r="E777" s="15"/>
      <x:c r="F777" s="15"/>
      <x:c r="G777" s="9"/>
      <x:c r="H777" s="9"/>
    </x:row>
    <x:row r="778" ht="22" customHeight="1">
      <x:c r="A778" s="11"/>
      <x:c r="B778" s="9"/>
      <x:c r="C778" s="9"/>
      <x:c r="D778" s="9"/>
      <x:c r="E778" s="15"/>
      <x:c r="F778" s="15"/>
      <x:c r="G778" s="9"/>
      <x:c r="H778" s="9"/>
    </x:row>
    <x:row r="779" ht="22" customHeight="1">
      <x:c r="A779" s="11"/>
      <x:c r="B779" s="9"/>
      <x:c r="C779" s="9"/>
      <x:c r="D779" s="9"/>
      <x:c r="E779" s="15"/>
      <x:c r="F779" s="15"/>
      <x:c r="G779" s="9"/>
      <x:c r="H779" s="9"/>
    </x:row>
    <x:row r="780" ht="22" customHeight="1">
      <x:c r="A780" s="11"/>
      <x:c r="B780" s="9"/>
      <x:c r="C780" s="9"/>
      <x:c r="D780" s="9"/>
      <x:c r="E780" s="15"/>
      <x:c r="F780" s="15"/>
      <x:c r="G780" s="9"/>
      <x:c r="H780" s="9"/>
    </x:row>
    <x:row r="781" ht="22" customHeight="1">
      <x:c r="A781" s="11"/>
      <x:c r="B781" s="9"/>
      <x:c r="C781" s="9"/>
      <x:c r="D781" s="9"/>
      <x:c r="E781" s="15"/>
      <x:c r="F781" s="15"/>
      <x:c r="G781" s="9"/>
      <x:c r="H781" s="9"/>
    </x:row>
    <x:row r="782" ht="22" customHeight="1">
      <x:c r="A782" s="11"/>
      <x:c r="B782" s="9"/>
      <x:c r="C782" s="9"/>
      <x:c r="D782" s="9"/>
      <x:c r="E782" s="15"/>
      <x:c r="F782" s="15"/>
      <x:c r="G782" s="9"/>
      <x:c r="H782" s="9"/>
    </x:row>
    <x:row r="783" ht="22" customHeight="1">
      <x:c r="A783" s="11"/>
      <x:c r="B783" s="9"/>
      <x:c r="C783" s="9"/>
      <x:c r="D783" s="9"/>
      <x:c r="E783" s="15"/>
      <x:c r="F783" s="15"/>
      <x:c r="G783" s="9"/>
      <x:c r="H783" s="9"/>
    </x:row>
    <x:row r="784" ht="22" customHeight="1">
      <x:c r="A784" s="11"/>
      <x:c r="B784" s="9"/>
      <x:c r="C784" s="9"/>
      <x:c r="D784" s="9"/>
      <x:c r="E784" s="15"/>
      <x:c r="F784" s="15"/>
      <x:c r="G784" s="9"/>
      <x:c r="H784" s="9"/>
    </x:row>
    <x:row r="785" ht="22" customHeight="1">
      <x:c r="A785" s="11"/>
      <x:c r="B785" s="9"/>
      <x:c r="C785" s="9"/>
      <x:c r="D785" s="9"/>
      <x:c r="E785" s="15"/>
      <x:c r="F785" s="15"/>
      <x:c r="G785" s="9"/>
      <x:c r="H785" s="9"/>
    </x:row>
    <x:row r="786" ht="22" customHeight="1">
      <x:c r="A786" s="11"/>
      <x:c r="B786" s="9"/>
      <x:c r="C786" s="9"/>
      <x:c r="D786" s="9"/>
      <x:c r="E786" s="15"/>
      <x:c r="F786" s="15"/>
      <x:c r="G786" s="9"/>
      <x:c r="H786" s="9"/>
    </x:row>
    <x:row r="787" ht="22" customHeight="1">
      <x:c r="A787" s="11"/>
      <x:c r="B787" s="9"/>
      <x:c r="C787" s="9"/>
      <x:c r="D787" s="9"/>
      <x:c r="E787" s="15"/>
      <x:c r="F787" s="15"/>
      <x:c r="G787" s="9"/>
      <x:c r="H787" s="9"/>
    </x:row>
    <x:row r="788" ht="22" customHeight="1">
      <x:c r="A788" s="11"/>
      <x:c r="B788" s="9"/>
      <x:c r="C788" s="9"/>
      <x:c r="D788" s="9"/>
      <x:c r="E788" s="15"/>
      <x:c r="F788" s="15"/>
      <x:c r="G788" s="9"/>
      <x:c r="H788" s="9"/>
    </x:row>
    <x:row r="789" ht="22" customHeight="1">
      <x:c r="A789" s="11"/>
      <x:c r="B789" s="9"/>
      <x:c r="C789" s="9"/>
      <x:c r="D789" s="9"/>
      <x:c r="E789" s="15"/>
      <x:c r="F789" s="15"/>
      <x:c r="G789" s="9"/>
      <x:c r="H789" s="9"/>
    </x:row>
    <x:row r="790" ht="22" customHeight="1">
      <x:c r="A790" s="11"/>
      <x:c r="B790" s="9"/>
      <x:c r="C790" s="9"/>
      <x:c r="D790" s="9"/>
      <x:c r="E790" s="15"/>
      <x:c r="F790" s="15"/>
      <x:c r="G790" s="9"/>
      <x:c r="H790" s="9"/>
    </x:row>
    <x:row r="791" ht="22" customHeight="1">
      <x:c r="A791" s="11"/>
      <x:c r="B791" s="9"/>
      <x:c r="C791" s="9"/>
      <x:c r="D791" s="9"/>
      <x:c r="E791" s="15"/>
      <x:c r="F791" s="15"/>
      <x:c r="G791" s="9"/>
      <x:c r="H791" s="9"/>
    </x:row>
    <x:row r="792" ht="22" customHeight="1">
      <x:c r="A792" s="11"/>
      <x:c r="B792" s="9"/>
      <x:c r="C792" s="9"/>
      <x:c r="D792" s="9"/>
      <x:c r="E792" s="15"/>
      <x:c r="F792" s="15"/>
      <x:c r="G792" s="9"/>
      <x:c r="H792" s="9"/>
    </x:row>
    <x:row r="793" ht="22" customHeight="1">
      <x:c r="A793" s="11"/>
      <x:c r="B793" s="9"/>
      <x:c r="C793" s="9"/>
      <x:c r="D793" s="9"/>
      <x:c r="E793" s="15"/>
      <x:c r="F793" s="15"/>
      <x:c r="G793" s="9"/>
      <x:c r="H793" s="9"/>
    </x:row>
    <x:row r="794" ht="22" customHeight="1">
      <x:c r="A794" s="11"/>
      <x:c r="B794" s="9"/>
      <x:c r="C794" s="9"/>
      <x:c r="D794" s="9"/>
      <x:c r="E794" s="15"/>
      <x:c r="F794" s="15"/>
      <x:c r="G794" s="9"/>
      <x:c r="H794" s="9"/>
    </x:row>
    <x:row r="795" ht="22" customHeight="1">
      <x:c r="A795" s="11"/>
      <x:c r="B795" s="9"/>
      <x:c r="C795" s="9"/>
      <x:c r="D795" s="9"/>
      <x:c r="E795" s="15"/>
      <x:c r="F795" s="15"/>
      <x:c r="G795" s="9"/>
      <x:c r="H795" s="9"/>
    </x:row>
    <x:row r="796" ht="22" customHeight="1">
      <x:c r="A796" s="11"/>
      <x:c r="B796" s="9"/>
      <x:c r="C796" s="9"/>
      <x:c r="D796" s="9"/>
      <x:c r="E796" s="15"/>
      <x:c r="F796" s="15"/>
      <x:c r="G796" s="9"/>
      <x:c r="H796" s="9"/>
    </x:row>
    <x:row r="797" ht="22" customHeight="1">
      <x:c r="A797" s="11"/>
      <x:c r="B797" s="9"/>
      <x:c r="C797" s="9"/>
      <x:c r="D797" s="9"/>
      <x:c r="E797" s="15"/>
      <x:c r="F797" s="15"/>
      <x:c r="G797" s="9"/>
      <x:c r="H797" s="9"/>
    </x:row>
    <x:row r="798" ht="22" customHeight="1">
      <x:c r="A798" s="11"/>
      <x:c r="B798" s="9"/>
      <x:c r="C798" s="9"/>
      <x:c r="D798" s="9"/>
      <x:c r="E798" s="15"/>
      <x:c r="F798" s="15"/>
      <x:c r="G798" s="9"/>
      <x:c r="H798" s="9"/>
    </x:row>
    <x:row r="799" ht="22" customHeight="1">
      <x:c r="A799" s="11"/>
      <x:c r="B799" s="9"/>
      <x:c r="C799" s="9"/>
      <x:c r="D799" s="9"/>
      <x:c r="E799" s="15"/>
      <x:c r="F799" s="15"/>
      <x:c r="G799" s="9"/>
      <x:c r="H799" s="9"/>
    </x:row>
    <x:row r="800" ht="22" customHeight="1">
      <x:c r="A800" s="11"/>
      <x:c r="B800" s="9"/>
      <x:c r="C800" s="9"/>
      <x:c r="D800" s="9"/>
      <x:c r="E800" s="15"/>
      <x:c r="F800" s="15"/>
      <x:c r="G800" s="9"/>
      <x:c r="H800" s="9"/>
    </x:row>
    <x:row r="801" ht="22" customHeight="1">
      <x:c r="A801" s="11"/>
      <x:c r="B801" s="9"/>
      <x:c r="C801" s="9"/>
      <x:c r="D801" s="9"/>
      <x:c r="E801" s="15"/>
      <x:c r="F801" s="15"/>
      <x:c r="G801" s="9"/>
      <x:c r="H801" s="9"/>
    </x:row>
    <x:row r="802" ht="22" customHeight="1">
      <x:c r="A802" s="11"/>
      <x:c r="B802" s="9"/>
      <x:c r="C802" s="9"/>
      <x:c r="D802" s="9"/>
      <x:c r="E802" s="15"/>
      <x:c r="F802" s="15"/>
      <x:c r="G802" s="9"/>
      <x:c r="H802" s="9"/>
    </x:row>
    <x:row r="803" ht="22" customHeight="1">
      <x:c r="A803" s="11"/>
      <x:c r="B803" s="9"/>
      <x:c r="C803" s="9"/>
      <x:c r="D803" s="9"/>
      <x:c r="E803" s="15"/>
      <x:c r="F803" s="15"/>
      <x:c r="G803" s="9"/>
      <x:c r="H803" s="9"/>
    </x:row>
    <x:row r="804" ht="22" customHeight="1">
      <x:c r="A804" s="11"/>
      <x:c r="B804" s="9"/>
      <x:c r="C804" s="9"/>
      <x:c r="D804" s="9"/>
      <x:c r="E804" s="15"/>
      <x:c r="F804" s="15"/>
      <x:c r="G804" s="9"/>
      <x:c r="H804" s="9"/>
    </x:row>
    <x:row r="805" ht="22" customHeight="1">
      <x:c r="A805" s="11"/>
      <x:c r="B805" s="9"/>
      <x:c r="C805" s="9"/>
      <x:c r="D805" s="9"/>
      <x:c r="E805" s="15"/>
      <x:c r="F805" s="15"/>
      <x:c r="G805" s="9"/>
      <x:c r="H805" s="9"/>
    </x:row>
    <x:row r="806" ht="22" customHeight="1">
      <x:c r="A806" s="11"/>
      <x:c r="B806" s="9"/>
      <x:c r="C806" s="9"/>
      <x:c r="D806" s="9"/>
      <x:c r="E806" s="15"/>
      <x:c r="F806" s="15"/>
      <x:c r="G806" s="9"/>
      <x:c r="H806" s="9"/>
    </x:row>
    <x:row r="807" ht="22" customHeight="1">
      <x:c r="A807" s="11"/>
      <x:c r="B807" s="9"/>
      <x:c r="C807" s="9"/>
      <x:c r="D807" s="9"/>
      <x:c r="E807" s="15"/>
      <x:c r="F807" s="15"/>
      <x:c r="G807" s="9"/>
      <x:c r="H807" s="9"/>
    </x:row>
    <x:row r="808" ht="22" customHeight="1">
      <x:c r="A808" s="11"/>
      <x:c r="B808" s="9"/>
      <x:c r="C808" s="9"/>
      <x:c r="D808" s="9"/>
      <x:c r="E808" s="15"/>
      <x:c r="F808" s="15"/>
      <x:c r="G808" s="9"/>
      <x:c r="H808" s="9"/>
    </x:row>
    <x:row r="809" ht="22" customHeight="1">
      <x:c r="A809" s="11"/>
      <x:c r="B809" s="9"/>
      <x:c r="C809" s="9"/>
      <x:c r="D809" s="9"/>
      <x:c r="E809" s="15"/>
      <x:c r="F809" s="15"/>
      <x:c r="G809" s="9"/>
      <x:c r="H809" s="9"/>
    </x:row>
    <x:row r="810" ht="22" customHeight="1">
      <x:c r="A810" s="11"/>
      <x:c r="B810" s="9"/>
      <x:c r="C810" s="9"/>
      <x:c r="D810" s="9"/>
      <x:c r="E810" s="15"/>
      <x:c r="F810" s="15"/>
      <x:c r="G810" s="9"/>
      <x:c r="H810" s="9"/>
    </x:row>
    <x:row r="811" ht="22" customHeight="1">
      <x:c r="A811" s="11"/>
      <x:c r="B811" s="9"/>
      <x:c r="C811" s="9"/>
      <x:c r="D811" s="9"/>
      <x:c r="E811" s="15"/>
      <x:c r="F811" s="15"/>
      <x:c r="G811" s="9"/>
      <x:c r="H811" s="9"/>
    </x:row>
    <x:row r="812" ht="22" customHeight="1">
      <x:c r="A812" s="11"/>
      <x:c r="B812" s="9"/>
      <x:c r="C812" s="9"/>
      <x:c r="D812" s="9"/>
      <x:c r="E812" s="15"/>
      <x:c r="F812" s="15"/>
      <x:c r="G812" s="9"/>
      <x:c r="H812" s="9"/>
    </x:row>
    <x:row r="813" ht="22" customHeight="1">
      <x:c r="A813" s="11"/>
      <x:c r="B813" s="9"/>
      <x:c r="C813" s="9"/>
      <x:c r="D813" s="9"/>
      <x:c r="E813" s="15"/>
      <x:c r="F813" s="15"/>
      <x:c r="G813" s="9"/>
      <x:c r="H813" s="9"/>
    </x:row>
    <x:row r="814" ht="22" customHeight="1">
      <x:c r="A814" s="11"/>
      <x:c r="B814" s="9"/>
      <x:c r="C814" s="9"/>
      <x:c r="D814" s="9"/>
      <x:c r="E814" s="15"/>
      <x:c r="F814" s="15"/>
      <x:c r="G814" s="9"/>
      <x:c r="H814" s="9"/>
    </x:row>
    <x:row r="815" ht="22" customHeight="1">
      <x:c r="A815" s="11"/>
      <x:c r="B815" s="9"/>
      <x:c r="C815" s="9"/>
      <x:c r="D815" s="9"/>
      <x:c r="E815" s="15"/>
      <x:c r="F815" s="15"/>
      <x:c r="G815" s="9"/>
      <x:c r="H815" s="9"/>
    </x:row>
    <x:row r="816" ht="22" customHeight="1">
      <x:c r="A816" s="11"/>
      <x:c r="B816" s="9"/>
      <x:c r="C816" s="9"/>
      <x:c r="D816" s="9"/>
      <x:c r="E816" s="15"/>
      <x:c r="F816" s="15"/>
      <x:c r="G816" s="9"/>
      <x:c r="H816" s="9"/>
    </x:row>
    <x:row r="817" ht="22" customHeight="1">
      <x:c r="A817" s="11"/>
      <x:c r="B817" s="9"/>
      <x:c r="C817" s="9"/>
      <x:c r="D817" s="9"/>
      <x:c r="E817" s="15"/>
      <x:c r="F817" s="15"/>
      <x:c r="G817" s="9"/>
      <x:c r="H817" s="9"/>
    </x:row>
    <x:row r="818" ht="22" customHeight="1">
      <x:c r="A818" s="11"/>
      <x:c r="B818" s="9"/>
      <x:c r="C818" s="9"/>
      <x:c r="D818" s="9"/>
      <x:c r="E818" s="15"/>
      <x:c r="F818" s="15"/>
      <x:c r="G818" s="9"/>
      <x:c r="H818" s="9"/>
    </x:row>
    <x:row r="819" ht="22" customHeight="1">
      <x:c r="A819" s="11"/>
      <x:c r="B819" s="9"/>
      <x:c r="C819" s="9"/>
      <x:c r="D819" s="9"/>
      <x:c r="E819" s="15"/>
      <x:c r="F819" s="15"/>
      <x:c r="G819" s="9"/>
      <x:c r="H819" s="9"/>
    </x:row>
    <x:row r="820" ht="22" customHeight="1">
      <x:c r="A820" s="11"/>
      <x:c r="B820" s="9"/>
      <x:c r="C820" s="9"/>
      <x:c r="D820" s="9"/>
      <x:c r="E820" s="15"/>
      <x:c r="F820" s="15"/>
      <x:c r="G820" s="9"/>
      <x:c r="H820" s="9"/>
    </x:row>
    <x:row r="821" ht="22" customHeight="1">
      <x:c r="A821" s="11"/>
      <x:c r="B821" s="9"/>
      <x:c r="C821" s="9"/>
      <x:c r="D821" s="9"/>
      <x:c r="E821" s="15"/>
      <x:c r="F821" s="15"/>
      <x:c r="G821" s="9"/>
      <x:c r="H821" s="9"/>
    </x:row>
    <x:row r="822" ht="22" customHeight="1">
      <x:c r="A822" s="11"/>
      <x:c r="B822" s="9"/>
      <x:c r="C822" s="9"/>
      <x:c r="D822" s="9"/>
      <x:c r="E822" s="15"/>
      <x:c r="F822" s="15"/>
      <x:c r="G822" s="9"/>
      <x:c r="H822" s="9"/>
    </x:row>
    <x:row r="823" ht="22" customHeight="1">
      <x:c r="A823" s="11"/>
      <x:c r="B823" s="9"/>
      <x:c r="C823" s="9"/>
      <x:c r="D823" s="9"/>
      <x:c r="E823" s="15"/>
      <x:c r="F823" s="15"/>
      <x:c r="G823" s="9"/>
      <x:c r="H823" s="9"/>
    </x:row>
    <x:row r="824" ht="22" customHeight="1">
      <x:c r="A824" s="11"/>
      <x:c r="B824" s="9"/>
      <x:c r="C824" s="9"/>
      <x:c r="D824" s="9"/>
      <x:c r="E824" s="15"/>
      <x:c r="F824" s="15"/>
      <x:c r="G824" s="9"/>
      <x:c r="H824" s="9"/>
    </x:row>
    <x:row r="825" ht="22" customHeight="1">
      <x:c r="A825" s="11"/>
      <x:c r="B825" s="9"/>
      <x:c r="C825" s="9"/>
      <x:c r="D825" s="9"/>
      <x:c r="E825" s="15"/>
      <x:c r="F825" s="15"/>
      <x:c r="G825" s="9"/>
      <x:c r="H825" s="9"/>
    </x:row>
    <x:row r="826" ht="22" customHeight="1">
      <x:c r="A826" s="11"/>
      <x:c r="B826" s="9"/>
      <x:c r="C826" s="9"/>
      <x:c r="D826" s="9"/>
      <x:c r="E826" s="15"/>
      <x:c r="F826" s="15"/>
      <x:c r="G826" s="9"/>
      <x:c r="H826" s="9"/>
    </x:row>
    <x:row r="827" ht="22" customHeight="1">
      <x:c r="A827" s="11"/>
      <x:c r="B827" s="9"/>
      <x:c r="C827" s="9"/>
      <x:c r="D827" s="9"/>
      <x:c r="E827" s="15"/>
      <x:c r="F827" s="15"/>
      <x:c r="G827" s="9"/>
      <x:c r="H827" s="9"/>
    </x:row>
    <x:row r="828" ht="22" customHeight="1">
      <x:c r="A828" s="11"/>
      <x:c r="B828" s="9"/>
      <x:c r="C828" s="9"/>
      <x:c r="D828" s="9"/>
      <x:c r="E828" s="15"/>
      <x:c r="F828" s="15"/>
      <x:c r="G828" s="9"/>
      <x:c r="H828" s="9"/>
    </x:row>
    <x:row r="829" ht="22" customHeight="1">
      <x:c r="A829" s="11"/>
      <x:c r="B829" s="9"/>
      <x:c r="C829" s="9"/>
      <x:c r="D829" s="9"/>
      <x:c r="E829" s="15"/>
      <x:c r="F829" s="15"/>
      <x:c r="G829" s="9"/>
      <x:c r="H829" s="9"/>
    </x:row>
    <x:row r="830" ht="22" customHeight="1">
      <x:c r="A830" s="11"/>
      <x:c r="B830" s="9"/>
      <x:c r="C830" s="9"/>
      <x:c r="D830" s="9"/>
      <x:c r="E830" s="15"/>
      <x:c r="F830" s="15"/>
      <x:c r="G830" s="9"/>
      <x:c r="H830" s="9"/>
    </x:row>
    <x:row r="831" ht="22" customHeight="1">
      <x:c r="A831" s="11"/>
      <x:c r="B831" s="9"/>
      <x:c r="C831" s="9"/>
      <x:c r="D831" s="9"/>
      <x:c r="E831" s="15"/>
      <x:c r="F831" s="15"/>
      <x:c r="G831" s="9"/>
      <x:c r="H831" s="9"/>
    </x:row>
    <x:row r="832" ht="22" customHeight="1">
      <x:c r="A832" s="11"/>
      <x:c r="B832" s="9"/>
      <x:c r="C832" s="9"/>
      <x:c r="D832" s="9"/>
      <x:c r="E832" s="15"/>
      <x:c r="F832" s="15"/>
      <x:c r="G832" s="9"/>
      <x:c r="H832" s="9"/>
    </x:row>
    <x:row r="833" ht="22" customHeight="1">
      <x:c r="A833" s="11"/>
      <x:c r="B833" s="9"/>
      <x:c r="C833" s="9"/>
      <x:c r="D833" s="9"/>
      <x:c r="E833" s="15"/>
      <x:c r="F833" s="15"/>
      <x:c r="G833" s="9"/>
      <x:c r="H833" s="9"/>
    </x:row>
    <x:row r="834" ht="22" customHeight="1">
      <x:c r="A834" s="11"/>
      <x:c r="B834" s="9"/>
      <x:c r="C834" s="9"/>
      <x:c r="D834" s="9"/>
      <x:c r="E834" s="15"/>
      <x:c r="F834" s="15"/>
      <x:c r="G834" s="9"/>
      <x:c r="H834" s="9"/>
    </x:row>
    <x:row r="835" ht="22" customHeight="1">
      <x:c r="A835" s="11"/>
      <x:c r="B835" s="9"/>
      <x:c r="C835" s="9"/>
      <x:c r="D835" s="9"/>
      <x:c r="E835" s="15"/>
      <x:c r="F835" s="15"/>
      <x:c r="G835" s="9"/>
      <x:c r="H835" s="9"/>
    </x:row>
    <x:row r="836" ht="22" customHeight="1">
      <x:c r="A836" s="11"/>
      <x:c r="B836" s="9"/>
      <x:c r="C836" s="9"/>
      <x:c r="D836" s="9"/>
      <x:c r="E836" s="15"/>
      <x:c r="F836" s="15"/>
      <x:c r="G836" s="9"/>
      <x:c r="H836" s="9"/>
    </x:row>
    <x:row r="837" ht="22" customHeight="1">
      <x:c r="A837" s="11"/>
      <x:c r="B837" s="9"/>
      <x:c r="C837" s="9"/>
      <x:c r="D837" s="9"/>
      <x:c r="E837" s="15"/>
      <x:c r="F837" s="15"/>
      <x:c r="G837" s="9"/>
      <x:c r="H837" s="9"/>
    </x:row>
    <x:row r="838" ht="22" customHeight="1">
      <x:c r="A838" s="11"/>
      <x:c r="B838" s="9"/>
      <x:c r="C838" s="9"/>
      <x:c r="D838" s="9"/>
      <x:c r="E838" s="15"/>
      <x:c r="F838" s="15"/>
      <x:c r="G838" s="9"/>
      <x:c r="H838" s="9"/>
    </x:row>
    <x:row r="839" ht="22" customHeight="1">
      <x:c r="A839" s="11"/>
      <x:c r="B839" s="9"/>
      <x:c r="C839" s="9"/>
      <x:c r="D839" s="9"/>
      <x:c r="E839" s="15"/>
      <x:c r="F839" s="15"/>
      <x:c r="G839" s="9"/>
      <x:c r="H839" s="9"/>
    </x:row>
    <x:row r="840" ht="22" customHeight="1">
      <x:c r="A840" s="11"/>
      <x:c r="B840" s="9"/>
      <x:c r="C840" s="9"/>
      <x:c r="D840" s="9"/>
      <x:c r="E840" s="15"/>
      <x:c r="F840" s="15"/>
      <x:c r="G840" s="9"/>
      <x:c r="H840" s="9"/>
    </x:row>
    <x:row r="841" ht="22" customHeight="1">
      <x:c r="A841" s="11"/>
      <x:c r="B841" s="9"/>
      <x:c r="C841" s="9"/>
      <x:c r="D841" s="9"/>
      <x:c r="E841" s="15"/>
      <x:c r="F841" s="15"/>
      <x:c r="G841" s="9"/>
      <x:c r="H841" s="9"/>
    </x:row>
    <x:row r="842" ht="22" customHeight="1">
      <x:c r="A842" s="11"/>
      <x:c r="B842" s="9"/>
      <x:c r="C842" s="9"/>
      <x:c r="D842" s="9"/>
      <x:c r="E842" s="15"/>
      <x:c r="F842" s="15"/>
      <x:c r="G842" s="9"/>
      <x:c r="H842" s="9"/>
    </x:row>
    <x:row r="843" ht="22" customHeight="1">
      <x:c r="A843" s="11"/>
      <x:c r="B843" s="9"/>
      <x:c r="C843" s="9"/>
      <x:c r="D843" s="9"/>
      <x:c r="E843" s="15"/>
      <x:c r="F843" s="15"/>
      <x:c r="G843" s="9"/>
      <x:c r="H843" s="9"/>
    </x:row>
    <x:row r="844" ht="22" customHeight="1">
      <x:c r="A844" s="11"/>
      <x:c r="B844" s="9"/>
      <x:c r="C844" s="9"/>
      <x:c r="D844" s="9"/>
      <x:c r="E844" s="15"/>
      <x:c r="F844" s="15"/>
      <x:c r="G844" s="9"/>
      <x:c r="H844" s="9"/>
    </x:row>
    <x:row r="845" ht="22" customHeight="1">
      <x:c r="A845" s="11"/>
      <x:c r="B845" s="9"/>
      <x:c r="C845" s="9"/>
      <x:c r="D845" s="9"/>
      <x:c r="E845" s="15"/>
      <x:c r="F845" s="15"/>
      <x:c r="G845" s="9"/>
      <x:c r="H845" s="9"/>
    </x:row>
    <x:row r="846" ht="22" customHeight="1">
      <x:c r="A846" s="11"/>
      <x:c r="B846" s="9"/>
      <x:c r="C846" s="9"/>
      <x:c r="D846" s="9"/>
      <x:c r="E846" s="15"/>
      <x:c r="F846" s="15"/>
      <x:c r="G846" s="9"/>
      <x:c r="H846" s="9"/>
    </x:row>
    <x:row r="847" ht="22" customHeight="1">
      <x:c r="A847" s="11"/>
      <x:c r="B847" s="9"/>
      <x:c r="C847" s="9"/>
      <x:c r="D847" s="9"/>
      <x:c r="E847" s="15"/>
      <x:c r="F847" s="15"/>
      <x:c r="G847" s="9"/>
      <x:c r="H847" s="9"/>
    </x:row>
    <x:row r="848" ht="22" customHeight="1">
      <x:c r="A848" s="11"/>
      <x:c r="B848" s="9"/>
      <x:c r="C848" s="9"/>
      <x:c r="D848" s="9"/>
      <x:c r="E848" s="15"/>
      <x:c r="F848" s="15"/>
      <x:c r="G848" s="9"/>
      <x:c r="H848" s="9"/>
    </x:row>
    <x:row r="849" ht="22" customHeight="1">
      <x:c r="A849" s="11"/>
      <x:c r="B849" s="9"/>
      <x:c r="C849" s="9"/>
      <x:c r="D849" s="9"/>
      <x:c r="E849" s="15"/>
      <x:c r="F849" s="15"/>
      <x:c r="G849" s="9"/>
      <x:c r="H849" s="9"/>
    </x:row>
    <x:row r="850" ht="22" customHeight="1">
      <x:c r="A850" s="11"/>
      <x:c r="B850" s="9"/>
      <x:c r="C850" s="9"/>
      <x:c r="D850" s="9"/>
      <x:c r="E850" s="15"/>
      <x:c r="F850" s="15"/>
      <x:c r="G850" s="9"/>
      <x:c r="H850" s="9"/>
    </x:row>
    <x:row r="851" ht="22" customHeight="1">
      <x:c r="A851" s="11"/>
      <x:c r="B851" s="9"/>
      <x:c r="C851" s="9"/>
      <x:c r="D851" s="9"/>
      <x:c r="E851" s="15"/>
      <x:c r="F851" s="15"/>
      <x:c r="G851" s="9"/>
      <x:c r="H851" s="9"/>
    </x:row>
    <x:row r="852" ht="22" customHeight="1">
      <x:c r="A852" s="11"/>
      <x:c r="B852" s="9"/>
      <x:c r="C852" s="9"/>
      <x:c r="D852" s="9"/>
      <x:c r="E852" s="15"/>
      <x:c r="F852" s="15"/>
      <x:c r="G852" s="9"/>
      <x:c r="H852" s="9"/>
    </x:row>
    <x:row r="853" ht="22" customHeight="1">
      <x:c r="A853" s="11"/>
      <x:c r="B853" s="9"/>
      <x:c r="C853" s="9"/>
      <x:c r="D853" s="9"/>
      <x:c r="E853" s="15"/>
      <x:c r="F853" s="15"/>
      <x:c r="G853" s="9"/>
      <x:c r="H853" s="9"/>
    </x:row>
    <x:row r="854" ht="22" customHeight="1">
      <x:c r="A854" s="11"/>
      <x:c r="B854" s="9"/>
      <x:c r="C854" s="9"/>
      <x:c r="D854" s="9"/>
      <x:c r="E854" s="15"/>
      <x:c r="F854" s="15"/>
      <x:c r="G854" s="9"/>
      <x:c r="H854" s="9"/>
    </x:row>
    <x:row r="855" ht="22" customHeight="1">
      <x:c r="A855" s="11"/>
      <x:c r="B855" s="9"/>
      <x:c r="C855" s="9"/>
      <x:c r="D855" s="9"/>
      <x:c r="E855" s="15"/>
      <x:c r="F855" s="15"/>
      <x:c r="G855" s="9"/>
      <x:c r="H855" s="9"/>
    </x:row>
    <x:row r="856" ht="22" customHeight="1">
      <x:c r="A856" s="11"/>
      <x:c r="B856" s="9"/>
      <x:c r="C856" s="9"/>
      <x:c r="D856" s="9"/>
      <x:c r="E856" s="15"/>
      <x:c r="F856" s="15"/>
      <x:c r="G856" s="9"/>
      <x:c r="H856" s="9"/>
    </x:row>
    <x:row r="857" ht="22" customHeight="1">
      <x:c r="A857" s="11"/>
      <x:c r="B857" s="9"/>
      <x:c r="C857" s="9"/>
      <x:c r="D857" s="9"/>
      <x:c r="E857" s="15"/>
      <x:c r="F857" s="15"/>
      <x:c r="G857" s="9"/>
      <x:c r="H857" s="9"/>
    </x:row>
    <x:row r="858" ht="22" customHeight="1">
      <x:c r="A858" s="11"/>
      <x:c r="B858" s="9"/>
      <x:c r="C858" s="9"/>
      <x:c r="D858" s="9"/>
      <x:c r="E858" s="15"/>
      <x:c r="F858" s="15"/>
      <x:c r="G858" s="9"/>
      <x:c r="H858" s="9"/>
    </x:row>
    <x:row r="859" ht="22" customHeight="1">
      <x:c r="A859" s="11"/>
      <x:c r="B859" s="9"/>
      <x:c r="C859" s="9"/>
      <x:c r="D859" s="9"/>
      <x:c r="E859" s="15"/>
      <x:c r="F859" s="15"/>
      <x:c r="G859" s="9"/>
      <x:c r="H859" s="9"/>
    </x:row>
    <x:row r="860" ht="22" customHeight="1">
      <x:c r="A860" s="11"/>
      <x:c r="B860" s="9"/>
      <x:c r="C860" s="9"/>
      <x:c r="D860" s="9"/>
      <x:c r="E860" s="15"/>
      <x:c r="F860" s="15"/>
      <x:c r="G860" s="9"/>
      <x:c r="H860" s="9"/>
    </x:row>
    <x:row r="861" ht="22" customHeight="1">
      <x:c r="A861" s="11"/>
      <x:c r="B861" s="9"/>
      <x:c r="C861" s="9"/>
      <x:c r="D861" s="9"/>
      <x:c r="E861" s="15"/>
      <x:c r="F861" s="15"/>
      <x:c r="G861" s="9"/>
      <x:c r="H861" s="9"/>
    </x:row>
    <x:row r="862" ht="22" customHeight="1">
      <x:c r="A862" s="11"/>
      <x:c r="B862" s="9"/>
      <x:c r="C862" s="9"/>
      <x:c r="D862" s="9"/>
      <x:c r="E862" s="15"/>
      <x:c r="F862" s="15"/>
      <x:c r="G862" s="9"/>
      <x:c r="H862" s="9"/>
    </x:row>
    <x:row r="863" ht="22" customHeight="1">
      <x:c r="A863" s="11"/>
      <x:c r="B863" s="9"/>
      <x:c r="C863" s="9"/>
      <x:c r="D863" s="9"/>
      <x:c r="E863" s="15"/>
      <x:c r="F863" s="15"/>
      <x:c r="G863" s="9"/>
      <x:c r="H863" s="9"/>
    </x:row>
    <x:row r="864" ht="22" customHeight="1">
      <x:c r="A864" s="11"/>
      <x:c r="B864" s="9"/>
      <x:c r="C864" s="9"/>
      <x:c r="D864" s="9"/>
      <x:c r="E864" s="15"/>
      <x:c r="F864" s="15"/>
      <x:c r="G864" s="9"/>
      <x:c r="H864" s="9"/>
    </x:row>
    <x:row r="865" ht="22" customHeight="1">
      <x:c r="A865" s="11"/>
      <x:c r="B865" s="9"/>
      <x:c r="C865" s="9"/>
      <x:c r="D865" s="9"/>
      <x:c r="E865" s="15"/>
      <x:c r="F865" s="15"/>
      <x:c r="G865" s="9"/>
      <x:c r="H865" s="9"/>
    </x:row>
    <x:row r="866" ht="22" customHeight="1">
      <x:c r="A866" s="11"/>
      <x:c r="B866" s="9"/>
      <x:c r="C866" s="9"/>
      <x:c r="D866" s="9"/>
      <x:c r="E866" s="15"/>
      <x:c r="F866" s="15"/>
      <x:c r="G866" s="9"/>
      <x:c r="H866" s="9"/>
    </x:row>
    <x:row r="867" ht="22" customHeight="1">
      <x:c r="A867" s="11"/>
      <x:c r="B867" s="9"/>
      <x:c r="C867" s="9"/>
      <x:c r="D867" s="9"/>
      <x:c r="E867" s="15"/>
      <x:c r="F867" s="15"/>
      <x:c r="G867" s="9"/>
      <x:c r="H867" s="9"/>
    </x:row>
    <x:row r="868" ht="22" customHeight="1">
      <x:c r="A868" s="11"/>
      <x:c r="B868" s="9"/>
      <x:c r="C868" s="9"/>
      <x:c r="D868" s="9"/>
      <x:c r="E868" s="15"/>
      <x:c r="F868" s="15"/>
      <x:c r="G868" s="9"/>
      <x:c r="H868" s="9"/>
    </x:row>
    <x:row r="869" ht="22" customHeight="1">
      <x:c r="A869" s="11"/>
      <x:c r="B869" s="9"/>
      <x:c r="C869" s="9"/>
      <x:c r="D869" s="9"/>
      <x:c r="E869" s="15"/>
      <x:c r="F869" s="15"/>
      <x:c r="G869" s="9"/>
      <x:c r="H869" s="9"/>
    </x:row>
    <x:row r="870" ht="22" customHeight="1">
      <x:c r="A870" s="11"/>
      <x:c r="B870" s="9"/>
      <x:c r="C870" s="9"/>
      <x:c r="D870" s="9"/>
      <x:c r="E870" s="15"/>
      <x:c r="F870" s="15"/>
      <x:c r="G870" s="9"/>
      <x:c r="H870" s="9"/>
    </x:row>
    <x:row r="871" ht="22" customHeight="1">
      <x:c r="A871" s="11"/>
      <x:c r="B871" s="9"/>
      <x:c r="C871" s="9"/>
      <x:c r="D871" s="9"/>
      <x:c r="E871" s="15"/>
      <x:c r="F871" s="15"/>
      <x:c r="G871" s="9"/>
      <x:c r="H871" s="9"/>
    </x:row>
    <x:row r="872" ht="22" customHeight="1">
      <x:c r="A872" s="11"/>
      <x:c r="B872" s="9"/>
      <x:c r="C872" s="9"/>
      <x:c r="D872" s="9"/>
      <x:c r="E872" s="15"/>
      <x:c r="F872" s="15"/>
      <x:c r="G872" s="9"/>
      <x:c r="H872" s="9"/>
    </x:row>
    <x:row r="873" ht="22" customHeight="1">
      <x:c r="A873" s="11"/>
      <x:c r="B873" s="9"/>
      <x:c r="C873" s="9"/>
      <x:c r="D873" s="9"/>
      <x:c r="E873" s="15"/>
      <x:c r="F873" s="15"/>
      <x:c r="G873" s="9"/>
      <x:c r="H873" s="9"/>
    </x:row>
    <x:row r="874" ht="22" customHeight="1">
      <x:c r="A874" s="11"/>
      <x:c r="B874" s="9"/>
      <x:c r="C874" s="9"/>
      <x:c r="D874" s="9"/>
      <x:c r="E874" s="15"/>
      <x:c r="F874" s="15"/>
      <x:c r="G874" s="9"/>
      <x:c r="H874" s="9"/>
    </x:row>
    <x:row r="875" ht="22" customHeight="1">
      <x:c r="A875" s="11"/>
      <x:c r="B875" s="9"/>
      <x:c r="C875" s="9"/>
      <x:c r="D875" s="9"/>
      <x:c r="E875" s="15"/>
      <x:c r="F875" s="15"/>
      <x:c r="G875" s="9"/>
      <x:c r="H875" s="9"/>
    </x:row>
    <x:row r="876" ht="22" customHeight="1">
      <x:c r="A876" s="11"/>
      <x:c r="B876" s="9"/>
      <x:c r="C876" s="9"/>
      <x:c r="D876" s="9"/>
      <x:c r="E876" s="15"/>
      <x:c r="F876" s="15"/>
      <x:c r="G876" s="9"/>
      <x:c r="H876" s="9"/>
    </x:row>
    <x:row r="877" ht="22" customHeight="1">
      <x:c r="A877" s="11"/>
      <x:c r="B877" s="9"/>
      <x:c r="C877" s="9"/>
      <x:c r="D877" s="9"/>
      <x:c r="E877" s="15"/>
      <x:c r="F877" s="15"/>
      <x:c r="G877" s="9"/>
      <x:c r="H877" s="9"/>
    </x:row>
    <x:row r="878" ht="22" customHeight="1">
      <x:c r="A878" s="11"/>
      <x:c r="B878" s="9"/>
      <x:c r="C878" s="9"/>
      <x:c r="D878" s="9"/>
      <x:c r="E878" s="15"/>
      <x:c r="F878" s="15"/>
      <x:c r="G878" s="9"/>
      <x:c r="H878" s="9"/>
    </x:row>
    <x:row r="879" ht="22" customHeight="1">
      <x:c r="A879" s="11"/>
      <x:c r="B879" s="9"/>
      <x:c r="C879" s="9"/>
      <x:c r="D879" s="9"/>
      <x:c r="E879" s="15"/>
      <x:c r="F879" s="15"/>
      <x:c r="G879" s="9"/>
      <x:c r="H879" s="9"/>
    </x:row>
    <x:row r="880" ht="22" customHeight="1">
      <x:c r="A880" s="11"/>
      <x:c r="B880" s="9"/>
      <x:c r="C880" s="9"/>
      <x:c r="D880" s="9"/>
      <x:c r="E880" s="15"/>
      <x:c r="F880" s="15"/>
      <x:c r="G880" s="9"/>
      <x:c r="H880" s="9"/>
    </x:row>
    <x:row r="881" ht="22" customHeight="1">
      <x:c r="A881" s="11"/>
      <x:c r="B881" s="9"/>
      <x:c r="C881" s="9"/>
      <x:c r="D881" s="9"/>
      <x:c r="E881" s="15"/>
      <x:c r="F881" s="15"/>
      <x:c r="G881" s="9"/>
      <x:c r="H881" s="9"/>
    </x:row>
    <x:row r="882" ht="22" customHeight="1">
      <x:c r="A882" s="11"/>
      <x:c r="B882" s="9"/>
      <x:c r="C882" s="9"/>
      <x:c r="D882" s="9"/>
      <x:c r="E882" s="15"/>
      <x:c r="F882" s="15"/>
      <x:c r="G882" s="9"/>
      <x:c r="H882" s="9"/>
    </x:row>
    <x:row r="883" ht="22" customHeight="1">
      <x:c r="A883" s="11"/>
      <x:c r="B883" s="9"/>
      <x:c r="C883" s="9"/>
      <x:c r="D883" s="9"/>
      <x:c r="E883" s="15"/>
      <x:c r="F883" s="15"/>
      <x:c r="G883" s="9"/>
      <x:c r="H883" s="9"/>
    </x:row>
    <x:row r="884" ht="22" customHeight="1">
      <x:c r="A884" s="11"/>
      <x:c r="B884" s="9"/>
      <x:c r="C884" s="9"/>
      <x:c r="D884" s="9"/>
      <x:c r="E884" s="15"/>
      <x:c r="F884" s="15"/>
      <x:c r="G884" s="9"/>
      <x:c r="H884" s="9"/>
    </x:row>
    <x:row r="885" ht="22" customHeight="1">
      <x:c r="A885" s="11"/>
      <x:c r="B885" s="9"/>
      <x:c r="C885" s="9"/>
      <x:c r="D885" s="9"/>
      <x:c r="E885" s="15"/>
      <x:c r="F885" s="15"/>
      <x:c r="G885" s="9"/>
      <x:c r="H885" s="9"/>
    </x:row>
    <x:row r="886" ht="22" customHeight="1">
      <x:c r="A886" s="11"/>
      <x:c r="B886" s="9"/>
      <x:c r="C886" s="9"/>
      <x:c r="D886" s="9"/>
      <x:c r="E886" s="15"/>
      <x:c r="F886" s="15"/>
      <x:c r="G886" s="9"/>
      <x:c r="H886" s="9"/>
    </x:row>
    <x:row r="887" ht="22" customHeight="1">
      <x:c r="A887" s="11"/>
      <x:c r="B887" s="9"/>
      <x:c r="C887" s="9"/>
      <x:c r="D887" s="9"/>
      <x:c r="E887" s="15"/>
      <x:c r="F887" s="15"/>
      <x:c r="G887" s="9"/>
      <x:c r="H887" s="9"/>
    </x:row>
    <x:row r="888" ht="22" customHeight="1">
      <x:c r="A888" s="11"/>
      <x:c r="B888" s="9"/>
      <x:c r="C888" s="9"/>
      <x:c r="D888" s="9"/>
      <x:c r="E888" s="15"/>
      <x:c r="F888" s="15"/>
      <x:c r="G888" s="9"/>
      <x:c r="H888" s="9"/>
    </x:row>
    <x:row r="889" ht="22" customHeight="1">
      <x:c r="A889" s="11"/>
      <x:c r="B889" s="9"/>
      <x:c r="C889" s="9"/>
      <x:c r="D889" s="9"/>
      <x:c r="E889" s="15"/>
      <x:c r="F889" s="15"/>
      <x:c r="G889" s="9"/>
      <x:c r="H889" s="9"/>
    </x:row>
    <x:row r="890" ht="22" customHeight="1">
      <x:c r="A890" s="11"/>
      <x:c r="B890" s="9"/>
      <x:c r="C890" s="9"/>
      <x:c r="D890" s="9"/>
      <x:c r="E890" s="15"/>
      <x:c r="F890" s="15"/>
      <x:c r="G890" s="9"/>
      <x:c r="H890" s="9"/>
    </x:row>
    <x:row r="891" ht="22" customHeight="1">
      <x:c r="A891" s="11"/>
      <x:c r="B891" s="9"/>
      <x:c r="C891" s="9"/>
      <x:c r="D891" s="9"/>
      <x:c r="E891" s="15"/>
      <x:c r="F891" s="15"/>
      <x:c r="G891" s="9"/>
      <x:c r="H891" s="9"/>
    </x:row>
    <x:row r="892" ht="22" customHeight="1">
      <x:c r="A892" s="11"/>
      <x:c r="B892" s="9"/>
      <x:c r="C892" s="9"/>
      <x:c r="D892" s="9"/>
      <x:c r="E892" s="15"/>
      <x:c r="F892" s="15"/>
      <x:c r="G892" s="9"/>
      <x:c r="H892" s="9"/>
    </x:row>
    <x:row r="893" ht="22" customHeight="1">
      <x:c r="A893" s="11"/>
      <x:c r="B893" s="9"/>
      <x:c r="C893" s="9"/>
      <x:c r="D893" s="9"/>
      <x:c r="E893" s="15"/>
      <x:c r="F893" s="15"/>
      <x:c r="G893" s="9"/>
      <x:c r="H893" s="9"/>
    </x:row>
    <x:row r="894" ht="22" customHeight="1">
      <x:c r="A894" s="11"/>
      <x:c r="B894" s="9"/>
      <x:c r="C894" s="9"/>
      <x:c r="D894" s="9"/>
      <x:c r="E894" s="15"/>
      <x:c r="F894" s="15"/>
      <x:c r="G894" s="9"/>
      <x:c r="H894" s="9"/>
    </x:row>
    <x:row r="895" ht="22" customHeight="1">
      <x:c r="A895" s="11"/>
      <x:c r="B895" s="9"/>
      <x:c r="C895" s="9"/>
      <x:c r="D895" s="9"/>
      <x:c r="E895" s="15"/>
      <x:c r="F895" s="15"/>
      <x:c r="G895" s="9"/>
      <x:c r="H895" s="9"/>
    </x:row>
    <x:row r="896" ht="22" customHeight="1">
      <x:c r="A896" s="11"/>
      <x:c r="B896" s="9"/>
      <x:c r="C896" s="9"/>
      <x:c r="D896" s="9"/>
      <x:c r="E896" s="15"/>
      <x:c r="F896" s="15"/>
      <x:c r="G896" s="9"/>
      <x:c r="H896" s="9"/>
    </x:row>
    <x:row r="897" ht="22" customHeight="1">
      <x:c r="A897" s="11"/>
      <x:c r="B897" s="9"/>
      <x:c r="C897" s="9"/>
      <x:c r="D897" s="9"/>
      <x:c r="E897" s="15"/>
      <x:c r="F897" s="15"/>
      <x:c r="G897" s="9"/>
      <x:c r="H897" s="9"/>
    </x:row>
    <x:row r="898" ht="22" customHeight="1">
      <x:c r="A898" s="11"/>
      <x:c r="B898" s="9"/>
      <x:c r="C898" s="9"/>
      <x:c r="D898" s="9"/>
      <x:c r="E898" s="15"/>
      <x:c r="F898" s="15"/>
      <x:c r="G898" s="9"/>
      <x:c r="H898" s="9"/>
    </x:row>
    <x:row r="899" ht="22" customHeight="1">
      <x:c r="A899" s="11"/>
      <x:c r="B899" s="9"/>
      <x:c r="C899" s="9"/>
      <x:c r="D899" s="9"/>
      <x:c r="E899" s="15"/>
      <x:c r="F899" s="15"/>
      <x:c r="G899" s="9"/>
      <x:c r="H899" s="9"/>
    </x:row>
    <x:row r="900" ht="22" customHeight="1">
      <x:c r="A900" s="11"/>
      <x:c r="B900" s="9"/>
      <x:c r="C900" s="9"/>
      <x:c r="D900" s="9"/>
      <x:c r="E900" s="15"/>
      <x:c r="F900" s="15"/>
      <x:c r="G900" s="9"/>
      <x:c r="H900" s="9"/>
    </x:row>
    <x:row r="901" ht="22" customHeight="1">
      <x:c r="A901" s="11"/>
      <x:c r="B901" s="9"/>
      <x:c r="C901" s="9"/>
      <x:c r="D901" s="9"/>
      <x:c r="E901" s="15"/>
      <x:c r="F901" s="15"/>
      <x:c r="G901" s="9"/>
      <x:c r="H901" s="9"/>
    </x:row>
    <x:row r="902" ht="22" customHeight="1">
      <x:c r="A902" s="11"/>
      <x:c r="B902" s="9"/>
      <x:c r="C902" s="9"/>
      <x:c r="D902" s="9"/>
      <x:c r="E902" s="15"/>
      <x:c r="F902" s="15"/>
      <x:c r="G902" s="9"/>
      <x:c r="H902" s="9"/>
    </x:row>
    <x:row r="903" ht="22" customHeight="1">
      <x:c r="A903" s="11"/>
      <x:c r="B903" s="9"/>
      <x:c r="C903" s="9"/>
      <x:c r="D903" s="9"/>
      <x:c r="E903" s="15"/>
      <x:c r="F903" s="15"/>
      <x:c r="G903" s="9"/>
      <x:c r="H903" s="9"/>
    </x:row>
    <x:row r="904" ht="22" customHeight="1">
      <x:c r="A904" s="11"/>
      <x:c r="B904" s="9"/>
      <x:c r="C904" s="9"/>
      <x:c r="D904" s="9"/>
      <x:c r="E904" s="15"/>
      <x:c r="F904" s="15"/>
      <x:c r="G904" s="9"/>
      <x:c r="H904" s="9"/>
    </x:row>
    <x:row r="905" ht="22" customHeight="1">
      <x:c r="A905" s="11"/>
      <x:c r="B905" s="9"/>
      <x:c r="C905" s="9"/>
      <x:c r="D905" s="9"/>
      <x:c r="E905" s="15"/>
      <x:c r="F905" s="15"/>
      <x:c r="G905" s="9"/>
      <x:c r="H905" s="9"/>
    </x:row>
    <x:row r="906" ht="22" customHeight="1">
      <x:c r="A906" s="11"/>
      <x:c r="B906" s="9"/>
      <x:c r="C906" s="9"/>
      <x:c r="D906" s="9"/>
      <x:c r="E906" s="15"/>
      <x:c r="F906" s="15"/>
      <x:c r="G906" s="9"/>
      <x:c r="H906" s="9"/>
    </x:row>
    <x:row r="907" ht="22" customHeight="1">
      <x:c r="A907" s="11"/>
      <x:c r="B907" s="9"/>
      <x:c r="C907" s="9"/>
      <x:c r="D907" s="9"/>
      <x:c r="E907" s="15"/>
      <x:c r="F907" s="15"/>
      <x:c r="G907" s="9"/>
      <x:c r="H907" s="9"/>
    </x:row>
    <x:row r="908" ht="22" customHeight="1">
      <x:c r="A908" s="11"/>
      <x:c r="B908" s="9"/>
      <x:c r="C908" s="9"/>
      <x:c r="D908" s="9"/>
      <x:c r="E908" s="15"/>
      <x:c r="F908" s="15"/>
      <x:c r="G908" s="9"/>
      <x:c r="H908" s="9"/>
    </x:row>
    <x:row r="909" ht="22" customHeight="1">
      <x:c r="A909" s="11"/>
      <x:c r="B909" s="9"/>
      <x:c r="C909" s="9"/>
      <x:c r="D909" s="9"/>
      <x:c r="E909" s="15"/>
      <x:c r="F909" s="15"/>
      <x:c r="G909" s="9"/>
      <x:c r="H909" s="9"/>
    </x:row>
    <x:row r="910" ht="22" customHeight="1">
      <x:c r="A910" s="11"/>
      <x:c r="B910" s="9"/>
      <x:c r="C910" s="9"/>
      <x:c r="D910" s="9"/>
      <x:c r="E910" s="15"/>
      <x:c r="F910" s="15"/>
      <x:c r="G910" s="9"/>
      <x:c r="H910" s="9"/>
    </x:row>
    <x:row r="911" ht="22" customHeight="1">
      <x:c r="A911" s="11"/>
      <x:c r="B911" s="9"/>
      <x:c r="C911" s="9"/>
      <x:c r="D911" s="9"/>
      <x:c r="E911" s="15"/>
      <x:c r="F911" s="15"/>
      <x:c r="G911" s="9"/>
      <x:c r="H911" s="9"/>
    </x:row>
    <x:row r="912" ht="22" customHeight="1">
      <x:c r="A912" s="11"/>
      <x:c r="B912" s="9"/>
      <x:c r="C912" s="9"/>
      <x:c r="D912" s="9"/>
      <x:c r="E912" s="15"/>
      <x:c r="F912" s="15"/>
      <x:c r="G912" s="9"/>
      <x:c r="H912" s="9"/>
    </x:row>
    <x:row r="913" ht="22" customHeight="1">
      <x:c r="A913" s="11"/>
      <x:c r="B913" s="9"/>
      <x:c r="C913" s="9"/>
      <x:c r="D913" s="9"/>
      <x:c r="E913" s="15"/>
      <x:c r="F913" s="15"/>
      <x:c r="G913" s="9"/>
      <x:c r="H913" s="9"/>
    </x:row>
    <x:row r="914" ht="22" customHeight="1">
      <x:c r="A914" s="11"/>
      <x:c r="B914" s="9"/>
      <x:c r="C914" s="9"/>
      <x:c r="D914" s="9"/>
      <x:c r="E914" s="15"/>
      <x:c r="F914" s="15"/>
      <x:c r="G914" s="9"/>
      <x:c r="H914" s="9"/>
    </x:row>
    <x:row r="915" ht="22" customHeight="1">
      <x:c r="A915" s="11"/>
      <x:c r="B915" s="9"/>
      <x:c r="C915" s="9"/>
      <x:c r="D915" s="9"/>
      <x:c r="E915" s="15"/>
      <x:c r="F915" s="15"/>
      <x:c r="G915" s="9"/>
      <x:c r="H915" s="9"/>
    </x:row>
    <x:row r="916" ht="22" customHeight="1">
      <x:c r="A916" s="11"/>
      <x:c r="B916" s="9"/>
      <x:c r="C916" s="9"/>
      <x:c r="D916" s="9"/>
      <x:c r="E916" s="15"/>
      <x:c r="F916" s="15"/>
      <x:c r="G916" s="9"/>
      <x:c r="H916" s="9"/>
    </x:row>
    <x:row r="917" ht="22" customHeight="1">
      <x:c r="A917" s="11"/>
      <x:c r="B917" s="9"/>
      <x:c r="C917" s="9"/>
      <x:c r="D917" s="9"/>
      <x:c r="E917" s="15"/>
      <x:c r="F917" s="15"/>
      <x:c r="G917" s="9"/>
      <x:c r="H917" s="9"/>
    </x:row>
    <x:row r="918" ht="22" customHeight="1">
      <x:c r="A918" s="11"/>
      <x:c r="B918" s="9"/>
      <x:c r="C918" s="9"/>
      <x:c r="D918" s="9"/>
      <x:c r="E918" s="15"/>
      <x:c r="F918" s="15"/>
      <x:c r="G918" s="9"/>
      <x:c r="H918" s="9"/>
    </x:row>
    <x:row r="919" ht="22" customHeight="1">
      <x:c r="A919" s="11"/>
      <x:c r="B919" s="9"/>
      <x:c r="C919" s="9"/>
      <x:c r="D919" s="9"/>
      <x:c r="E919" s="15"/>
      <x:c r="F919" s="15"/>
      <x:c r="G919" s="9"/>
      <x:c r="H919" s="9"/>
    </x:row>
    <x:row r="920" ht="22" customHeight="1">
      <x:c r="A920" s="11"/>
      <x:c r="B920" s="9"/>
      <x:c r="C920" s="9"/>
      <x:c r="D920" s="9"/>
      <x:c r="E920" s="15"/>
      <x:c r="F920" s="15"/>
      <x:c r="G920" s="9"/>
      <x:c r="H920" s="9"/>
    </x:row>
    <x:row r="921" ht="22" customHeight="1">
      <x:c r="A921" s="11"/>
      <x:c r="B921" s="9"/>
      <x:c r="C921" s="9"/>
      <x:c r="D921" s="9"/>
      <x:c r="E921" s="15"/>
      <x:c r="F921" s="15"/>
      <x:c r="G921" s="9"/>
      <x:c r="H921" s="9"/>
    </x:row>
    <x:row r="922" ht="22" customHeight="1">
      <x:c r="A922" s="11"/>
      <x:c r="B922" s="9"/>
      <x:c r="C922" s="9"/>
      <x:c r="D922" s="9"/>
      <x:c r="E922" s="15"/>
      <x:c r="F922" s="15"/>
      <x:c r="G922" s="9"/>
      <x:c r="H922" s="9"/>
    </x:row>
    <x:row r="923" ht="22" customHeight="1">
      <x:c r="A923" s="11"/>
      <x:c r="B923" s="9"/>
      <x:c r="C923" s="9"/>
      <x:c r="D923" s="9"/>
      <x:c r="E923" s="15"/>
      <x:c r="F923" s="15"/>
      <x:c r="G923" s="9"/>
      <x:c r="H923" s="9"/>
    </x:row>
    <x:row r="924" ht="22" customHeight="1">
      <x:c r="A924" s="11"/>
      <x:c r="B924" s="9"/>
      <x:c r="C924" s="9"/>
      <x:c r="D924" s="9"/>
      <x:c r="E924" s="15"/>
      <x:c r="F924" s="15"/>
      <x:c r="G924" s="9"/>
      <x:c r="H924" s="9"/>
    </x:row>
    <x:row r="925" ht="22" customHeight="1">
      <x:c r="A925" s="11"/>
      <x:c r="B925" s="9"/>
      <x:c r="C925" s="9"/>
      <x:c r="D925" s="9"/>
      <x:c r="E925" s="15"/>
      <x:c r="F925" s="15"/>
      <x:c r="G925" s="9"/>
      <x:c r="H925" s="9"/>
    </x:row>
    <x:row r="926" ht="22" customHeight="1">
      <x:c r="A926" s="11"/>
      <x:c r="B926" s="9"/>
      <x:c r="C926" s="9"/>
      <x:c r="D926" s="9"/>
      <x:c r="E926" s="15"/>
      <x:c r="F926" s="15"/>
      <x:c r="G926" s="9"/>
      <x:c r="H926" s="9"/>
    </x:row>
    <x:row r="927" ht="22" customHeight="1">
      <x:c r="A927" s="11"/>
      <x:c r="B927" s="9"/>
      <x:c r="C927" s="9"/>
      <x:c r="D927" s="9"/>
      <x:c r="E927" s="15"/>
      <x:c r="F927" s="15"/>
      <x:c r="G927" s="9"/>
      <x:c r="H927" s="9"/>
    </x:row>
    <x:row r="928" ht="22" customHeight="1">
      <x:c r="A928" s="11"/>
      <x:c r="B928" s="9"/>
      <x:c r="C928" s="9"/>
      <x:c r="D928" s="9"/>
      <x:c r="E928" s="15"/>
      <x:c r="F928" s="15"/>
      <x:c r="G928" s="9"/>
      <x:c r="H928" s="9"/>
    </x:row>
    <x:row r="929" ht="22" customHeight="1">
      <x:c r="A929" s="11"/>
      <x:c r="B929" s="9"/>
      <x:c r="C929" s="9"/>
      <x:c r="D929" s="9"/>
      <x:c r="E929" s="15"/>
      <x:c r="F929" s="15"/>
      <x:c r="G929" s="9"/>
      <x:c r="H929" s="9"/>
    </x:row>
    <x:row r="930" ht="22" customHeight="1">
      <x:c r="A930" s="11"/>
      <x:c r="B930" s="9"/>
      <x:c r="C930" s="9"/>
      <x:c r="D930" s="9"/>
      <x:c r="E930" s="15"/>
      <x:c r="F930" s="15"/>
      <x:c r="G930" s="9"/>
      <x:c r="H930" s="9"/>
    </x:row>
    <x:row r="931" ht="22" customHeight="1">
      <x:c r="A931" s="11"/>
      <x:c r="B931" s="9"/>
      <x:c r="C931" s="9"/>
      <x:c r="D931" s="9"/>
      <x:c r="E931" s="15"/>
      <x:c r="F931" s="15"/>
      <x:c r="G931" s="9"/>
      <x:c r="H931" s="9"/>
    </x:row>
    <x:row r="932" ht="22" customHeight="1">
      <x:c r="A932" s="11"/>
      <x:c r="B932" s="9"/>
      <x:c r="C932" s="9"/>
      <x:c r="D932" s="9"/>
      <x:c r="E932" s="15"/>
      <x:c r="F932" s="15"/>
      <x:c r="G932" s="9"/>
      <x:c r="H932" s="9"/>
    </x:row>
    <x:row r="933" ht="22" customHeight="1">
      <x:c r="A933" s="11"/>
      <x:c r="B933" s="9"/>
      <x:c r="C933" s="9"/>
      <x:c r="D933" s="9"/>
      <x:c r="E933" s="15"/>
      <x:c r="F933" s="15"/>
      <x:c r="G933" s="9"/>
      <x:c r="H933" s="9"/>
    </x:row>
    <x:row r="934" ht="22" customHeight="1">
      <x:c r="A934" s="11"/>
      <x:c r="B934" s="9"/>
      <x:c r="C934" s="9"/>
      <x:c r="D934" s="9"/>
      <x:c r="E934" s="15"/>
      <x:c r="F934" s="15"/>
      <x:c r="G934" s="9"/>
      <x:c r="H934" s="9"/>
    </x:row>
    <x:row r="935" ht="22" customHeight="1">
      <x:c r="A935" s="11"/>
      <x:c r="B935" s="9"/>
      <x:c r="C935" s="9"/>
      <x:c r="D935" s="9"/>
      <x:c r="E935" s="15"/>
      <x:c r="F935" s="15"/>
      <x:c r="G935" s="9"/>
      <x:c r="H935" s="9"/>
    </x:row>
    <x:row r="936" ht="22" customHeight="1">
      <x:c r="A936" s="11"/>
      <x:c r="B936" s="9"/>
      <x:c r="C936" s="9"/>
      <x:c r="D936" s="9"/>
      <x:c r="E936" s="15"/>
      <x:c r="F936" s="15"/>
      <x:c r="G936" s="9"/>
      <x:c r="H936" s="9"/>
    </x:row>
    <x:row r="937" ht="22" customHeight="1">
      <x:c r="A937" s="11"/>
      <x:c r="B937" s="9"/>
      <x:c r="C937" s="9"/>
      <x:c r="D937" s="9"/>
      <x:c r="E937" s="15"/>
      <x:c r="F937" s="15"/>
      <x:c r="G937" s="9"/>
      <x:c r="H937" s="9"/>
    </x:row>
    <x:row r="938" ht="22" customHeight="1">
      <x:c r="A938" s="11"/>
      <x:c r="B938" s="9"/>
      <x:c r="C938" s="9"/>
      <x:c r="D938" s="9"/>
      <x:c r="E938" s="15"/>
      <x:c r="F938" s="15"/>
      <x:c r="G938" s="9"/>
      <x:c r="H938" s="9"/>
    </x:row>
    <x:row r="939" ht="22" customHeight="1">
      <x:c r="A939" s="11"/>
      <x:c r="B939" s="9"/>
      <x:c r="C939" s="9"/>
      <x:c r="D939" s="9"/>
      <x:c r="E939" s="15"/>
      <x:c r="F939" s="15"/>
      <x:c r="G939" s="9"/>
      <x:c r="H939" s="9"/>
    </x:row>
    <x:row r="940" ht="22" customHeight="1">
      <x:c r="A940" s="11"/>
      <x:c r="B940" s="9"/>
      <x:c r="C940" s="9"/>
      <x:c r="D940" s="9"/>
      <x:c r="E940" s="15"/>
      <x:c r="F940" s="15"/>
      <x:c r="G940" s="9"/>
      <x:c r="H940" s="9"/>
    </x:row>
    <x:row r="941" ht="22" customHeight="1">
      <x:c r="A941" s="11"/>
      <x:c r="B941" s="9"/>
      <x:c r="C941" s="9"/>
      <x:c r="D941" s="9"/>
      <x:c r="E941" s="15"/>
      <x:c r="F941" s="15"/>
      <x:c r="G941" s="9"/>
      <x:c r="H941" s="9"/>
    </x:row>
    <x:row r="942" ht="22" customHeight="1">
      <x:c r="A942" s="11"/>
      <x:c r="B942" s="9"/>
      <x:c r="C942" s="9"/>
      <x:c r="D942" s="9"/>
      <x:c r="E942" s="15"/>
      <x:c r="F942" s="15"/>
      <x:c r="G942" s="9"/>
      <x:c r="H942" s="9"/>
    </x:row>
    <x:row r="943" ht="22" customHeight="1">
      <x:c r="A943" s="11"/>
      <x:c r="B943" s="9"/>
      <x:c r="C943" s="9"/>
      <x:c r="D943" s="9"/>
      <x:c r="E943" s="15"/>
      <x:c r="F943" s="15"/>
      <x:c r="G943" s="9"/>
      <x:c r="H943" s="9"/>
    </x:row>
    <x:row r="944" ht="22" customHeight="1">
      <x:c r="A944" s="11"/>
      <x:c r="B944" s="9"/>
      <x:c r="C944" s="9"/>
      <x:c r="D944" s="9"/>
      <x:c r="E944" s="15"/>
      <x:c r="F944" s="15"/>
      <x:c r="G944" s="9"/>
      <x:c r="H944" s="9"/>
    </x:row>
    <x:row r="945" ht="22" customHeight="1">
      <x:c r="A945" s="11"/>
      <x:c r="B945" s="9"/>
      <x:c r="C945" s="9"/>
      <x:c r="D945" s="9"/>
      <x:c r="E945" s="15"/>
      <x:c r="F945" s="15"/>
      <x:c r="G945" s="9"/>
      <x:c r="H945" s="9"/>
    </x:row>
    <x:row r="946" ht="22" customHeight="1">
      <x:c r="A946" s="11"/>
      <x:c r="B946" s="9"/>
      <x:c r="C946" s="9"/>
      <x:c r="D946" s="9"/>
      <x:c r="E946" s="15"/>
      <x:c r="F946" s="15"/>
      <x:c r="G946" s="9"/>
      <x:c r="H946" s="9"/>
    </x:row>
    <x:row r="947" ht="22" customHeight="1">
      <x:c r="A947" s="11"/>
      <x:c r="B947" s="9"/>
      <x:c r="C947" s="9"/>
      <x:c r="D947" s="9"/>
      <x:c r="E947" s="15"/>
      <x:c r="F947" s="15"/>
      <x:c r="G947" s="9"/>
      <x:c r="H947" s="9"/>
    </x:row>
    <x:row r="948" ht="22" customHeight="1">
      <x:c r="A948" s="11"/>
      <x:c r="B948" s="9"/>
      <x:c r="C948" s="9"/>
      <x:c r="D948" s="9"/>
      <x:c r="E948" s="15"/>
      <x:c r="F948" s="15"/>
      <x:c r="G948" s="9"/>
      <x:c r="H948" s="9"/>
    </x:row>
    <x:row r="949" ht="22" customHeight="1">
      <x:c r="A949" s="11"/>
      <x:c r="B949" s="9"/>
      <x:c r="C949" s="9"/>
      <x:c r="D949" s="9"/>
      <x:c r="E949" s="15"/>
      <x:c r="F949" s="15"/>
      <x:c r="G949" s="9"/>
      <x:c r="H949" s="9"/>
    </x:row>
    <x:row r="950" ht="22" customHeight="1">
      <x:c r="A950" s="11"/>
      <x:c r="B950" s="9"/>
      <x:c r="C950" s="9"/>
      <x:c r="D950" s="9"/>
      <x:c r="E950" s="15"/>
      <x:c r="F950" s="15"/>
      <x:c r="G950" s="9"/>
      <x:c r="H950" s="9"/>
    </x:row>
    <x:row r="951" ht="22" customHeight="1">
      <x:c r="A951" s="11"/>
      <x:c r="B951" s="9"/>
      <x:c r="C951" s="9"/>
      <x:c r="D951" s="9"/>
      <x:c r="E951" s="15"/>
      <x:c r="F951" s="15"/>
      <x:c r="G951" s="9"/>
      <x:c r="H951" s="9"/>
    </x:row>
    <x:row r="952" ht="22" customHeight="1">
      <x:c r="A952" s="11"/>
      <x:c r="B952" s="9"/>
      <x:c r="C952" s="9"/>
      <x:c r="D952" s="9"/>
      <x:c r="E952" s="15"/>
      <x:c r="F952" s="15"/>
      <x:c r="G952" s="9"/>
      <x:c r="H952" s="9"/>
    </x:row>
    <x:row r="953" ht="22" customHeight="1">
      <x:c r="A953" s="11"/>
      <x:c r="B953" s="9"/>
      <x:c r="C953" s="9"/>
      <x:c r="D953" s="9"/>
      <x:c r="E953" s="15"/>
      <x:c r="F953" s="15"/>
      <x:c r="G953" s="9"/>
      <x:c r="H953" s="9"/>
    </x:row>
    <x:row r="954" ht="22" customHeight="1">
      <x:c r="A954" s="11"/>
      <x:c r="B954" s="9"/>
      <x:c r="C954" s="9"/>
      <x:c r="D954" s="9"/>
      <x:c r="E954" s="15"/>
      <x:c r="F954" s="15"/>
      <x:c r="G954" s="9"/>
      <x:c r="H954" s="9"/>
    </x:row>
    <x:row r="955" ht="22" customHeight="1">
      <x:c r="A955" s="11"/>
      <x:c r="B955" s="9"/>
      <x:c r="C955" s="9"/>
      <x:c r="D955" s="9"/>
      <x:c r="E955" s="15"/>
      <x:c r="F955" s="15"/>
      <x:c r="G955" s="9"/>
      <x:c r="H955" s="9"/>
    </x:row>
    <x:row r="956" ht="22" customHeight="1">
      <x:c r="A956" s="11"/>
      <x:c r="B956" s="9"/>
      <x:c r="C956" s="9"/>
      <x:c r="D956" s="9"/>
      <x:c r="E956" s="15"/>
      <x:c r="F956" s="15"/>
      <x:c r="G956" s="9"/>
      <x:c r="H956" s="9"/>
    </x:row>
    <x:row r="957" ht="22" customHeight="1">
      <x:c r="A957" s="11"/>
      <x:c r="B957" s="9"/>
      <x:c r="C957" s="9"/>
      <x:c r="D957" s="9"/>
      <x:c r="E957" s="15"/>
      <x:c r="F957" s="15"/>
      <x:c r="G957" s="9"/>
      <x:c r="H957" s="9"/>
    </x:row>
    <x:row r="958" ht="22" customHeight="1">
      <x:c r="A958" s="11"/>
      <x:c r="B958" s="9"/>
      <x:c r="C958" s="9"/>
      <x:c r="D958" s="9"/>
      <x:c r="E958" s="15"/>
      <x:c r="F958" s="15"/>
      <x:c r="G958" s="9"/>
      <x:c r="H958" s="9"/>
    </x:row>
    <x:row r="959" ht="22" customHeight="1">
      <x:c r="A959" s="11"/>
      <x:c r="B959" s="9"/>
      <x:c r="C959" s="9"/>
      <x:c r="D959" s="9"/>
      <x:c r="E959" s="15"/>
      <x:c r="F959" s="15"/>
      <x:c r="G959" s="9"/>
      <x:c r="H959" s="9"/>
    </x:row>
    <x:row r="960" ht="22" customHeight="1">
      <x:c r="A960" s="11"/>
      <x:c r="B960" s="9"/>
      <x:c r="C960" s="9"/>
      <x:c r="D960" s="9"/>
      <x:c r="E960" s="15"/>
      <x:c r="F960" s="15"/>
      <x:c r="G960" s="9"/>
      <x:c r="H960" s="9"/>
    </x:row>
    <x:row r="961" ht="22" customHeight="1">
      <x:c r="A961" s="11"/>
      <x:c r="B961" s="9"/>
      <x:c r="C961" s="9"/>
      <x:c r="D961" s="9"/>
      <x:c r="E961" s="15"/>
      <x:c r="F961" s="15"/>
      <x:c r="G961" s="9"/>
      <x:c r="H961" s="9"/>
    </x:row>
    <x:row r="962" ht="22" customHeight="1">
      <x:c r="A962" s="11"/>
      <x:c r="B962" s="9"/>
      <x:c r="C962" s="9"/>
      <x:c r="D962" s="9"/>
      <x:c r="E962" s="15"/>
      <x:c r="F962" s="15"/>
      <x:c r="G962" s="9"/>
      <x:c r="H962" s="9"/>
    </x:row>
    <x:row r="963" ht="22" customHeight="1">
      <x:c r="A963" s="11"/>
      <x:c r="B963" s="9"/>
      <x:c r="C963" s="9"/>
      <x:c r="D963" s="9"/>
      <x:c r="E963" s="15"/>
      <x:c r="F963" s="15"/>
      <x:c r="G963" s="9"/>
      <x:c r="H963" s="9"/>
    </x:row>
    <x:row r="964" ht="22" customHeight="1">
      <x:c r="A964" s="11"/>
      <x:c r="B964" s="9"/>
      <x:c r="C964" s="9"/>
      <x:c r="D964" s="9"/>
      <x:c r="E964" s="15"/>
      <x:c r="F964" s="15"/>
      <x:c r="G964" s="9"/>
      <x:c r="H964" s="9"/>
    </x:row>
    <x:row r="965" ht="22" customHeight="1">
      <x:c r="A965" s="11"/>
      <x:c r="B965" s="9"/>
      <x:c r="C965" s="9"/>
      <x:c r="D965" s="9"/>
      <x:c r="E965" s="15"/>
      <x:c r="F965" s="15"/>
      <x:c r="G965" s="9"/>
      <x:c r="H965" s="9"/>
    </x:row>
    <x:row r="966" ht="22" customHeight="1">
      <x:c r="A966" s="11"/>
      <x:c r="B966" s="9"/>
      <x:c r="C966" s="9"/>
      <x:c r="D966" s="9"/>
      <x:c r="E966" s="15"/>
      <x:c r="F966" s="15"/>
      <x:c r="G966" s="9"/>
      <x:c r="H966" s="9"/>
    </x:row>
    <x:row r="967" ht="22" customHeight="1">
      <x:c r="A967" s="11"/>
      <x:c r="B967" s="9"/>
      <x:c r="C967" s="9"/>
      <x:c r="D967" s="9"/>
      <x:c r="E967" s="15"/>
      <x:c r="F967" s="15"/>
      <x:c r="G967" s="9"/>
      <x:c r="H967" s="9"/>
    </x:row>
    <x:row r="968" ht="22" customHeight="1">
      <x:c r="A968" s="11"/>
      <x:c r="B968" s="9"/>
      <x:c r="C968" s="9"/>
      <x:c r="D968" s="9"/>
      <x:c r="E968" s="15"/>
      <x:c r="F968" s="15"/>
      <x:c r="G968" s="9"/>
      <x:c r="H968" s="9"/>
    </x:row>
    <x:row r="969" ht="22" customHeight="1">
      <x:c r="A969" s="11"/>
      <x:c r="B969" s="9"/>
      <x:c r="C969" s="9"/>
      <x:c r="D969" s="9"/>
      <x:c r="E969" s="15"/>
      <x:c r="F969" s="15"/>
      <x:c r="G969" s="9"/>
      <x:c r="H969" s="9"/>
    </x:row>
    <x:row r="970" ht="22" customHeight="1">
      <x:c r="A970" s="11"/>
      <x:c r="B970" s="9"/>
      <x:c r="C970" s="9"/>
      <x:c r="D970" s="9"/>
      <x:c r="E970" s="15"/>
      <x:c r="F970" s="15"/>
      <x:c r="G970" s="9"/>
      <x:c r="H970" s="9"/>
    </x:row>
    <x:row r="971" ht="22" customHeight="1">
      <x:c r="A971" s="11"/>
      <x:c r="B971" s="9"/>
      <x:c r="C971" s="9"/>
      <x:c r="D971" s="9"/>
      <x:c r="E971" s="15"/>
      <x:c r="F971" s="15"/>
      <x:c r="G971" s="9"/>
      <x:c r="H971" s="9"/>
    </x:row>
    <x:row r="972" ht="22" customHeight="1">
      <x:c r="A972" s="11"/>
      <x:c r="B972" s="9"/>
      <x:c r="C972" s="9"/>
      <x:c r="D972" s="9"/>
      <x:c r="E972" s="15"/>
      <x:c r="F972" s="15"/>
      <x:c r="G972" s="9"/>
      <x:c r="H972" s="9"/>
    </x:row>
    <x:row r="973" ht="22" customHeight="1">
      <x:c r="A973" s="11"/>
      <x:c r="B973" s="9"/>
      <x:c r="C973" s="9"/>
      <x:c r="D973" s="9"/>
      <x:c r="E973" s="15"/>
      <x:c r="F973" s="15"/>
      <x:c r="G973" s="9"/>
      <x:c r="H973" s="9"/>
    </x:row>
    <x:row r="974" ht="22" customHeight="1">
      <x:c r="A974" s="11"/>
      <x:c r="B974" s="9"/>
      <x:c r="C974" s="9"/>
      <x:c r="D974" s="9"/>
      <x:c r="E974" s="15"/>
      <x:c r="F974" s="15"/>
      <x:c r="G974" s="9"/>
      <x:c r="H974" s="9"/>
    </x:row>
    <x:row r="975" ht="22" customHeight="1">
      <x:c r="A975" s="11"/>
      <x:c r="B975" s="9"/>
      <x:c r="C975" s="9"/>
      <x:c r="D975" s="9"/>
      <x:c r="E975" s="15"/>
      <x:c r="F975" s="15"/>
      <x:c r="G975" s="9"/>
      <x:c r="H975" s="9"/>
    </x:row>
    <x:row r="976" ht="22" customHeight="1">
      <x:c r="A976" s="11"/>
      <x:c r="B976" s="9"/>
      <x:c r="C976" s="9"/>
      <x:c r="D976" s="9"/>
      <x:c r="E976" s="15"/>
      <x:c r="F976" s="15"/>
      <x:c r="G976" s="9"/>
      <x:c r="H976" s="9"/>
    </x:row>
    <x:row r="977" ht="22" customHeight="1">
      <x:c r="A977" s="11"/>
      <x:c r="B977" s="9"/>
      <x:c r="C977" s="9"/>
      <x:c r="D977" s="9"/>
      <x:c r="E977" s="15"/>
      <x:c r="F977" s="15"/>
      <x:c r="G977" s="9"/>
      <x:c r="H977" s="9"/>
    </x:row>
    <x:row r="978" ht="22" customHeight="1">
      <x:c r="A978" s="11"/>
      <x:c r="B978" s="9"/>
      <x:c r="C978" s="9"/>
      <x:c r="D978" s="9"/>
      <x:c r="E978" s="15"/>
      <x:c r="F978" s="15"/>
      <x:c r="G978" s="9"/>
      <x:c r="H978" s="9"/>
    </x:row>
    <x:row r="979" ht="22" customHeight="1">
      <x:c r="A979" s="11"/>
      <x:c r="B979" s="9"/>
      <x:c r="C979" s="9"/>
      <x:c r="D979" s="9"/>
      <x:c r="E979" s="15"/>
      <x:c r="F979" s="15"/>
      <x:c r="G979" s="9"/>
      <x:c r="H979" s="9"/>
    </x:row>
    <x:row r="980" ht="22" customHeight="1">
      <x:c r="A980" s="11"/>
      <x:c r="B980" s="9"/>
      <x:c r="C980" s="9"/>
      <x:c r="D980" s="9"/>
      <x:c r="E980" s="15"/>
      <x:c r="F980" s="15"/>
      <x:c r="G980" s="9"/>
      <x:c r="H980" s="9"/>
    </x:row>
    <x:row r="981" ht="22" customHeight="1">
      <x:c r="A981" s="11"/>
      <x:c r="B981" s="9"/>
      <x:c r="C981" s="9"/>
      <x:c r="D981" s="9"/>
      <x:c r="E981" s="15"/>
      <x:c r="F981" s="15"/>
      <x:c r="G981" s="9"/>
      <x:c r="H981" s="9"/>
    </x:row>
    <x:row r="982" ht="22" customHeight="1">
      <x:c r="A982" s="11"/>
      <x:c r="B982" s="9"/>
      <x:c r="C982" s="9"/>
      <x:c r="D982" s="9"/>
      <x:c r="E982" s="15"/>
      <x:c r="F982" s="15"/>
      <x:c r="G982" s="9"/>
      <x:c r="H982" s="9"/>
    </x:row>
    <x:row r="983" ht="22" customHeight="1">
      <x:c r="A983" s="11"/>
      <x:c r="B983" s="9"/>
      <x:c r="C983" s="9"/>
      <x:c r="D983" s="9"/>
      <x:c r="E983" s="15"/>
      <x:c r="F983" s="15"/>
      <x:c r="G983" s="9"/>
      <x:c r="H983" s="9"/>
    </x:row>
    <x:row r="984" ht="22" customHeight="1">
      <x:c r="A984" s="11"/>
      <x:c r="B984" s="9"/>
      <x:c r="C984" s="9"/>
      <x:c r="D984" s="9"/>
      <x:c r="E984" s="15"/>
      <x:c r="F984" s="15"/>
      <x:c r="G984" s="9"/>
      <x:c r="H984" s="9"/>
    </x:row>
    <x:row r="985" ht="22" customHeight="1">
      <x:c r="A985" s="11"/>
      <x:c r="B985" s="9"/>
      <x:c r="C985" s="9"/>
      <x:c r="D985" s="9"/>
      <x:c r="E985" s="15"/>
      <x:c r="F985" s="15"/>
      <x:c r="G985" s="9"/>
      <x:c r="H985" s="9"/>
    </x:row>
    <x:row r="986" ht="22" customHeight="1">
      <x:c r="A986" s="11"/>
      <x:c r="B986" s="9"/>
      <x:c r="C986" s="9"/>
      <x:c r="D986" s="9"/>
      <x:c r="E986" s="15"/>
      <x:c r="F986" s="15"/>
      <x:c r="G986" s="9"/>
      <x:c r="H986" s="9"/>
    </x:row>
    <x:row r="987" ht="22" customHeight="1">
      <x:c r="A987" s="11"/>
      <x:c r="B987" s="9"/>
      <x:c r="C987" s="9"/>
      <x:c r="D987" s="9"/>
      <x:c r="E987" s="15"/>
      <x:c r="F987" s="15"/>
      <x:c r="G987" s="9"/>
      <x:c r="H987" s="9"/>
    </x:row>
    <x:row r="988" ht="22" customHeight="1">
      <x:c r="A988" s="11"/>
      <x:c r="B988" s="9"/>
      <x:c r="C988" s="9"/>
      <x:c r="D988" s="9"/>
      <x:c r="E988" s="15"/>
      <x:c r="F988" s="15"/>
      <x:c r="G988" s="9"/>
      <x:c r="H988" s="9"/>
    </x:row>
    <x:row r="989" ht="22" customHeight="1">
      <x:c r="A989" s="11"/>
      <x:c r="B989" s="9"/>
      <x:c r="C989" s="9"/>
      <x:c r="D989" s="9"/>
      <x:c r="E989" s="15"/>
      <x:c r="F989" s="15"/>
      <x:c r="G989" s="9"/>
      <x:c r="H989" s="9"/>
    </x:row>
    <x:row r="990" ht="22" customHeight="1">
      <x:c r="A990" s="11"/>
      <x:c r="B990" s="9"/>
      <x:c r="C990" s="9"/>
      <x:c r="D990" s="9"/>
      <x:c r="E990" s="15"/>
      <x:c r="F990" s="15"/>
      <x:c r="G990" s="9"/>
      <x:c r="H990" s="9"/>
    </x:row>
    <x:row r="991" ht="22" customHeight="1">
      <x:c r="A991" s="11"/>
      <x:c r="B991" s="9"/>
      <x:c r="C991" s="9"/>
      <x:c r="D991" s="9"/>
      <x:c r="E991" s="15"/>
      <x:c r="F991" s="15"/>
      <x:c r="G991" s="9"/>
      <x:c r="H991" s="9"/>
    </x:row>
    <x:row r="992" ht="22" customHeight="1">
      <x:c r="A992" s="11"/>
      <x:c r="B992" s="9"/>
      <x:c r="C992" s="9"/>
      <x:c r="D992" s="9"/>
      <x:c r="E992" s="15"/>
      <x:c r="F992" s="15"/>
      <x:c r="G992" s="9"/>
      <x:c r="H992" s="9"/>
    </x:row>
    <x:row r="993" ht="22" customHeight="1">
      <x:c r="A993" s="11"/>
      <x:c r="B993" s="9"/>
      <x:c r="C993" s="9"/>
      <x:c r="D993" s="9"/>
      <x:c r="E993" s="15"/>
      <x:c r="F993" s="15"/>
      <x:c r="G993" s="9"/>
      <x:c r="H993" s="9"/>
    </x:row>
    <x:row r="994" ht="22" customHeight="1">
      <x:c r="A994" s="11"/>
      <x:c r="B994" s="9"/>
      <x:c r="C994" s="9"/>
      <x:c r="D994" s="9"/>
      <x:c r="E994" s="15"/>
      <x:c r="F994" s="15"/>
      <x:c r="G994" s="9"/>
      <x:c r="H994" s="9"/>
    </x:row>
    <x:row r="995" ht="22" customHeight="1">
      <x:c r="A995" s="11"/>
      <x:c r="B995" s="9"/>
      <x:c r="C995" s="9"/>
      <x:c r="D995" s="9"/>
      <x:c r="E995" s="15"/>
      <x:c r="F995" s="15"/>
      <x:c r="G995" s="9"/>
      <x:c r="H995" s="9"/>
    </x:row>
    <x:row r="996" ht="22" customHeight="1">
      <x:c r="A996" s="11"/>
      <x:c r="B996" s="9"/>
      <x:c r="C996" s="9"/>
      <x:c r="D996" s="9"/>
      <x:c r="E996" s="15"/>
      <x:c r="F996" s="15"/>
      <x:c r="G996" s="9"/>
      <x:c r="H996" s="9"/>
    </x:row>
    <x:row r="997" ht="22" customHeight="1">
      <x:c r="A997" s="11"/>
      <x:c r="B997" s="9"/>
      <x:c r="C997" s="9"/>
      <x:c r="D997" s="9"/>
      <x:c r="E997" s="15"/>
      <x:c r="F997" s="15"/>
      <x:c r="G997" s="9"/>
      <x:c r="H997" s="9"/>
    </x:row>
    <x:row r="998" ht="22" customHeight="1">
      <x:c r="A998" s="11"/>
      <x:c r="B998" s="9"/>
      <x:c r="C998" s="9"/>
      <x:c r="D998" s="9"/>
      <x:c r="E998" s="15"/>
      <x:c r="F998" s="15"/>
      <x:c r="G998" s="9"/>
      <x:c r="H998" s="9"/>
    </x:row>
    <x:row r="999" ht="22" customHeight="1">
      <x:c r="A999" s="11"/>
      <x:c r="B999" s="9"/>
      <x:c r="C999" s="9"/>
      <x:c r="D999" s="9"/>
      <x:c r="E999" s="15"/>
      <x:c r="F999" s="15"/>
      <x:c r="G999" s="9"/>
      <x:c r="H999" s="9"/>
    </x:row>
    <x:row r="1000" ht="22" customHeight="1">
      <x:c r="A1000" s="11"/>
      <x:c r="B1000" s="9"/>
      <x:c r="C1000" s="9"/>
      <x:c r="D1000" s="9"/>
      <x:c r="E1000" s="15"/>
      <x:c r="F1000" s="15"/>
      <x:c r="G1000" s="9"/>
      <x:c r="H1000" s="9"/>
    </x:row>
    <x:row r="1001" ht="22" customHeight="1">
      <x:c r="A1001" s="11"/>
      <x:c r="B1001" s="9"/>
      <x:c r="C1001" s="9"/>
      <x:c r="D1001" s="9"/>
      <x:c r="E1001" s="15"/>
      <x:c r="F1001" s="15"/>
      <x:c r="G1001" s="9"/>
      <x:c r="H1001" s="9"/>
    </x:row>
    <x:row r="1002" ht="22" customHeight="1">
      <x:c r="A1002" s="11"/>
      <x:c r="B1002" s="9"/>
      <x:c r="C1002" s="9"/>
      <x:c r="D1002" s="9"/>
      <x:c r="E1002" s="15"/>
      <x:c r="F1002" s="15"/>
      <x:c r="G1002" s="9"/>
      <x:c r="H1002" s="9"/>
    </x:row>
    <x:row r="1003" ht="22" customHeight="1">
      <x:c r="A1003" s="11"/>
      <x:c r="B1003" s="9"/>
      <x:c r="C1003" s="9"/>
      <x:c r="D1003" s="9"/>
      <x:c r="E1003" s="15"/>
      <x:c r="F1003" s="15"/>
      <x:c r="G1003" s="9"/>
      <x:c r="H1003" s="9"/>
    </x:row>
    <x:row r="1004" ht="22" customHeight="1">
      <x:c r="A1004" s="11"/>
      <x:c r="B1004" s="9"/>
      <x:c r="C1004" s="9"/>
      <x:c r="D1004" s="9"/>
      <x:c r="E1004" s="15"/>
      <x:c r="F1004" s="15"/>
      <x:c r="G1004" s="9"/>
      <x:c r="H1004" s="9"/>
    </x:row>
    <x:row r="1005" ht="22" customHeight="1">
      <x:c r="A1005" s="11"/>
      <x:c r="B1005" s="9"/>
      <x:c r="C1005" s="9"/>
      <x:c r="D1005" s="9"/>
      <x:c r="E1005" s="15"/>
      <x:c r="F1005" s="15"/>
      <x:c r="G1005" s="9"/>
      <x:c r="H1005" s="9"/>
    </x:row>
    <x:row r="1006" ht="22" customHeight="1">
      <x:c r="A1006" s="11"/>
      <x:c r="B1006" s="9"/>
      <x:c r="C1006" s="9"/>
      <x:c r="D1006" s="9"/>
      <x:c r="E1006" s="15"/>
      <x:c r="F1006" s="15"/>
      <x:c r="G1006" s="9"/>
      <x:c r="H1006" s="9"/>
    </x:row>
  </x:sheetData>
  <x:mergeCells>
    <x:mergeCell ref="A4:H4"/>
  </x:mergeCells>
  <x:dataValidations count="1">
    <x:dataValidation type="list" sqref="C7:C1006">
      <x:formula1>"Activo,Deuda"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2d9227681fb4a2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0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Cómo completar el auxiliar</x:v>
      </x:c>
      <x:c r="B2" s="2"/>
      <x:c r="C2" s="2"/>
      <x:c r="D2" s="2"/>
      <x:c r="E2" s="2"/>
      <x:c r="F2" s="2"/>
      <x:c r="G2" s="2"/>
      <x:c r="H2" s="2"/>
    </x:row>
    <x:row r="3">
      <x:c r="A3" s="4"/>
      <x:c r="B3" s="4"/>
      <x:c r="C3" s="4"/>
      <x:c r="D3" s="4"/>
      <x:c r="E3" s="4"/>
      <x:c r="F3" s="4"/>
      <x:c r="G3" s="4"/>
      <x:c r="H3" s="4"/>
    </x:row>
    <x:row r="4">
      <x:c r="A4" s="2"/>
      <x:c r="B4" s="2"/>
      <x:c r="C4" s="2"/>
      <x:c r="D4" s="2"/>
      <x:c r="E4" s="2"/>
      <x:c r="F4" s="2"/>
      <x:c r="G4" s="2"/>
      <x:c r="H4" s="2"/>
    </x:row>
    <x:row r="5">
      <x:c r="A5" s="6" t="str">
        <x:v>Tema</x:v>
      </x:c>
      <x:c r="B5" s="6" t="str">
        <x:v>Instrucción</x:v>
      </x:c>
      <x:c r="C5" s="2"/>
      <x:c r="D5" s="2"/>
      <x:c r="E5" s="2"/>
      <x:c r="F5" s="2"/>
      <x:c r="G5" s="2"/>
      <x:c r="H5" s="2"/>
    </x:row>
    <x:row r="6" ht="48" customHeight="1">
      <x:c r="A6" s="30" t="str">
        <x:v>Uso</x:v>
      </x:c>
      <x:c r="B6" s="18" t="str">
        <x:v>Auxiliar del negocio para revisión contable. No es Formulario 210/110, no presenta una declaración ni calcula impuesto.</x:v>
      </x:c>
      <x:c r="C6" s="2"/>
      <x:c r="D6" s="2"/>
      <x:c r="E6" s="2"/>
      <x:c r="F6" s="2"/>
      <x:c r="G6" s="2"/>
      <x:c r="H6" s="2"/>
    </x:row>
    <x:row r="7" ht="48" customHeight="1">
      <x:c r="A7" s="30" t="str">
        <x:v>Identidad tributaria</x:v>
      </x:c>
      <x:c r="B7" s="18" t="str">
        <x:v>Confirmar contribuyente, RUT, tipo de persona, residencia, régimen y año gravable con el contador antes de elegir formulario.</x:v>
      </x:c>
      <x:c r="C7" s="2"/>
      <x:c r="D7" s="2"/>
      <x:c r="E7" s="2"/>
      <x:c r="F7" s="2"/>
      <x:c r="G7" s="2"/>
      <x:c r="H7" s="2"/>
    </x:row>
    <x:row r="8" ht="48" customHeight="1">
      <x:c r="A8" s="30" t="str">
        <x:v>Ventas</x:v>
      </x:c>
      <x:c r="B8" s="18" t="str">
        <x:v>Una línea por producto/presentación. Fecha local America/Bogota, IDs estables, pagada o anulada. Excluir registros de ensayo o DEMO de una declaración fiscal.</x:v>
      </x:c>
      <x:c r="C8" s="2"/>
      <x:c r="D8" s="2"/>
      <x:c r="E8" s="2"/>
      <x:c r="F8" s="2"/>
      <x:c r="G8" s="2"/>
      <x:c r="H8" s="2"/>
    </x:row>
    <x:row r="9" ht="48" customHeight="1">
      <x:c r="A9" s="30" t="str">
        <x:v>Costos</x:v>
      </x:c>
      <x:c r="B9" s="18" t="str">
        <x:v>Usar el snapshot del costo al vender. Nunca sustituir por costo actual ni inferir un margen de 10%. Blanco significa desconocido.</x:v>
      </x:c>
      <x:c r="C9" s="2"/>
      <x:c r="D9" s="2"/>
      <x:c r="E9" s="2"/>
      <x:c r="F9" s="2"/>
      <x:c r="G9" s="2"/>
      <x:c r="H9" s="2"/>
    </x:row>
    <x:row r="10" ht="48" customHeight="1">
      <x:c r="A10" s="30" t="str">
        <x:v>Pagos</x:v>
      </x:c>
      <x:c r="B10" s="18" t="str">
        <x:v>El efectivo corresponde a la venta, no al billete recibido: restar el cambio. Esta versión solo cubre contado efectivo/transferencia Bodega.</x:v>
      </x:c>
      <x:c r="C10" s="2"/>
      <x:c r="D10" s="2"/>
      <x:c r="E10" s="2"/>
      <x:c r="F10" s="2"/>
      <x:c r="G10" s="2"/>
      <x:c r="H10" s="2"/>
    </x:row>
    <x:row r="11" ht="48" customHeight="1">
      <x:c r="A11" s="30" t="str">
        <x:v>Gastos</x:v>
      </x:c>
      <x:c r="B11" s="18" t="str">
        <x:v>Agregar gastos con soportes. Separar compras de inventario y movimientos de tesorería. No deducir compras y costo vendido simultáneamente.</x:v>
      </x:c>
      <x:c r="C11" s="2"/>
      <x:c r="D11" s="2"/>
      <x:c r="E11" s="2"/>
      <x:c r="F11" s="2"/>
      <x:c r="G11" s="2"/>
      <x:c r="H11" s="2"/>
    </x:row>
    <x:row r="12" ht="48" customHeight="1">
      <x:c r="A12" s="30" t="str">
        <x:v>Patrimonio</x:v>
      </x:c>
      <x:c r="B12" s="18" t="str">
        <x:v>Completar saldos al cierre y valores fiscales con soporte. El inventario contable y fiscal y otras rentas no se obtienen solo del POS.</x:v>
      </x:c>
      <x:c r="C12" s="2"/>
      <x:c r="D12" s="2"/>
      <x:c r="E12" s="2"/>
      <x:c r="F12" s="2"/>
      <x:c r="G12" s="2"/>
      <x:c r="H12" s="2"/>
    </x:row>
    <x:row r="13" ht="48" customHeight="1">
      <x:c r="A13" s="30" t="str">
        <x:v>Desgloses</x:v>
      </x:c>
      <x:c r="B13" s="18" t="str">
        <x:v>Escribir cada vendedor una sola vez. Incorporar cada producto/presentación activa una sola vez, incluidos los que nunca se han vendido.</x:v>
      </x:c>
      <x:c r="C13" s="2"/>
      <x:c r="D13" s="2"/>
      <x:c r="E13" s="2"/>
      <x:c r="F13" s="2"/>
      <x:c r="G13" s="2"/>
      <x:c r="H13" s="2"/>
    </x:row>
    <x:row r="14" ht="48" customHeight="1">
      <x:c r="A14" s="30" t="str">
        <x:v>Límite de plantilla</x:v>
      </x:c>
      <x:c r="B14" s="18" t="str">
        <x:v>Ventas, Gastos y Patrimonio: 1.000 filas. Desgloses: 50 vendedores y 200 presentaciones. Ampliar fórmulas/rangos antes de excederlos.</x:v>
      </x:c>
      <x:c r="C14" s="2"/>
      <x:c r="D14" s="2"/>
      <x:c r="E14" s="2"/>
      <x:c r="F14" s="2"/>
      <x:c r="G14" s="2"/>
      <x:c r="H14" s="2"/>
    </x:row>
    <x:row r="15" ht="48" customHeight="1">
      <x:c r="A15" s="30" t="str">
        <x:v>Control</x:v>
      </x:c>
      <x:c r="B15" s="18" t="str">
        <x:v>Comprobar duplicados, integridad de los costos, total de medios contra cobro, soportes, anulaciones y que no falten registros del año. No sumar tenencias con movimientos.</x:v>
      </x:c>
      <x:c r="C15" s="2"/>
      <x:c r="D15" s="2"/>
      <x:c r="E15" s="2"/>
      <x:c r="F15" s="2"/>
      <x:c r="G15" s="2"/>
      <x:c r="H15" s="2"/>
    </x:row>
    <x:row r="16" ht="48" customHeight="1">
      <x:c r="A16" s="30" t="str">
        <x:v>Revisión tributaria</x:v>
      </x:c>
      <x:c r="B16" s="18" t="str">
        <x:v>Completar retenciones, anticipos, otras rentas, deducciones y conciliaciones contable/fiscal fuera de este auxiliar según el régimen aplicable.</x:v>
      </x:c>
      <x:c r="C16" s="2"/>
      <x:c r="D16" s="2"/>
      <x:c r="E16" s="2"/>
      <x:c r="F16" s="2"/>
      <x:c r="G16" s="2"/>
      <x:c r="H16" s="2"/>
    </x:row>
    <x:row r="17">
      <x:c r="A17" s="2"/>
      <x:c r="B17" s="2"/>
      <x:c r="C17" s="2"/>
      <x:c r="D17" s="2"/>
      <x:c r="E17" s="2"/>
      <x:c r="F17" s="2"/>
      <x:c r="G17" s="2"/>
      <x:c r="H17" s="2"/>
    </x:row>
    <x:row r="18">
      <x:c r="A18" s="2"/>
      <x:c r="B18" s="2"/>
      <x:c r="C18" s="2"/>
      <x:c r="D18" s="2"/>
      <x:c r="E18" s="2"/>
      <x:c r="F18" s="2"/>
      <x:c r="G18" s="2"/>
      <x:c r="H18" s="2"/>
    </x:row>
    <x:row r="19">
      <x:c r="A19" s="2" t="str">
        <x:v>Fuentes oficiales consultadas</x:v>
      </x:c>
      <x:c r="B19" s="2" t="str">
        <x:v>26/10/2026</x:v>
      </x:c>
      <x:c r="C19" s="2"/>
      <x:c r="D19" s="2"/>
      <x:c r="E19" s="2"/>
      <x:c r="F19" s="2"/>
      <x:c r="G19" s="2"/>
      <x:c r="H19" s="2"/>
    </x:row>
    <x:row r="20">
      <x:c r="A20" s="2" t="str">
        <x:v>DIAN · Personas naturales</x:v>
      </x:c>
      <x:c r="B20" s="2" t="str">
        <x:v>https://micrositios.dian.gov.co/renta-personas-naturales-ag-2025/como-hacer-su-declaracion/</x:v>
      </x:c>
      <x:c r="C20" s="2"/>
      <x:c r="D20" s="2"/>
      <x:c r="E20" s="2"/>
      <x:c r="F20" s="2"/>
      <x:c r="G20" s="2"/>
      <x:c r="H20" s="2"/>
    </x:row>
    <x:row r="21">
      <x:c r="A21" s="2" t="str">
        <x:v>DIAN · Personas jurídicas</x:v>
      </x:c>
      <x:c r="B21" s="2" t="str">
        <x:v>https://www.dian.gov.co/impuestos/sociedades/Paginas/Renta-personas-juridicas.aspx</x:v>
      </x:c>
      <x:c r="C21" s="2"/>
      <x:c r="D21" s="2"/>
      <x:c r="E21" s="2"/>
      <x:c r="F21" s="2"/>
      <x:c r="G21" s="2"/>
      <x:c r="H21" s="2"/>
    </x:row>
    <x:row r="22">
      <x:c r="A22" s="2"/>
      <x:c r="B22" s="2"/>
      <x:c r="C22" s="2"/>
      <x:c r="D22" s="2"/>
      <x:c r="E22" s="2"/>
      <x:c r="F22" s="2"/>
      <x:c r="G22" s="2"/>
      <x:c r="H22" s="2"/>
    </x:row>
    <x:row r="23">
      <x:c r="A23" s="2"/>
      <x:c r="B23" s="2"/>
      <x:c r="C23" s="2"/>
      <x:c r="D23" s="2"/>
      <x:c r="E23" s="2"/>
      <x:c r="F23" s="2"/>
      <x:c r="G23" s="2"/>
      <x:c r="H23" s="2"/>
    </x:row>
    <x:row r="24">
      <x:c r="A24" s="2"/>
      <x:c r="B24" s="2"/>
      <x:c r="C24" s="2"/>
      <x:c r="D24" s="2"/>
      <x:c r="E24" s="2"/>
      <x:c r="F24" s="2"/>
      <x:c r="G24" s="2"/>
      <x:c r="H24" s="2"/>
    </x:row>
    <x:row r="25">
      <x:c r="A25" s="2"/>
      <x:c r="B25" s="2"/>
      <x:c r="C25" s="2"/>
      <x:c r="D25" s="2"/>
      <x:c r="E25" s="2"/>
      <x:c r="F25" s="2"/>
      <x:c r="G25" s="2"/>
      <x:c r="H25" s="2"/>
    </x:row>
    <x:row r="26">
      <x:c r="A26" s="2"/>
      <x:c r="B26" s="2"/>
      <x:c r="C26" s="2"/>
      <x:c r="D26" s="2"/>
      <x:c r="E26" s="2"/>
      <x:c r="F26" s="2"/>
      <x:c r="G26" s="2"/>
      <x:c r="H26" s="2"/>
    </x:row>
    <x:row r="27">
      <x:c r="A27" s="2"/>
      <x:c r="B27" s="2"/>
      <x:c r="C27" s="2"/>
      <x:c r="D27" s="2"/>
      <x:c r="E27" s="2"/>
      <x:c r="F27" s="2"/>
      <x:c r="G27" s="2"/>
      <x:c r="H27" s="2"/>
    </x:row>
    <x:row r="28">
      <x:c r="A28" s="2"/>
      <x:c r="B28" s="2"/>
      <x:c r="C28" s="2"/>
      <x:c r="D28" s="2"/>
      <x:c r="E28" s="2"/>
      <x:c r="F28" s="2"/>
      <x:c r="G28" s="2"/>
      <x:c r="H28" s="2"/>
    </x:row>
    <x:row r="29">
      <x:c r="A29" s="2"/>
      <x:c r="B29" s="2"/>
      <x:c r="C29" s="2"/>
      <x:c r="D29" s="2"/>
      <x:c r="E29" s="2"/>
      <x:c r="F29" s="2"/>
      <x:c r="G29" s="2"/>
      <x:c r="H29" s="2"/>
    </x:row>
    <x:row r="30">
      <x:c r="A30" s="2"/>
      <x:c r="B30" s="2"/>
      <x:c r="C30" s="2"/>
      <x:c r="D30" s="2"/>
      <x:c r="E30" s="2"/>
      <x:c r="F30" s="2"/>
      <x:c r="G30" s="2"/>
      <x:c r="H30" s="2"/>
    </x:row>
    <x:row r="31">
      <x:c r="A31" s="2"/>
      <x:c r="B31" s="2"/>
      <x:c r="C31" s="2"/>
      <x:c r="D31" s="2"/>
      <x:c r="E31" s="2"/>
      <x:c r="F31" s="2"/>
      <x:c r="G31" s="2"/>
      <x:c r="H31" s="2"/>
    </x:row>
    <x:row r="32">
      <x:c r="A32" s="2"/>
      <x:c r="B32" s="2"/>
      <x:c r="C32" s="2"/>
      <x:c r="D32" s="2"/>
      <x:c r="E32" s="2"/>
      <x:c r="F32" s="2"/>
      <x:c r="G32" s="2"/>
      <x:c r="H32" s="2"/>
    </x:row>
    <x:row r="33">
      <x:c r="A33" s="2"/>
      <x:c r="B33" s="2"/>
      <x:c r="C33" s="2"/>
      <x:c r="D33" s="2"/>
      <x:c r="E33" s="2"/>
      <x:c r="F33" s="2"/>
      <x:c r="G33" s="2"/>
      <x:c r="H33" s="2"/>
    </x:row>
    <x:row r="34">
      <x:c r="A34" s="2"/>
      <x:c r="B34" s="2"/>
      <x:c r="C34" s="2"/>
      <x:c r="D34" s="2"/>
      <x:c r="E34" s="2"/>
      <x:c r="F34" s="2"/>
      <x:c r="G34" s="2"/>
      <x:c r="H34" s="2"/>
    </x:row>
    <x:row r="35">
      <x:c r="A35" s="2"/>
      <x:c r="B35" s="2"/>
      <x:c r="C35" s="2"/>
      <x:c r="D35" s="2"/>
      <x:c r="E35" s="2"/>
      <x:c r="F35" s="2"/>
      <x:c r="G35" s="2"/>
      <x:c r="H35" s="2"/>
    </x:row>
    <x:row r="36">
      <x:c r="A36" s="2"/>
      <x:c r="B36" s="2"/>
      <x:c r="C36" s="2"/>
      <x:c r="D36" s="2"/>
      <x:c r="E36" s="2"/>
      <x:c r="F36" s="2"/>
      <x:c r="G36" s="2"/>
      <x:c r="H36" s="2"/>
    </x:row>
    <x:row r="37">
      <x:c r="A37" s="2"/>
      <x:c r="B37" s="2"/>
      <x:c r="C37" s="2"/>
      <x:c r="D37" s="2"/>
      <x:c r="E37" s="2"/>
      <x:c r="F37" s="2"/>
      <x:c r="G37" s="2"/>
      <x:c r="H37" s="2"/>
    </x:row>
    <x:row r="38">
      <x:c r="A38" s="2"/>
      <x:c r="B38" s="2"/>
      <x:c r="C38" s="2"/>
      <x:c r="D38" s="2"/>
      <x:c r="E38" s="2"/>
      <x:c r="F38" s="2"/>
      <x:c r="G38" s="2"/>
      <x:c r="H38" s="2"/>
    </x:row>
    <x:row r="39">
      <x:c r="A39" s="2"/>
      <x:c r="B39" s="2"/>
      <x:c r="C39" s="2"/>
      <x:c r="D39" s="2"/>
      <x:c r="E39" s="2"/>
      <x:c r="F39" s="2"/>
      <x:c r="G39" s="2"/>
      <x:c r="H39" s="2"/>
    </x:row>
    <x:row r="40">
      <x:c r="A40" s="2"/>
      <x:c r="B40" s="2"/>
      <x:c r="C40" s="2"/>
      <x:c r="D40" s="2"/>
      <x:c r="E40" s="2"/>
      <x:c r="F40" s="2"/>
      <x:c r="G40" s="2"/>
      <x:c r="H40" s="2"/>
    </x:row>
  </x:sheetData>
  <x:pageMargins left="0.7" right="0.7" top="0.75" bottom="0.75" header="0.3" footer="0.3"/>
</x:worksheet>
</file>