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0c23864e1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c8f91e651d5467d"/>
    <x:sheet xmlns:r="http://schemas.openxmlformats.org/officeDocument/2006/relationships" name="Ventas" sheetId="2" r:id="Rc5d038cf81d34f1b"/>
    <x:sheet xmlns:r="http://schemas.openxmlformats.org/officeDocument/2006/relationships" name="Gastos" sheetId="3" r:id="R5e237c82efeb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;(#,##0);&quot;—&quot;"/>
    <x:numFmt numFmtId="202" formatCode="0"/>
    <x:numFmt numFmtId="203" formatCode="mmm-yy"/>
  </x:numFmts>
  <x:fonts count="9">
    <x:font>
      <x:sz val="11"/>
      <x:name val="Carlito"/>
    </x:font>
    <x:font>
      <x:sz val="10"/>
      <x:color rgb="FF172B4D"/>
      <x:name val="Arial"/>
    </x:font>
    <x:font>
      <x:b/>
      <x:sz val="16"/>
      <x:color rgb="FF142C50"/>
      <x:name val="Arial"/>
    </x:font>
    <x:font>
      <x:i/>
      <x:sz val="10"/>
      <x:color rgb="FF51657A"/>
      <x:name val="Arial"/>
    </x:font>
    <x:font>
      <x:b/>
      <x:sz val="10"/>
      <x:color rgb="FFFFFFFF"/>
      <x:name val="Arial"/>
    </x:font>
    <x:font>
      <x:sz val="10"/>
      <x:color rgb="FF1755A1"/>
      <x:name val="Arial"/>
    </x:font>
    <x:font>
      <x:sz val="11"/>
      <x:color rgb="FF1755A1"/>
      <x:name val="Carlito"/>
    </x:font>
    <x:font>
      <x:sz val="11"/>
      <x:color rgb="FF172B4D"/>
      <x:name val="Carlito"/>
    </x:font>
    <x:font>
      <x:b/>
      <x:sz val="10"/>
      <x:color rgb="FF172B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759"/>
      </x:patternFill>
    </x:fill>
    <x:fill>
      <x:patternFill patternType="solid">
        <x:fgColor rgb="FFE7EFF7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B9CBDD"/>
      </x:bottom>
      <x:diagonal/>
    </x:border>
    <x:border>
      <x:left style="thin">
        <x:color rgb="FFB9CBDD"/>
      </x:left>
      <x:right/>
      <x:top style="thin">
        <x:color rgb="FFB9CBDD"/>
      </x:top>
      <x:bottom style="thin">
        <x:color rgb="FFB9CBDD"/>
      </x:bottom>
      <x:diagonal/>
    </x:border>
    <x:border>
      <x:left/>
      <x:right style="thin">
        <x:color rgb="FFB9CBDD"/>
      </x:right>
      <x:top style="thin">
        <x:color rgb="FFB9CBDD"/>
      </x:top>
      <x:bottom style="thin">
        <x:color rgb="FFB9CBDD"/>
      </x:bottom>
      <x:diagonal/>
    </x:border>
    <x:border>
      <x:left/>
      <x:right/>
      <x:top/>
      <x:bottom style="thin">
        <x:color rgb="FFDCE5EE"/>
      </x:bottom>
      <x:diagonal/>
    </x:border>
    <x:border>
      <x:left/>
      <x:right/>
      <x:top style="thin">
        <x:color rgb="FFDCE5EE"/>
      </x:top>
      <x:bottom style="thin">
        <x:color rgb="FFDCE5EE"/>
      </x:bottom>
      <x:diagonal/>
    </x:border>
    <x:border>
      <x:left/>
      <x:right/>
      <x:top style="thin">
        <x:color rgb="FFDCE5EE"/>
      </x:top>
      <x:bottom style="thin">
        <x:color rgb="FFB9CBDD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200" fontId="5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/>
    <x:xf numFmtId="201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201" fontId="8" fillId="3" borderId="0" xfId="0" applyNumberFormat="1" applyFont="1" applyFill="1" applyBorder="1" applyAlignment="1">
      <x:alignment vertical="center"/>
    </x:xf>
    <x:xf numFmtId="202" fontId="8" fillId="3" borderId="0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 wrapText="1"/>
    </x:xf>
    <x:xf numFmtId="203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201" fontId="8" fillId="3" borderId="6" xfId="0" applyNumberFormat="1" applyFont="1" applyFill="1" applyBorder="1" applyAlignment="1">
      <x:alignment vertical="center"/>
    </x:xf>
    <x:xf numFmtId="202" fontId="8" fillId="3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8B4E00"/>
      </x:font>
      <x:fill>
        <x:patternFill patternType="solid">
          <x:bgColor rgb="FFFF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aa7b66d2c4c07" /><Relationship Type="http://schemas.openxmlformats.org/officeDocument/2006/relationships/theme" Target="/xl/theme/theme1.xml" Id="R51e9a8fe1c0142e9" /><Relationship Type="http://schemas.openxmlformats.org/officeDocument/2006/relationships/sharedStrings" Target="/xl/sharedStrings.xml" Id="R4828c935dcaa47ae" /><Relationship Type="http://schemas.openxmlformats.org/officeDocument/2006/relationships/worksheet" Target="/xl/worksheets/sheet1.xml" Id="R1c8f91e651d5467d" /><Relationship Type="http://schemas.openxmlformats.org/officeDocument/2006/relationships/worksheet" Target="/xl/worksheets/sheet2.xml" Id="Rc5d038cf81d34f1b" /><Relationship Type="http://schemas.openxmlformats.org/officeDocument/2006/relationships/worksheet" Target="/xl/worksheets/sheet3.xml" Id="R5e237c82efeb4ba4" /></Relationships>
</file>

<file path=xl/tables/table1.xml><?xml version="1.0" encoding="utf-8"?>
<x:table xmlns:x="http://schemas.openxmlformats.org/spreadsheetml/2006/main" id="1" name="TablaVentas" displayName="TablaVentas" ref="A6:K506" headerRowCount="1" totalsRowCount="0" totalsRowShown="0">
  <x:autoFilter ref="A6:K506"/>
  <x:tableColumns count="11">
    <x:tableColumn id="1" name="Fecha"/>
    <x:tableColumn id="2" name="Referencia"/>
    <x:tableColumn id="3" name="Estado"/>
    <x:tableColumn id="4" name="Vendedor"/>
    <x:tableColumn id="5" name="Producto o presentación"/>
    <x:tableColumn id="6" name="Medio de pago"/>
    <x:tableColumn id="7" name="Venta COP"/>
    <x:tableColumn id="8" name="Costo histórico COP"/>
    <x:tableColumn id="9" name="Utilidad bruta COP"/>
    <x:tableColumn id="10" name="Costo pendiente"/>
    <x:tableColumn id="11" name="Soporte o no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Gastos" displayName="TablaGastos" ref="A6:F306" headerRowCount="1" totalsRowCount="0" totalsRowShown="0">
  <x:autoFilter ref="A6:F306"/>
  <x:tableColumns count="6">
    <x:tableColumn id="1" name="Fecha"/>
    <x:tableColumn id="2" name="Referencia"/>
    <x:tableColumn id="3" name="Concepto"/>
    <x:tableColumn id="4" name="Medio de pago"/>
    <x:tableColumn id="5" name="Valor COP"/>
    <x:tableColumn id="6" name="Soporte o 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ba8e2192cf4b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894d3c758142ae" /></Relationships>
</file>

<file path=xl/worksheets/sheet1.xml><?xml version="1.0" encoding="utf-8"?>
<x:worksheet xmlns:x="http://schemas.openxmlformats.org/spreadsheetml/2006/main">
  <x:sheetPr>
    <x:tabColor rgb="FF173759"/>
  </x:sheetPr>
  <x:sheetViews>
    <x:sheetView showGridLines="0" workbookViewId="0"/>
  </x:sheetViews>
  <x:sheetFormatPr defaultRowHeight="15"/>
  <x:cols>
    <x:col min="1" max="1" width="18" hidden="0" customWidth="1"/>
    <x:col min="4" max="4" width="22" hidden="0" customWidth="1"/>
    <x:col min="7" max="7" width="2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Dusema POS · Resumen anual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>
      <x:c r="A4" s="21" t="str">
        <x:v>Año</x:v>
      </x:c>
      <x:c r="B4" s="22" t="n">
        <x:v>2026</x:v>
      </x:c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34" customHeight="1">
      <x:c r="A7" s="28" t="str">
        <x:v>Mes</x:v>
      </x:c>
      <x:c r="B7" s="28" t="str">
        <x:v>Ventas COP</x:v>
      </x:c>
      <x:c r="C7" s="28" t="str">
        <x:v>Costos COP</x:v>
      </x:c>
      <x:c r="D7" s="28" t="str">
        <x:v>Costos pendientes</x:v>
      </x:c>
      <x:c r="E7" s="28" t="str">
        <x:v>Utilidad bruta COP</x:v>
      </x:c>
      <x:c r="F7" s="28" t="str">
        <x:v>Gastos COP</x:v>
      </x:c>
      <x:c r="G7" s="28" t="str">
        <x:v>Resultado operativo COP</x:v>
      </x:c>
      <x:c r="H7" s="2"/>
      <x:c r="I7" s="2"/>
    </x:row>
    <x:row r="8">
      <x:c r="A8" s="29" t="n">
        <x:f>DATE($B$4,1,1)</x:f>
        <x:v>46023</x:v>
      </x:c>
      <x:c r="B8" s="30" t="n">
        <x:f>SUMIFS('Ventas'!$G$7:$G$506,'Ventas'!$A$7:$A$506,"&gt;="&amp;$A8,'Ventas'!$A$7:$A$506,"&lt;"&amp;EDATE($A8,1),'Ventas'!$C$7:$C$506,"pagada")</x:f>
        <x:v>0</x:v>
      </x:c>
      <x:c r="C8" s="30" t="n">
        <x:f>SUMIFS('Ventas'!$H$7:$H$506,'Ventas'!$A$7:$A$506,"&gt;="&amp;$A8,'Ventas'!$A$7:$A$506,"&lt;"&amp;EDATE($A8,1),'Ventas'!$C$7:$C$506,"pagada")</x:f>
        <x:v>0</x:v>
      </x:c>
      <x:c r="D8" s="31" t="n">
        <x:f>SUMIFS('Ventas'!$J$7:$J$506,'Ventas'!$A$7:$A$506,"&gt;="&amp;$A8,'Ventas'!$A$7:$A$506,"&lt;"&amp;EDATE($A8,1),'Ventas'!$C$7:$C$506,"pagada")</x:f>
        <x:v>0</x:v>
      </x:c>
      <x:c r="E8" s="30" t="str">
        <x:f>IF(OR(B8=0,D8&gt;0),"",B8-C8)</x:f>
      </x:c>
      <x:c r="F8" s="30" t="n">
        <x:f>SUMIFS('Gastos'!$E$7:$E$306,'Gastos'!$A$7:$A$306,"&gt;="&amp;$A8,'Gastos'!$A$7:$A$306,"&lt;"&amp;EDATE($A8,1))</x:f>
        <x:v>0</x:v>
      </x:c>
      <x:c r="G8" s="30" t="str">
        <x:f>IF(E8="","",E8-F8)</x:f>
      </x:c>
      <x:c r="H8" s="2"/>
      <x:c r="I8" s="2"/>
    </x:row>
    <x:row r="9">
      <x:c r="A9" s="29" t="n">
        <x:f>DATE($B$4,2,1)</x:f>
        <x:v>46054</x:v>
      </x:c>
      <x:c r="B9" s="30" t="n">
        <x:f>SUMIFS('Ventas'!$G$7:$G$506,'Ventas'!$A$7:$A$506,"&gt;="&amp;$A9,'Ventas'!$A$7:$A$506,"&lt;"&amp;EDATE($A9,1),'Ventas'!$C$7:$C$506,"pagada")</x:f>
        <x:v>0</x:v>
      </x:c>
      <x:c r="C9" s="30" t="n">
        <x:f>SUMIFS('Ventas'!$H$7:$H$506,'Ventas'!$A$7:$A$506,"&gt;="&amp;$A9,'Ventas'!$A$7:$A$506,"&lt;"&amp;EDATE($A9,1),'Ventas'!$C$7:$C$506,"pagada")</x:f>
        <x:v>0</x:v>
      </x:c>
      <x:c r="D9" s="31" t="n">
        <x:f>SUMIFS('Ventas'!$J$7:$J$506,'Ventas'!$A$7:$A$506,"&gt;="&amp;$A9,'Ventas'!$A$7:$A$506,"&lt;"&amp;EDATE($A9,1),'Ventas'!$C$7:$C$506,"pagada")</x:f>
        <x:v>0</x:v>
      </x:c>
      <x:c r="E9" s="30" t="str">
        <x:f>IF(OR(B9=0,D9&gt;0),"",B9-C9)</x:f>
      </x:c>
      <x:c r="F9" s="30" t="n">
        <x:f>SUMIFS('Gastos'!$E$7:$E$306,'Gastos'!$A$7:$A$306,"&gt;="&amp;$A9,'Gastos'!$A$7:$A$306,"&lt;"&amp;EDATE($A9,1))</x:f>
        <x:v>0</x:v>
      </x:c>
      <x:c r="G9" s="30" t="str">
        <x:f>IF(E9="","",E9-F9)</x:f>
      </x:c>
      <x:c r="H9" s="2"/>
      <x:c r="I9" s="2"/>
    </x:row>
    <x:row r="10">
      <x:c r="A10" s="29" t="n">
        <x:f>DATE($B$4,3,1)</x:f>
        <x:v>46082</x:v>
      </x:c>
      <x:c r="B10" s="30" t="n">
        <x:f>SUMIFS('Ventas'!$G$7:$G$506,'Ventas'!$A$7:$A$506,"&gt;="&amp;$A10,'Ventas'!$A$7:$A$506,"&lt;"&amp;EDATE($A10,1),'Ventas'!$C$7:$C$506,"pagada")</x:f>
        <x:v>0</x:v>
      </x:c>
      <x:c r="C10" s="30" t="n">
        <x:f>SUMIFS('Ventas'!$H$7:$H$506,'Ventas'!$A$7:$A$506,"&gt;="&amp;$A10,'Ventas'!$A$7:$A$506,"&lt;"&amp;EDATE($A10,1),'Ventas'!$C$7:$C$506,"pagada")</x:f>
        <x:v>0</x:v>
      </x:c>
      <x:c r="D10" s="31" t="n">
        <x:f>SUMIFS('Ventas'!$J$7:$J$506,'Ventas'!$A$7:$A$506,"&gt;="&amp;$A10,'Ventas'!$A$7:$A$506,"&lt;"&amp;EDATE($A10,1),'Ventas'!$C$7:$C$506,"pagada")</x:f>
        <x:v>0</x:v>
      </x:c>
      <x:c r="E10" s="30" t="str">
        <x:f>IF(OR(B10=0,D10&gt;0),"",B10-C10)</x:f>
      </x:c>
      <x:c r="F10" s="30" t="n">
        <x:f>SUMIFS('Gastos'!$E$7:$E$306,'Gastos'!$A$7:$A$306,"&gt;="&amp;$A10,'Gastos'!$A$7:$A$306,"&lt;"&amp;EDATE($A10,1))</x:f>
        <x:v>0</x:v>
      </x:c>
      <x:c r="G10" s="30" t="str">
        <x:f>IF(E10="","",E10-F10)</x:f>
      </x:c>
      <x:c r="H10" s="2"/>
      <x:c r="I10" s="2"/>
    </x:row>
    <x:row r="11">
      <x:c r="A11" s="29" t="n">
        <x:f>DATE($B$4,4,1)</x:f>
        <x:v>46113</x:v>
      </x:c>
      <x:c r="B11" s="30" t="n">
        <x:f>SUMIFS('Ventas'!$G$7:$G$506,'Ventas'!$A$7:$A$506,"&gt;="&amp;$A11,'Ventas'!$A$7:$A$506,"&lt;"&amp;EDATE($A11,1),'Ventas'!$C$7:$C$506,"pagada")</x:f>
        <x:v>0</x:v>
      </x:c>
      <x:c r="C11" s="30" t="n">
        <x:f>SUMIFS('Ventas'!$H$7:$H$506,'Ventas'!$A$7:$A$506,"&gt;="&amp;$A11,'Ventas'!$A$7:$A$506,"&lt;"&amp;EDATE($A11,1),'Ventas'!$C$7:$C$506,"pagada")</x:f>
        <x:v>0</x:v>
      </x:c>
      <x:c r="D11" s="31" t="n">
        <x:f>SUMIFS('Ventas'!$J$7:$J$506,'Ventas'!$A$7:$A$506,"&gt;="&amp;$A11,'Ventas'!$A$7:$A$506,"&lt;"&amp;EDATE($A11,1),'Ventas'!$C$7:$C$506,"pagada")</x:f>
        <x:v>0</x:v>
      </x:c>
      <x:c r="E11" s="30" t="str">
        <x:f>IF(OR(B11=0,D11&gt;0),"",B11-C11)</x:f>
      </x:c>
      <x:c r="F11" s="30" t="n">
        <x:f>SUMIFS('Gastos'!$E$7:$E$306,'Gastos'!$A$7:$A$306,"&gt;="&amp;$A11,'Gastos'!$A$7:$A$306,"&lt;"&amp;EDATE($A11,1))</x:f>
        <x:v>0</x:v>
      </x:c>
      <x:c r="G11" s="30" t="str">
        <x:f>IF(E11="","",E11-F11)</x:f>
      </x:c>
      <x:c r="H11" s="2"/>
      <x:c r="I11" s="2"/>
    </x:row>
    <x:row r="12">
      <x:c r="A12" s="29" t="n">
        <x:f>DATE($B$4,5,1)</x:f>
        <x:v>46143</x:v>
      </x:c>
      <x:c r="B12" s="30" t="n">
        <x:f>SUMIFS('Ventas'!$G$7:$G$506,'Ventas'!$A$7:$A$506,"&gt;="&amp;$A12,'Ventas'!$A$7:$A$506,"&lt;"&amp;EDATE($A12,1),'Ventas'!$C$7:$C$506,"pagada")</x:f>
        <x:v>0</x:v>
      </x:c>
      <x:c r="C12" s="30" t="n">
        <x:f>SUMIFS('Ventas'!$H$7:$H$506,'Ventas'!$A$7:$A$506,"&gt;="&amp;$A12,'Ventas'!$A$7:$A$506,"&lt;"&amp;EDATE($A12,1),'Ventas'!$C$7:$C$506,"pagada")</x:f>
        <x:v>0</x:v>
      </x:c>
      <x:c r="D12" s="31" t="n">
        <x:f>SUMIFS('Ventas'!$J$7:$J$506,'Ventas'!$A$7:$A$506,"&gt;="&amp;$A12,'Ventas'!$A$7:$A$506,"&lt;"&amp;EDATE($A12,1),'Ventas'!$C$7:$C$506,"pagada")</x:f>
        <x:v>0</x:v>
      </x:c>
      <x:c r="E12" s="30" t="str">
        <x:f>IF(OR(B12=0,D12&gt;0),"",B12-C12)</x:f>
      </x:c>
      <x:c r="F12" s="30" t="n">
        <x:f>SUMIFS('Gastos'!$E$7:$E$306,'Gastos'!$A$7:$A$306,"&gt;="&amp;$A12,'Gastos'!$A$7:$A$306,"&lt;"&amp;EDATE($A12,1))</x:f>
        <x:v>0</x:v>
      </x:c>
      <x:c r="G12" s="30" t="str">
        <x:f>IF(E12="","",E12-F12)</x:f>
      </x:c>
      <x:c r="H12" s="2"/>
      <x:c r="I12" s="2"/>
    </x:row>
    <x:row r="13">
      <x:c r="A13" s="29" t="n">
        <x:f>DATE($B$4,6,1)</x:f>
        <x:v>46174</x:v>
      </x:c>
      <x:c r="B13" s="30" t="n">
        <x:f>SUMIFS('Ventas'!$G$7:$G$506,'Ventas'!$A$7:$A$506,"&gt;="&amp;$A13,'Ventas'!$A$7:$A$506,"&lt;"&amp;EDATE($A13,1),'Ventas'!$C$7:$C$506,"pagada")</x:f>
        <x:v>0</x:v>
      </x:c>
      <x:c r="C13" s="30" t="n">
        <x:f>SUMIFS('Ventas'!$H$7:$H$506,'Ventas'!$A$7:$A$506,"&gt;="&amp;$A13,'Ventas'!$A$7:$A$506,"&lt;"&amp;EDATE($A13,1),'Ventas'!$C$7:$C$506,"pagada")</x:f>
        <x:v>0</x:v>
      </x:c>
      <x:c r="D13" s="31" t="n">
        <x:f>SUMIFS('Ventas'!$J$7:$J$506,'Ventas'!$A$7:$A$506,"&gt;="&amp;$A13,'Ventas'!$A$7:$A$506,"&lt;"&amp;EDATE($A13,1),'Ventas'!$C$7:$C$506,"pagada")</x:f>
        <x:v>0</x:v>
      </x:c>
      <x:c r="E13" s="30" t="str">
        <x:f>IF(OR(B13=0,D13&gt;0),"",B13-C13)</x:f>
      </x:c>
      <x:c r="F13" s="30" t="n">
        <x:f>SUMIFS('Gastos'!$E$7:$E$306,'Gastos'!$A$7:$A$306,"&gt;="&amp;$A13,'Gastos'!$A$7:$A$306,"&lt;"&amp;EDATE($A13,1))</x:f>
        <x:v>0</x:v>
      </x:c>
      <x:c r="G13" s="30" t="str">
        <x:f>IF(E13="","",E13-F13)</x:f>
      </x:c>
      <x:c r="H13" s="2"/>
      <x:c r="I13" s="2"/>
    </x:row>
    <x:row r="14">
      <x:c r="A14" s="29" t="n">
        <x:f>DATE($B$4,7,1)</x:f>
        <x:v>46204</x:v>
      </x:c>
      <x:c r="B14" s="30" t="n">
        <x:f>SUMIFS('Ventas'!$G$7:$G$506,'Ventas'!$A$7:$A$506,"&gt;="&amp;$A14,'Ventas'!$A$7:$A$506,"&lt;"&amp;EDATE($A14,1),'Ventas'!$C$7:$C$506,"pagada")</x:f>
        <x:v>0</x:v>
      </x:c>
      <x:c r="C14" s="30" t="n">
        <x:f>SUMIFS('Ventas'!$H$7:$H$506,'Ventas'!$A$7:$A$506,"&gt;="&amp;$A14,'Ventas'!$A$7:$A$506,"&lt;"&amp;EDATE($A14,1),'Ventas'!$C$7:$C$506,"pagada")</x:f>
        <x:v>0</x:v>
      </x:c>
      <x:c r="D14" s="31" t="n">
        <x:f>SUMIFS('Ventas'!$J$7:$J$506,'Ventas'!$A$7:$A$506,"&gt;="&amp;$A14,'Ventas'!$A$7:$A$506,"&lt;"&amp;EDATE($A14,1),'Ventas'!$C$7:$C$506,"pagada")</x:f>
        <x:v>0</x:v>
      </x:c>
      <x:c r="E14" s="30" t="str">
        <x:f>IF(OR(B14=0,D14&gt;0),"",B14-C14)</x:f>
      </x:c>
      <x:c r="F14" s="30" t="n">
        <x:f>SUMIFS('Gastos'!$E$7:$E$306,'Gastos'!$A$7:$A$306,"&gt;="&amp;$A14,'Gastos'!$A$7:$A$306,"&lt;"&amp;EDATE($A14,1))</x:f>
        <x:v>0</x:v>
      </x:c>
      <x:c r="G14" s="30" t="str">
        <x:f>IF(E14="","",E14-F14)</x:f>
      </x:c>
      <x:c r="H14" s="2"/>
      <x:c r="I14" s="2"/>
    </x:row>
    <x:row r="15">
      <x:c r="A15" s="29" t="n">
        <x:f>DATE($B$4,8,1)</x:f>
        <x:v>46235</x:v>
      </x:c>
      <x:c r="B15" s="30" t="n">
        <x:f>SUMIFS('Ventas'!$G$7:$G$506,'Ventas'!$A$7:$A$506,"&gt;="&amp;$A15,'Ventas'!$A$7:$A$506,"&lt;"&amp;EDATE($A15,1),'Ventas'!$C$7:$C$506,"pagada")</x:f>
        <x:v>0</x:v>
      </x:c>
      <x:c r="C15" s="30" t="n">
        <x:f>SUMIFS('Ventas'!$H$7:$H$506,'Ventas'!$A$7:$A$506,"&gt;="&amp;$A15,'Ventas'!$A$7:$A$506,"&lt;"&amp;EDATE($A15,1),'Ventas'!$C$7:$C$506,"pagada")</x:f>
        <x:v>0</x:v>
      </x:c>
      <x:c r="D15" s="31" t="n">
        <x:f>SUMIFS('Ventas'!$J$7:$J$506,'Ventas'!$A$7:$A$506,"&gt;="&amp;$A15,'Ventas'!$A$7:$A$506,"&lt;"&amp;EDATE($A15,1),'Ventas'!$C$7:$C$506,"pagada")</x:f>
        <x:v>0</x:v>
      </x:c>
      <x:c r="E15" s="30" t="str">
        <x:f>IF(OR(B15=0,D15&gt;0),"",B15-C15)</x:f>
      </x:c>
      <x:c r="F15" s="30" t="n">
        <x:f>SUMIFS('Gastos'!$E$7:$E$306,'Gastos'!$A$7:$A$306,"&gt;="&amp;$A15,'Gastos'!$A$7:$A$306,"&lt;"&amp;EDATE($A15,1))</x:f>
        <x:v>0</x:v>
      </x:c>
      <x:c r="G15" s="30" t="str">
        <x:f>IF(E15="","",E15-F15)</x:f>
      </x:c>
      <x:c r="H15" s="2"/>
      <x:c r="I15" s="2"/>
    </x:row>
    <x:row r="16">
      <x:c r="A16" s="29" t="n">
        <x:f>DATE($B$4,9,1)</x:f>
        <x:v>46266</x:v>
      </x:c>
      <x:c r="B16" s="30" t="n">
        <x:f>SUMIFS('Ventas'!$G$7:$G$506,'Ventas'!$A$7:$A$506,"&gt;="&amp;$A16,'Ventas'!$A$7:$A$506,"&lt;"&amp;EDATE($A16,1),'Ventas'!$C$7:$C$506,"pagada")</x:f>
        <x:v>0</x:v>
      </x:c>
      <x:c r="C16" s="30" t="n">
        <x:f>SUMIFS('Ventas'!$H$7:$H$506,'Ventas'!$A$7:$A$506,"&gt;="&amp;$A16,'Ventas'!$A$7:$A$506,"&lt;"&amp;EDATE($A16,1),'Ventas'!$C$7:$C$506,"pagada")</x:f>
        <x:v>0</x:v>
      </x:c>
      <x:c r="D16" s="31" t="n">
        <x:f>SUMIFS('Ventas'!$J$7:$J$506,'Ventas'!$A$7:$A$506,"&gt;="&amp;$A16,'Ventas'!$A$7:$A$506,"&lt;"&amp;EDATE($A16,1),'Ventas'!$C$7:$C$506,"pagada")</x:f>
        <x:v>0</x:v>
      </x:c>
      <x:c r="E16" s="30" t="str">
        <x:f>IF(OR(B16=0,D16&gt;0),"",B16-C16)</x:f>
      </x:c>
      <x:c r="F16" s="30" t="n">
        <x:f>SUMIFS('Gastos'!$E$7:$E$306,'Gastos'!$A$7:$A$306,"&gt;="&amp;$A16,'Gastos'!$A$7:$A$306,"&lt;"&amp;EDATE($A16,1))</x:f>
        <x:v>0</x:v>
      </x:c>
      <x:c r="G16" s="30" t="str">
        <x:f>IF(E16="","",E16-F16)</x:f>
      </x:c>
      <x:c r="H16" s="2"/>
      <x:c r="I16" s="2"/>
    </x:row>
    <x:row r="17">
      <x:c r="A17" s="29" t="n">
        <x:f>DATE($B$4,10,1)</x:f>
        <x:v>46296</x:v>
      </x:c>
      <x:c r="B17" s="30" t="n">
        <x:f>SUMIFS('Ventas'!$G$7:$G$506,'Ventas'!$A$7:$A$506,"&gt;="&amp;$A17,'Ventas'!$A$7:$A$506,"&lt;"&amp;EDATE($A17,1),'Ventas'!$C$7:$C$506,"pagada")</x:f>
        <x:v>0</x:v>
      </x:c>
      <x:c r="C17" s="30" t="n">
        <x:f>SUMIFS('Ventas'!$H$7:$H$506,'Ventas'!$A$7:$A$506,"&gt;="&amp;$A17,'Ventas'!$A$7:$A$506,"&lt;"&amp;EDATE($A17,1),'Ventas'!$C$7:$C$506,"pagada")</x:f>
        <x:v>0</x:v>
      </x:c>
      <x:c r="D17" s="31" t="n">
        <x:f>SUMIFS('Ventas'!$J$7:$J$506,'Ventas'!$A$7:$A$506,"&gt;="&amp;$A17,'Ventas'!$A$7:$A$506,"&lt;"&amp;EDATE($A17,1),'Ventas'!$C$7:$C$506,"pagada")</x:f>
        <x:v>0</x:v>
      </x:c>
      <x:c r="E17" s="30" t="str">
        <x:f>IF(OR(B17=0,D17&gt;0),"",B17-C17)</x:f>
      </x:c>
      <x:c r="F17" s="30" t="n">
        <x:f>SUMIFS('Gastos'!$E$7:$E$306,'Gastos'!$A$7:$A$306,"&gt;="&amp;$A17,'Gastos'!$A$7:$A$306,"&lt;"&amp;EDATE($A17,1))</x:f>
        <x:v>0</x:v>
      </x:c>
      <x:c r="G17" s="30" t="str">
        <x:f>IF(E17="","",E17-F17)</x:f>
      </x:c>
      <x:c r="H17" s="2"/>
      <x:c r="I17" s="2"/>
    </x:row>
    <x:row r="18">
      <x:c r="A18" s="29" t="n">
        <x:f>DATE($B$4,11,1)</x:f>
        <x:v>46327</x:v>
      </x:c>
      <x:c r="B18" s="30" t="n">
        <x:f>SUMIFS('Ventas'!$G$7:$G$506,'Ventas'!$A$7:$A$506,"&gt;="&amp;$A18,'Ventas'!$A$7:$A$506,"&lt;"&amp;EDATE($A18,1),'Ventas'!$C$7:$C$506,"pagada")</x:f>
        <x:v>0</x:v>
      </x:c>
      <x:c r="C18" s="30" t="n">
        <x:f>SUMIFS('Ventas'!$H$7:$H$506,'Ventas'!$A$7:$A$506,"&gt;="&amp;$A18,'Ventas'!$A$7:$A$506,"&lt;"&amp;EDATE($A18,1),'Ventas'!$C$7:$C$506,"pagada")</x:f>
        <x:v>0</x:v>
      </x:c>
      <x:c r="D18" s="31" t="n">
        <x:f>SUMIFS('Ventas'!$J$7:$J$506,'Ventas'!$A$7:$A$506,"&gt;="&amp;$A18,'Ventas'!$A$7:$A$506,"&lt;"&amp;EDATE($A18,1),'Ventas'!$C$7:$C$506,"pagada")</x:f>
        <x:v>0</x:v>
      </x:c>
      <x:c r="E18" s="30" t="str">
        <x:f>IF(OR(B18=0,D18&gt;0),"",B18-C18)</x:f>
      </x:c>
      <x:c r="F18" s="30" t="n">
        <x:f>SUMIFS('Gastos'!$E$7:$E$306,'Gastos'!$A$7:$A$306,"&gt;="&amp;$A18,'Gastos'!$A$7:$A$306,"&lt;"&amp;EDATE($A18,1))</x:f>
        <x:v>0</x:v>
      </x:c>
      <x:c r="G18" s="30" t="str">
        <x:f>IF(E18="","",E18-F18)</x:f>
      </x:c>
      <x:c r="H18" s="2"/>
      <x:c r="I18" s="2"/>
    </x:row>
    <x:row r="19">
      <x:c r="A19" s="29" t="n">
        <x:f>DATE($B$4,12,1)</x:f>
        <x:v>46357</x:v>
      </x:c>
      <x:c r="B19" s="30" t="n">
        <x:f>SUMIFS('Ventas'!$G$7:$G$506,'Ventas'!$A$7:$A$506,"&gt;="&amp;$A19,'Ventas'!$A$7:$A$506,"&lt;"&amp;EDATE($A19,1),'Ventas'!$C$7:$C$506,"pagada")</x:f>
        <x:v>0</x:v>
      </x:c>
      <x:c r="C19" s="30" t="n">
        <x:f>SUMIFS('Ventas'!$H$7:$H$506,'Ventas'!$A$7:$A$506,"&gt;="&amp;$A19,'Ventas'!$A$7:$A$506,"&lt;"&amp;EDATE($A19,1),'Ventas'!$C$7:$C$506,"pagada")</x:f>
        <x:v>0</x:v>
      </x:c>
      <x:c r="D19" s="31" t="n">
        <x:f>SUMIFS('Ventas'!$J$7:$J$506,'Ventas'!$A$7:$A$506,"&gt;="&amp;$A19,'Ventas'!$A$7:$A$506,"&lt;"&amp;EDATE($A19,1),'Ventas'!$C$7:$C$506,"pagada")</x:f>
        <x:v>0</x:v>
      </x:c>
      <x:c r="E19" s="30" t="str">
        <x:f>IF(OR(B19=0,D19&gt;0),"",B19-C19)</x:f>
      </x:c>
      <x:c r="F19" s="30" t="n">
        <x:f>SUMIFS('Gastos'!$E$7:$E$306,'Gastos'!$A$7:$A$306,"&gt;="&amp;$A19,'Gastos'!$A$7:$A$306,"&lt;"&amp;EDATE($A19,1))</x:f>
        <x:v>0</x:v>
      </x:c>
      <x:c r="G19" s="30" t="str">
        <x:f>IF(E19="","",E19-F19)</x:f>
      </x:c>
      <x:c r="H19" s="2"/>
      <x:c r="I19" s="2"/>
    </x:row>
    <x:row r="20">
      <x:c r="A20" s="32"/>
      <x:c r="B20" s="32"/>
      <x:c r="C20" s="32"/>
      <x:c r="D20" s="32"/>
      <x:c r="E20" s="32"/>
      <x:c r="F20" s="32"/>
      <x:c r="G20" s="32"/>
      <x:c r="H20" s="2"/>
      <x:c r="I20" s="2"/>
    </x:row>
    <x:row r="21">
      <x:c r="A21" s="33" t="str">
        <x:v>Total del año</x:v>
      </x:c>
      <x:c r="B21" s="34" t="n">
        <x:f>SUM(B8:B19)</x:f>
        <x:v>0</x:v>
      </x:c>
      <x:c r="C21" s="34" t="n">
        <x:f>SUM(C8:C19)</x:f>
        <x:v>0</x:v>
      </x:c>
      <x:c r="D21" s="35" t="n">
        <x:f>SUM(D8:D19)</x:f>
        <x:v>0</x:v>
      </x:c>
      <x:c r="E21" s="34" t="str">
        <x:f>IF(OR(B21=0,D21&gt;0),"",B21-C21)</x:f>
      </x:c>
      <x:c r="F21" s="34" t="n">
        <x:f>SUM(F8:F19)</x:f>
        <x:v>0</x:v>
      </x:c>
      <x:c r="G21" s="34" t="str">
        <x:f>IF(E21="","",E21-F21)</x:f>
      </x:c>
      <x:c r="H21" s="2"/>
      <x:c r="I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34" customHeight="1">
      <x:c r="A25" s="8" t="str">
        <x:v>Medio de pago</x:v>
      </x:c>
      <x:c r="B25" s="8" t="str">
        <x:v>Ventas COP</x:v>
      </x:c>
      <x:c r="C25" s="2"/>
      <x:c r="D25" s="8" t="str">
        <x:v>Vendedor</x:v>
      </x:c>
      <x:c r="E25" s="8" t="str">
        <x:v>Ventas COP</x:v>
      </x:c>
      <x:c r="F25" s="2"/>
      <x:c r="G25" s="2"/>
      <x:c r="H25" s="2"/>
      <x:c r="I25" s="2"/>
    </x:row>
    <x:row r="26">
      <x:c r="A26" s="2" t="str">
        <x:v>efectivo</x:v>
      </x:c>
      <x:c r="B26" s="14" t="n">
        <x:f>SUMIFS('Ventas'!$G$7:$G$506,'Ventas'!$A$7:$A$506,"&gt;="&amp;DATE($B$4,1,1),'Ventas'!$A$7:$A$506,"&lt;"&amp;DATE($B$4+1,1,1),'Ventas'!$C$7:$C$506,"pagada",'Ventas'!$F$7:$F$506,A26)</x:f>
        <x:v>0</x:v>
      </x:c>
      <x:c r="C26" s="2"/>
      <x:c r="D26" s="9"/>
      <x:c r="E26" s="14" t="str">
        <x:f>IF(D26="","",SUMIFS('Ventas'!$G$7:$G$506,'Ventas'!$A$7:$A$506,"&gt;="&amp;DATE($B$4,1,1),'Ventas'!$A$7:$A$506,"&lt;"&amp;DATE($B$4+1,1,1),'Ventas'!$C$7:$C$506,"pagada",'Ventas'!$D$7:$D$506,D26))</x:f>
      </x:c>
      <x:c r="F26" s="2"/>
      <x:c r="G26" s="2"/>
      <x:c r="H26" s="2"/>
      <x:c r="I26" s="2"/>
    </x:row>
    <x:row r="27">
      <x:c r="A27" s="2" t="str">
        <x:v>transferencia</x:v>
      </x:c>
      <x:c r="B27" s="14" t="n">
        <x:f>SUMIFS('Ventas'!$G$7:$G$506,'Ventas'!$A$7:$A$506,"&gt;="&amp;DATE($B$4,1,1),'Ventas'!$A$7:$A$506,"&lt;"&amp;DATE($B$4+1,1,1),'Ventas'!$C$7:$C$506,"pagada",'Ventas'!$F$7:$F$506,A27)</x:f>
        <x:v>0</x:v>
      </x:c>
      <x:c r="C27" s="2"/>
      <x:c r="D27" s="9"/>
      <x:c r="E27" s="14" t="str">
        <x:f>IF(D27="","",SUMIFS('Ventas'!$G$7:$G$506,'Ventas'!$A$7:$A$506,"&gt;="&amp;DATE($B$4,1,1),'Ventas'!$A$7:$A$506,"&lt;"&amp;DATE($B$4+1,1,1),'Ventas'!$C$7:$C$506,"pagada",'Ventas'!$D$7:$D$506,D27))</x:f>
      </x:c>
      <x:c r="F27" s="2"/>
      <x:c r="G27" s="2"/>
      <x:c r="H27" s="2"/>
      <x:c r="I27" s="2"/>
    </x:row>
    <x:row r="28">
      <x:c r="A28" s="2" t="str">
        <x:v>otro</x:v>
      </x:c>
      <x:c r="B28" s="14" t="n">
        <x:f>SUMIFS('Ventas'!$G$7:$G$506,'Ventas'!$A$7:$A$506,"&gt;="&amp;DATE($B$4,1,1),'Ventas'!$A$7:$A$506,"&lt;"&amp;DATE($B$4+1,1,1),'Ventas'!$C$7:$C$506,"pagada",'Ventas'!$F$7:$F$506,A28)</x:f>
        <x:v>0</x:v>
      </x:c>
      <x:c r="C28" s="2"/>
      <x:c r="D28" s="9"/>
      <x:c r="E28" s="14" t="str">
        <x:f>IF(D28="","",SUMIFS('Ventas'!$G$7:$G$506,'Ventas'!$A$7:$A$506,"&gt;="&amp;DATE($B$4,1,1),'Ventas'!$A$7:$A$506,"&lt;"&amp;DATE($B$4+1,1,1),'Ventas'!$C$7:$C$506,"pagada",'Ventas'!$D$7:$D$506,D28))</x:f>
      </x:c>
      <x:c r="F28" s="2"/>
      <x:c r="G28" s="2"/>
      <x:c r="H28" s="2"/>
      <x:c r="I28" s="2"/>
    </x:row>
    <x:row r="29">
      <x:c r="A29" s="2"/>
      <x:c r="B29" s="2"/>
      <x:c r="C29" s="2"/>
      <x:c r="D29" s="9"/>
      <x:c r="E29" s="14" t="str">
        <x:f>IF(D29="","",SUMIFS('Ventas'!$G$7:$G$506,'Ventas'!$A$7:$A$506,"&gt;="&amp;DATE($B$4,1,1),'Ventas'!$A$7:$A$506,"&lt;"&amp;DATE($B$4+1,1,1),'Ventas'!$C$7:$C$506,"pagada",'Ventas'!$D$7:$D$506,D29))</x:f>
      </x:c>
      <x:c r="F29" s="2"/>
      <x:c r="G29" s="2"/>
      <x:c r="H29" s="2"/>
      <x:c r="I29" s="2"/>
    </x:row>
    <x:row r="30">
      <x:c r="A30" s="2"/>
      <x:c r="B30" s="2"/>
      <x:c r="C30" s="2"/>
      <x:c r="D30" s="9"/>
      <x:c r="E30" s="14" t="str">
        <x:f>IF(D30="","",SUMIFS('Ventas'!$G$7:$G$506,'Ventas'!$A$7:$A$506,"&gt;="&amp;DATE($B$4,1,1),'Ventas'!$A$7:$A$506,"&lt;"&amp;DATE($B$4+1,1,1),'Ventas'!$C$7:$C$506,"pagada",'Ventas'!$D$7:$D$506,D30))</x:f>
      </x:c>
      <x:c r="F30" s="2"/>
      <x:c r="G30" s="2"/>
      <x:c r="H30" s="2"/>
      <x:c r="I30" s="2"/>
    </x:row>
    <x:row r="31">
      <x:c r="A31" s="2"/>
      <x:c r="B31" s="2"/>
      <x:c r="C31" s="2"/>
      <x:c r="D31" s="9"/>
      <x:c r="E31" s="14" t="str">
        <x:f>IF(D31="","",SUMIFS('Ventas'!$G$7:$G$506,'Ventas'!$A$7:$A$506,"&gt;="&amp;DATE($B$4,1,1),'Ventas'!$A$7:$A$506,"&lt;"&amp;DATE($B$4+1,1,1),'Ventas'!$C$7:$C$506,"pagada",'Ventas'!$D$7:$D$506,D31))</x:f>
      </x:c>
      <x:c r="F31" s="2"/>
      <x:c r="G31" s="2"/>
      <x:c r="H31" s="2"/>
      <x:c r="I31" s="2"/>
    </x:row>
    <x:row r="32">
      <x:c r="A32" s="2"/>
      <x:c r="B32" s="2"/>
      <x:c r="C32" s="2"/>
      <x:c r="D32" s="9"/>
      <x:c r="E32" s="14" t="str">
        <x:f>IF(D32="","",SUMIFS('Ventas'!$G$7:$G$506,'Ventas'!$A$7:$A$506,"&gt;="&amp;DATE($B$4,1,1),'Ventas'!$A$7:$A$506,"&lt;"&amp;DATE($B$4+1,1,1),'Ventas'!$C$7:$C$506,"pagada",'Ventas'!$D$7:$D$506,D32))</x:f>
      </x:c>
      <x:c r="F32" s="2"/>
      <x:c r="G32" s="2"/>
      <x:c r="H32" s="2"/>
      <x:c r="I32" s="2"/>
    </x:row>
    <x:row r="33">
      <x:c r="A33" s="2"/>
      <x:c r="B33" s="2"/>
      <x:c r="C33" s="2"/>
      <x:c r="D33" s="9"/>
      <x:c r="E33" s="14" t="str">
        <x:f>IF(D33="","",SUMIFS('Ventas'!$G$7:$G$506,'Ventas'!$A$7:$A$506,"&gt;="&amp;DATE($B$4,1,1),'Ventas'!$A$7:$A$506,"&lt;"&amp;DATE($B$4+1,1,1),'Ventas'!$C$7:$C$506,"pagada",'Ventas'!$D$7:$D$506,D33))</x:f>
      </x:c>
      <x:c r="F33" s="2"/>
      <x:c r="G33" s="2"/>
      <x:c r="H33" s="2"/>
      <x:c r="I33" s="2"/>
    </x:row>
    <x:row r="34">
      <x:c r="A34" s="2"/>
      <x:c r="B34" s="2"/>
      <x:c r="C34" s="2"/>
      <x:c r="D34" s="9"/>
      <x:c r="E34" s="14" t="str">
        <x:f>IF(D34="","",SUMIFS('Ventas'!$G$7:$G$506,'Ventas'!$A$7:$A$506,"&gt;="&amp;DATE($B$4,1,1),'Ventas'!$A$7:$A$506,"&lt;"&amp;DATE($B$4+1,1,1),'Ventas'!$C$7:$C$506,"pagada",'Ventas'!$D$7:$D$506,D34))</x:f>
      </x:c>
      <x:c r="F34" s="2"/>
      <x:c r="G34" s="2"/>
      <x:c r="H34" s="2"/>
      <x:c r="I34" s="2"/>
    </x:row>
    <x:row r="35">
      <x:c r="A35" s="2"/>
      <x:c r="B35" s="2"/>
      <x:c r="C35" s="2"/>
      <x:c r="D35" s="9"/>
      <x:c r="E35" s="14" t="str">
        <x:f>IF(D35="","",SUMIFS('Ventas'!$G$7:$G$506,'Ventas'!$A$7:$A$506,"&gt;="&amp;DATE($B$4,1,1),'Ventas'!$A$7:$A$506,"&lt;"&amp;DATE($B$4+1,1,1),'Ventas'!$C$7:$C$506,"pagada",'Ventas'!$D$7:$D$506,D35))</x:f>
      </x:c>
      <x:c r="F35" s="2"/>
      <x:c r="G35" s="2"/>
      <x:c r="H35" s="2"/>
      <x:c r="I35" s="2"/>
    </x:row>
    <x:row r="36">
      <x:c r="A36" s="2"/>
      <x:c r="B36" s="2"/>
      <x:c r="C36" s="2"/>
      <x:c r="D36" s="9"/>
      <x:c r="E36" s="14" t="str">
        <x:f>IF(D36="","",SUMIFS('Ventas'!$G$7:$G$506,'Ventas'!$A$7:$A$506,"&gt;="&amp;DATE($B$4,1,1),'Ventas'!$A$7:$A$506,"&lt;"&amp;DATE($B$4+1,1,1),'Ventas'!$C$7:$C$506,"pagada",'Ventas'!$D$7:$D$506,D36))</x:f>
      </x:c>
      <x:c r="F36" s="2"/>
      <x:c r="G36" s="2"/>
      <x:c r="H36" s="2"/>
      <x:c r="I36" s="2"/>
    </x:row>
    <x:row r="37">
      <x:c r="A37" s="2"/>
      <x:c r="B37" s="2"/>
      <x:c r="C37" s="2"/>
      <x:c r="D37" s="9"/>
      <x:c r="E37" s="14" t="str">
        <x:f>IF(D37="","",SUMIFS('Ventas'!$G$7:$G$506,'Ventas'!$A$7:$A$506,"&gt;="&amp;DATE($B$4,1,1),'Ventas'!$A$7:$A$506,"&lt;"&amp;DATE($B$4+1,1,1),'Ventas'!$C$7:$C$506,"pagada",'Ventas'!$D$7:$D$506,D37))</x:f>
      </x:c>
      <x:c r="F37" s="2"/>
      <x:c r="G37" s="2"/>
      <x:c r="H37" s="2"/>
      <x:c r="I37" s="2"/>
    </x:row>
    <x:row r="38">
      <x:c r="A38" s="2"/>
      <x:c r="B38" s="2"/>
      <x:c r="C38" s="2"/>
      <x:c r="D38" s="9"/>
      <x:c r="E38" s="14" t="str">
        <x:f>IF(D38="","",SUMIFS('Ventas'!$G$7:$G$506,'Ventas'!$A$7:$A$506,"&gt;="&amp;DATE($B$4,1,1),'Ventas'!$A$7:$A$506,"&lt;"&amp;DATE($B$4+1,1,1),'Ventas'!$C$7:$C$506,"pagada",'Ventas'!$D$7:$D$506,D38))</x:f>
      </x:c>
      <x:c r="F38" s="2"/>
      <x:c r="G38" s="2"/>
      <x:c r="H38" s="2"/>
      <x:c r="I38" s="2"/>
    </x:row>
    <x:row r="39">
      <x:c r="A39" s="2"/>
      <x:c r="B39" s="2"/>
      <x:c r="C39" s="2"/>
      <x:c r="D39" s="9"/>
      <x:c r="E39" s="14" t="str">
        <x:f>IF(D39="","",SUMIFS('Ventas'!$G$7:$G$506,'Ventas'!$A$7:$A$506,"&gt;="&amp;DATE($B$4,1,1),'Ventas'!$A$7:$A$506,"&lt;"&amp;DATE($B$4+1,1,1),'Ventas'!$C$7:$C$506,"pagada",'Ventas'!$D$7:$D$506,D39))</x:f>
      </x:c>
      <x:c r="F39" s="2"/>
      <x:c r="G39" s="2"/>
      <x:c r="H39" s="2"/>
      <x:c r="I39" s="2"/>
    </x:row>
    <x:row r="40">
      <x:c r="A40" s="2"/>
      <x:c r="B40" s="2"/>
      <x:c r="C40" s="2"/>
      <x:c r="D40" s="9"/>
      <x:c r="E40" s="14" t="str">
        <x:f>IF(D40="","",SUMIFS('Ventas'!$G$7:$G$506,'Ventas'!$A$7:$A$506,"&gt;="&amp;DATE($B$4,1,1),'Ventas'!$A$7:$A$506,"&lt;"&amp;DATE($B$4+1,1,1),'Ventas'!$C$7:$C$506,"pagada",'Ventas'!$D$7:$D$506,D40))</x:f>
      </x:c>
      <x:c r="F40" s="2"/>
      <x:c r="G40" s="2"/>
      <x:c r="H40" s="2"/>
      <x:c r="I40" s="2"/>
    </x:row>
    <x:row r="41">
      <x:c r="A41" s="2"/>
      <x:c r="B41" s="2"/>
      <x:c r="C41" s="2"/>
      <x:c r="D41" s="9"/>
      <x:c r="E41" s="14" t="str">
        <x:f>IF(D41="","",SUMIFS('Ventas'!$G$7:$G$506,'Ventas'!$A$7:$A$506,"&gt;="&amp;DATE($B$4,1,1),'Ventas'!$A$7:$A$506,"&lt;"&amp;DATE($B$4+1,1,1),'Ventas'!$C$7:$C$506,"pagada",'Ventas'!$D$7:$D$506,D41))</x:f>
      </x:c>
      <x:c r="F41" s="2"/>
      <x:c r="G41" s="2"/>
      <x:c r="H41" s="2"/>
      <x:c r="I41" s="2"/>
    </x:row>
    <x:row r="42">
      <x:c r="A42" s="2"/>
      <x:c r="B42" s="2"/>
      <x:c r="C42" s="2"/>
      <x:c r="D42" s="9"/>
      <x:c r="E42" s="14" t="str">
        <x:f>IF(D42="","",SUMIFS('Ventas'!$G$7:$G$506,'Ventas'!$A$7:$A$506,"&gt;="&amp;DATE($B$4,1,1),'Ventas'!$A$7:$A$506,"&lt;"&amp;DATE($B$4+1,1,1),'Ventas'!$C$7:$C$506,"pagada",'Ventas'!$D$7:$D$506,D42))</x:f>
      </x:c>
      <x:c r="F42" s="2"/>
      <x:c r="G42" s="2"/>
      <x:c r="H42" s="2"/>
      <x:c r="I42" s="2"/>
    </x:row>
    <x:row r="43">
      <x:c r="A43" s="2"/>
      <x:c r="B43" s="2"/>
      <x:c r="C43" s="2"/>
      <x:c r="D43" s="9"/>
      <x:c r="E43" s="14" t="str">
        <x:f>IF(D43="","",SUMIFS('Ventas'!$G$7:$G$506,'Ventas'!$A$7:$A$506,"&gt;="&amp;DATE($B$4,1,1),'Ventas'!$A$7:$A$506,"&lt;"&amp;DATE($B$4+1,1,1),'Ventas'!$C$7:$C$506,"pagada",'Ventas'!$D$7:$D$506,D43))</x:f>
      </x:c>
      <x:c r="F43" s="2"/>
      <x:c r="G43" s="2"/>
      <x:c r="H43" s="2"/>
      <x:c r="I43" s="2"/>
    </x:row>
    <x:row r="44">
      <x:c r="A44" s="2"/>
      <x:c r="B44" s="2"/>
      <x:c r="C44" s="2"/>
      <x:c r="D44" s="9"/>
      <x:c r="E44" s="14" t="str">
        <x:f>IF(D44="","",SUMIFS('Ventas'!$G$7:$G$506,'Ventas'!$A$7:$A$506,"&gt;="&amp;DATE($B$4,1,1),'Ventas'!$A$7:$A$506,"&lt;"&amp;DATE($B$4+1,1,1),'Ventas'!$C$7:$C$506,"pagada",'Ventas'!$D$7:$D$506,D44))</x:f>
      </x:c>
      <x:c r="F44" s="2"/>
      <x:c r="G44" s="2"/>
      <x:c r="H44" s="2"/>
      <x:c r="I44" s="2"/>
    </x:row>
    <x:row r="45">
      <x:c r="A45" s="2"/>
      <x:c r="B45" s="2"/>
      <x:c r="C45" s="2"/>
      <x:c r="D45" s="9"/>
      <x:c r="E45" s="14" t="str">
        <x:f>IF(D45="","",SUMIFS('Ventas'!$G$7:$G$506,'Ventas'!$A$7:$A$506,"&gt;="&amp;DATE($B$4,1,1),'Ventas'!$A$7:$A$506,"&lt;"&amp;DATE($B$4+1,1,1),'Ventas'!$C$7:$C$506,"pagada",'Ventas'!$D$7:$D$506,D45))</x:f>
      </x:c>
      <x:c r="F45" s="2"/>
      <x:c r="G45" s="2"/>
      <x:c r="H45" s="2"/>
      <x:c r="I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</x:row>
    <x:row r="48">
      <x:c r="A48" s="36" t="str">
        <x:v>Plantilla operativa. No reemplaza la declaración de renta ni la revisión del contador. Si una venta pagada no tiene costo histórico, la utilidad y el resultado se dejan vacíos.</x:v>
      </x:c>
      <x:c r="B48" s="2"/>
      <x:c r="C48" s="2"/>
      <x:c r="D48" s="2"/>
      <x:c r="E48" s="2"/>
      <x:c r="F48" s="2"/>
      <x:c r="G48" s="2"/>
      <x:c r="H48" s="2"/>
      <x:c r="I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</x:row>
  </x:sheetData>
  <x:mergeCells>
    <x:mergeCell ref="A48:G4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3" hidden="0" customWidth="1"/>
    <x:col min="4" max="4" width="20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Ventas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5" t="str">
        <x:v>Registra una fila por venta. Usa el costo histórico de la venta; deja el costo vacío si todavía no lo conoces.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4" customHeight="1">
      <x:c r="A6" s="8" t="str">
        <x:v>Fecha</x:v>
      </x:c>
      <x:c r="B6" s="8" t="str">
        <x:v>Referencia</x:v>
      </x:c>
      <x:c r="C6" s="8" t="str">
        <x:v>Estado</x:v>
      </x:c>
      <x:c r="D6" s="8" t="str">
        <x:v>Vendedor</x:v>
      </x:c>
      <x:c r="E6" s="8" t="str">
        <x:v>Producto o presentación</x:v>
      </x:c>
      <x:c r="F6" s="8" t="str">
        <x:v>Medio de pago</x:v>
      </x:c>
      <x:c r="G6" s="8" t="str">
        <x:v>Venta COP</x:v>
      </x:c>
      <x:c r="H6" s="8" t="str">
        <x:v>Costo histórico COP</x:v>
      </x:c>
      <x:c r="I6" s="8" t="str">
        <x:v>Utilidad bruta COP</x:v>
      </x:c>
      <x:c r="J6" s="8" t="str">
        <x:v>Costo pendiente</x:v>
      </x:c>
      <x:c r="K6" s="8" t="str">
        <x:v>Soporte o nota</x:v>
      </x:c>
    </x:row>
    <x:row r="7" ht="22" customHeight="1">
      <x:c r="A7" s="11"/>
      <x:c r="B7" s="9"/>
      <x:c r="C7" s="9"/>
      <x:c r="D7" s="9"/>
      <x:c r="E7" s="9"/>
      <x:c r="F7" s="9"/>
      <x:c r="G7" s="13"/>
      <x:c r="H7" s="13"/>
      <x:c r="I7" s="14" t="str">
        <x:f>IF(OR(A7="",C7&lt;&gt;"pagada",NOT(ISNUMBER(G7)),NOT(ISNUMBER(H7))),"",G7-H7)</x:f>
      </x:c>
      <x:c r="J7" s="17" t="n">
        <x:f>IF(A7="",0,IF(AND(C7="pagada",NOT(ISNUMBER(H7))),1,0))</x:f>
        <x:v>0</x:v>
      </x:c>
      <x:c r="K7" s="2"/>
    </x:row>
    <x:row r="8" ht="22" customHeight="1">
      <x:c r="A8" s="11"/>
      <x:c r="B8" s="9"/>
      <x:c r="C8" s="9"/>
      <x:c r="D8" s="9"/>
      <x:c r="E8" s="9"/>
      <x:c r="F8" s="9"/>
      <x:c r="G8" s="13"/>
      <x:c r="H8" s="13"/>
      <x:c r="I8" s="14" t="str">
        <x:f>IF(OR(A8="",C8&lt;&gt;"pagada",NOT(ISNUMBER(G8)),NOT(ISNUMBER(H8))),"",G8-H8)</x:f>
      </x:c>
      <x:c r="J8" s="17" t="n">
        <x:f>IF(A8="",0,IF(AND(C8="pagada",NOT(ISNUMBER(H8))),1,0))</x:f>
        <x:v>0</x:v>
      </x:c>
      <x:c r="K8" s="2"/>
    </x:row>
    <x:row r="9" ht="22" customHeight="1">
      <x:c r="A9" s="11"/>
      <x:c r="B9" s="9"/>
      <x:c r="C9" s="9"/>
      <x:c r="D9" s="9"/>
      <x:c r="E9" s="9"/>
      <x:c r="F9" s="9"/>
      <x:c r="G9" s="13"/>
      <x:c r="H9" s="13"/>
      <x:c r="I9" s="14" t="str">
        <x:f>IF(OR(A9="",C9&lt;&gt;"pagada",NOT(ISNUMBER(G9)),NOT(ISNUMBER(H9))),"",G9-H9)</x:f>
      </x:c>
      <x:c r="J9" s="17" t="n">
        <x:f>IF(A9="",0,IF(AND(C9="pagada",NOT(ISNUMBER(H9))),1,0))</x:f>
        <x:v>0</x:v>
      </x:c>
      <x:c r="K9" s="2"/>
    </x:row>
    <x:row r="10" ht="22" customHeight="1">
      <x:c r="A10" s="11"/>
      <x:c r="B10" s="9"/>
      <x:c r="C10" s="9"/>
      <x:c r="D10" s="9"/>
      <x:c r="E10" s="9"/>
      <x:c r="F10" s="9"/>
      <x:c r="G10" s="13"/>
      <x:c r="H10" s="13"/>
      <x:c r="I10" s="14" t="str">
        <x:f>IF(OR(A10="",C10&lt;&gt;"pagada",NOT(ISNUMBER(G10)),NOT(ISNUMBER(H10))),"",G10-H10)</x:f>
      </x:c>
      <x:c r="J10" s="17" t="n">
        <x:f>IF(A10="",0,IF(AND(C10="pagada",NOT(ISNUMBER(H10))),1,0))</x:f>
        <x:v>0</x:v>
      </x:c>
      <x:c r="K10" s="2"/>
    </x:row>
    <x:row r="11" ht="22" customHeight="1">
      <x:c r="A11" s="11"/>
      <x:c r="B11" s="9"/>
      <x:c r="C11" s="9"/>
      <x:c r="D11" s="9"/>
      <x:c r="E11" s="9"/>
      <x:c r="F11" s="9"/>
      <x:c r="G11" s="13"/>
      <x:c r="H11" s="13"/>
      <x:c r="I11" s="14" t="str">
        <x:f>IF(OR(A11="",C11&lt;&gt;"pagada",NOT(ISNUMBER(G11)),NOT(ISNUMBER(H11))),"",G11-H11)</x:f>
      </x:c>
      <x:c r="J11" s="17" t="n">
        <x:f>IF(A11="",0,IF(AND(C11="pagada",NOT(ISNUMBER(H11))),1,0))</x:f>
        <x:v>0</x:v>
      </x:c>
      <x:c r="K11" s="2"/>
    </x:row>
    <x:row r="12" ht="22" customHeight="1">
      <x:c r="A12" s="11"/>
      <x:c r="B12" s="9"/>
      <x:c r="C12" s="9"/>
      <x:c r="D12" s="9"/>
      <x:c r="E12" s="9"/>
      <x:c r="F12" s="9"/>
      <x:c r="G12" s="13"/>
      <x:c r="H12" s="13"/>
      <x:c r="I12" s="14" t="str">
        <x:f>IF(OR(A12="",C12&lt;&gt;"pagada",NOT(ISNUMBER(G12)),NOT(ISNUMBER(H12))),"",G12-H12)</x:f>
      </x:c>
      <x:c r="J12" s="17" t="n">
        <x:f>IF(A12="",0,IF(AND(C12="pagada",NOT(ISNUMBER(H12))),1,0))</x:f>
        <x:v>0</x:v>
      </x:c>
      <x:c r="K12" s="2"/>
    </x:row>
    <x:row r="13" ht="22" customHeight="1">
      <x:c r="A13" s="11"/>
      <x:c r="B13" s="9"/>
      <x:c r="C13" s="9"/>
      <x:c r="D13" s="9"/>
      <x:c r="E13" s="9"/>
      <x:c r="F13" s="9"/>
      <x:c r="G13" s="13"/>
      <x:c r="H13" s="13"/>
      <x:c r="I13" s="14" t="str">
        <x:f>IF(OR(A13="",C13&lt;&gt;"pagada",NOT(ISNUMBER(G13)),NOT(ISNUMBER(H13))),"",G13-H13)</x:f>
      </x:c>
      <x:c r="J13" s="17" t="n">
        <x:f>IF(A13="",0,IF(AND(C13="pagada",NOT(ISNUMBER(H13))),1,0))</x:f>
        <x:v>0</x:v>
      </x:c>
      <x:c r="K13" s="2"/>
    </x:row>
    <x:row r="14" ht="22" customHeight="1">
      <x:c r="A14" s="11"/>
      <x:c r="B14" s="9"/>
      <x:c r="C14" s="9"/>
      <x:c r="D14" s="9"/>
      <x:c r="E14" s="9"/>
      <x:c r="F14" s="9"/>
      <x:c r="G14" s="13"/>
      <x:c r="H14" s="13"/>
      <x:c r="I14" s="14" t="str">
        <x:f>IF(OR(A14="",C14&lt;&gt;"pagada",NOT(ISNUMBER(G14)),NOT(ISNUMBER(H14))),"",G14-H14)</x:f>
      </x:c>
      <x:c r="J14" s="17" t="n">
        <x:f>IF(A14="",0,IF(AND(C14="pagada",NOT(ISNUMBER(H14))),1,0))</x:f>
        <x:v>0</x:v>
      </x:c>
      <x:c r="K14" s="2"/>
    </x:row>
    <x:row r="15" ht="22" customHeight="1">
      <x:c r="A15" s="11"/>
      <x:c r="B15" s="9"/>
      <x:c r="C15" s="9"/>
      <x:c r="D15" s="9"/>
      <x:c r="E15" s="9"/>
      <x:c r="F15" s="9"/>
      <x:c r="G15" s="13"/>
      <x:c r="H15" s="13"/>
      <x:c r="I15" s="14" t="str">
        <x:f>IF(OR(A15="",C15&lt;&gt;"pagada",NOT(ISNUMBER(G15)),NOT(ISNUMBER(H15))),"",G15-H15)</x:f>
      </x:c>
      <x:c r="J15" s="17" t="n">
        <x:f>IF(A15="",0,IF(AND(C15="pagada",NOT(ISNUMBER(H15))),1,0))</x:f>
        <x:v>0</x:v>
      </x:c>
      <x:c r="K15" s="2"/>
    </x:row>
    <x:row r="16" ht="22" customHeight="1">
      <x:c r="A16" s="11"/>
      <x:c r="B16" s="9"/>
      <x:c r="C16" s="9"/>
      <x:c r="D16" s="9"/>
      <x:c r="E16" s="9"/>
      <x:c r="F16" s="9"/>
      <x:c r="G16" s="13"/>
      <x:c r="H16" s="13"/>
      <x:c r="I16" s="14" t="str">
        <x:f>IF(OR(A16="",C16&lt;&gt;"pagada",NOT(ISNUMBER(G16)),NOT(ISNUMBER(H16))),"",G16-H16)</x:f>
      </x:c>
      <x:c r="J16" s="17" t="n">
        <x:f>IF(A16="",0,IF(AND(C16="pagada",NOT(ISNUMBER(H16))),1,0))</x:f>
        <x:v>0</x:v>
      </x:c>
      <x:c r="K16" s="2"/>
    </x:row>
    <x:row r="17" ht="22" customHeight="1">
      <x:c r="A17" s="11"/>
      <x:c r="B17" s="9"/>
      <x:c r="C17" s="9"/>
      <x:c r="D17" s="9"/>
      <x:c r="E17" s="9"/>
      <x:c r="F17" s="9"/>
      <x:c r="G17" s="13"/>
      <x:c r="H17" s="13"/>
      <x:c r="I17" s="14" t="str">
        <x:f>IF(OR(A17="",C17&lt;&gt;"pagada",NOT(ISNUMBER(G17)),NOT(ISNUMBER(H17))),"",G17-H17)</x:f>
      </x:c>
      <x:c r="J17" s="17" t="n">
        <x:f>IF(A17="",0,IF(AND(C17="pagada",NOT(ISNUMBER(H17))),1,0))</x:f>
        <x:v>0</x:v>
      </x:c>
      <x:c r="K17" s="2"/>
    </x:row>
    <x:row r="18" ht="22" customHeight="1">
      <x:c r="A18" s="11"/>
      <x:c r="B18" s="9"/>
      <x:c r="C18" s="9"/>
      <x:c r="D18" s="9"/>
      <x:c r="E18" s="9"/>
      <x:c r="F18" s="9"/>
      <x:c r="G18" s="13"/>
      <x:c r="H18" s="13"/>
      <x:c r="I18" s="14" t="str">
        <x:f>IF(OR(A18="",C18&lt;&gt;"pagada",NOT(ISNUMBER(G18)),NOT(ISNUMBER(H18))),"",G18-H18)</x:f>
      </x:c>
      <x:c r="J18" s="17" t="n">
        <x:f>IF(A18="",0,IF(AND(C18="pagada",NOT(ISNUMBER(H18))),1,0))</x:f>
        <x:v>0</x:v>
      </x:c>
      <x:c r="K18" s="2"/>
    </x:row>
    <x:row r="19" ht="22" customHeight="1">
      <x:c r="A19" s="11"/>
      <x:c r="B19" s="9"/>
      <x:c r="C19" s="9"/>
      <x:c r="D19" s="9"/>
      <x:c r="E19" s="9"/>
      <x:c r="F19" s="9"/>
      <x:c r="G19" s="13"/>
      <x:c r="H19" s="13"/>
      <x:c r="I19" s="14" t="str">
        <x:f>IF(OR(A19="",C19&lt;&gt;"pagada",NOT(ISNUMBER(G19)),NOT(ISNUMBER(H19))),"",G19-H19)</x:f>
      </x:c>
      <x:c r="J19" s="17" t="n">
        <x:f>IF(A19="",0,IF(AND(C19="pagada",NOT(ISNUMBER(H19))),1,0))</x:f>
        <x:v>0</x:v>
      </x:c>
      <x:c r="K19" s="2"/>
    </x:row>
    <x:row r="20" ht="22" customHeight="1">
      <x:c r="A20" s="11"/>
      <x:c r="B20" s="9"/>
      <x:c r="C20" s="9"/>
      <x:c r="D20" s="9"/>
      <x:c r="E20" s="9"/>
      <x:c r="F20" s="9"/>
      <x:c r="G20" s="13"/>
      <x:c r="H20" s="13"/>
      <x:c r="I20" s="14" t="str">
        <x:f>IF(OR(A20="",C20&lt;&gt;"pagada",NOT(ISNUMBER(G20)),NOT(ISNUMBER(H20))),"",G20-H20)</x:f>
      </x:c>
      <x:c r="J20" s="17" t="n">
        <x:f>IF(A20="",0,IF(AND(C20="pagada",NOT(ISNUMBER(H20))),1,0))</x:f>
        <x:v>0</x:v>
      </x:c>
      <x:c r="K20" s="2"/>
    </x:row>
    <x:row r="21" ht="22" customHeight="1">
      <x:c r="A21" s="11"/>
      <x:c r="B21" s="9"/>
      <x:c r="C21" s="9"/>
      <x:c r="D21" s="9"/>
      <x:c r="E21" s="9"/>
      <x:c r="F21" s="9"/>
      <x:c r="G21" s="13"/>
      <x:c r="H21" s="13"/>
      <x:c r="I21" s="14" t="str">
        <x:f>IF(OR(A21="",C21&lt;&gt;"pagada",NOT(ISNUMBER(G21)),NOT(ISNUMBER(H21))),"",G21-H21)</x:f>
      </x:c>
      <x:c r="J21" s="17" t="n">
        <x:f>IF(A21="",0,IF(AND(C21="pagada",NOT(ISNUMBER(H21))),1,0))</x:f>
        <x:v>0</x:v>
      </x:c>
      <x:c r="K21" s="2"/>
    </x:row>
    <x:row r="22" ht="22" customHeight="1">
      <x:c r="A22" s="11"/>
      <x:c r="B22" s="9"/>
      <x:c r="C22" s="9"/>
      <x:c r="D22" s="9"/>
      <x:c r="E22" s="9"/>
      <x:c r="F22" s="9"/>
      <x:c r="G22" s="13"/>
      <x:c r="H22" s="13"/>
      <x:c r="I22" s="14" t="str">
        <x:f>IF(OR(A22="",C22&lt;&gt;"pagada",NOT(ISNUMBER(G22)),NOT(ISNUMBER(H22))),"",G22-H22)</x:f>
      </x:c>
      <x:c r="J22" s="17" t="n">
        <x:f>IF(A22="",0,IF(AND(C22="pagada",NOT(ISNUMBER(H22))),1,0))</x:f>
        <x:v>0</x:v>
      </x:c>
      <x:c r="K22" s="2"/>
    </x:row>
    <x:row r="23" ht="22" customHeight="1">
      <x:c r="A23" s="11"/>
      <x:c r="B23" s="9"/>
      <x:c r="C23" s="9"/>
      <x:c r="D23" s="9"/>
      <x:c r="E23" s="9"/>
      <x:c r="F23" s="9"/>
      <x:c r="G23" s="13"/>
      <x:c r="H23" s="13"/>
      <x:c r="I23" s="14" t="str">
        <x:f>IF(OR(A23="",C23&lt;&gt;"pagada",NOT(ISNUMBER(G23)),NOT(ISNUMBER(H23))),"",G23-H23)</x:f>
      </x:c>
      <x:c r="J23" s="17" t="n">
        <x:f>IF(A23="",0,IF(AND(C23="pagada",NOT(ISNUMBER(H23))),1,0))</x:f>
        <x:v>0</x:v>
      </x:c>
      <x:c r="K23" s="2"/>
    </x:row>
    <x:row r="24" ht="22" customHeight="1">
      <x:c r="A24" s="11"/>
      <x:c r="B24" s="9"/>
      <x:c r="C24" s="9"/>
      <x:c r="D24" s="9"/>
      <x:c r="E24" s="9"/>
      <x:c r="F24" s="9"/>
      <x:c r="G24" s="13"/>
      <x:c r="H24" s="13"/>
      <x:c r="I24" s="14" t="str">
        <x:f>IF(OR(A24="",C24&lt;&gt;"pagada",NOT(ISNUMBER(G24)),NOT(ISNUMBER(H24))),"",G24-H24)</x:f>
      </x:c>
      <x:c r="J24" s="17" t="n">
        <x:f>IF(A24="",0,IF(AND(C24="pagada",NOT(ISNUMBER(H24))),1,0))</x:f>
        <x:v>0</x:v>
      </x:c>
      <x:c r="K24" s="2"/>
    </x:row>
    <x:row r="25" ht="22" customHeight="1">
      <x:c r="A25" s="11"/>
      <x:c r="B25" s="9"/>
      <x:c r="C25" s="9"/>
      <x:c r="D25" s="9"/>
      <x:c r="E25" s="9"/>
      <x:c r="F25" s="9"/>
      <x:c r="G25" s="13"/>
      <x:c r="H25" s="13"/>
      <x:c r="I25" s="14" t="str">
        <x:f>IF(OR(A25="",C25&lt;&gt;"pagada",NOT(ISNUMBER(G25)),NOT(ISNUMBER(H25))),"",G25-H25)</x:f>
      </x:c>
      <x:c r="J25" s="17" t="n">
        <x:f>IF(A25="",0,IF(AND(C25="pagada",NOT(ISNUMBER(H25))),1,0))</x:f>
        <x:v>0</x:v>
      </x:c>
      <x:c r="K25" s="2"/>
    </x:row>
    <x:row r="26" ht="22" customHeight="1">
      <x:c r="A26" s="11"/>
      <x:c r="B26" s="9"/>
      <x:c r="C26" s="9"/>
      <x:c r="D26" s="9"/>
      <x:c r="E26" s="9"/>
      <x:c r="F26" s="9"/>
      <x:c r="G26" s="13"/>
      <x:c r="H26" s="13"/>
      <x:c r="I26" s="14" t="str">
        <x:f>IF(OR(A26="",C26&lt;&gt;"pagada",NOT(ISNUMBER(G26)),NOT(ISNUMBER(H26))),"",G26-H26)</x:f>
      </x:c>
      <x:c r="J26" s="17" t="n">
        <x:f>IF(A26="",0,IF(AND(C26="pagada",NOT(ISNUMBER(H26))),1,0))</x:f>
        <x:v>0</x:v>
      </x:c>
      <x:c r="K26" s="2"/>
    </x:row>
    <x:row r="27" ht="22" customHeight="1">
      <x:c r="A27" s="11"/>
      <x:c r="B27" s="9"/>
      <x:c r="C27" s="9"/>
      <x:c r="D27" s="9"/>
      <x:c r="E27" s="9"/>
      <x:c r="F27" s="9"/>
      <x:c r="G27" s="13"/>
      <x:c r="H27" s="13"/>
      <x:c r="I27" s="14" t="str">
        <x:f>IF(OR(A27="",C27&lt;&gt;"pagada",NOT(ISNUMBER(G27)),NOT(ISNUMBER(H27))),"",G27-H27)</x:f>
      </x:c>
      <x:c r="J27" s="17" t="n">
        <x:f>IF(A27="",0,IF(AND(C27="pagada",NOT(ISNUMBER(H27))),1,0))</x:f>
        <x:v>0</x:v>
      </x:c>
      <x:c r="K27" s="2"/>
    </x:row>
    <x:row r="28" ht="22" customHeight="1">
      <x:c r="A28" s="11"/>
      <x:c r="B28" s="9"/>
      <x:c r="C28" s="9"/>
      <x:c r="D28" s="9"/>
      <x:c r="E28" s="9"/>
      <x:c r="F28" s="9"/>
      <x:c r="G28" s="13"/>
      <x:c r="H28" s="13"/>
      <x:c r="I28" s="14" t="str">
        <x:f>IF(OR(A28="",C28&lt;&gt;"pagada",NOT(ISNUMBER(G28)),NOT(ISNUMBER(H28))),"",G28-H28)</x:f>
      </x:c>
      <x:c r="J28" s="17" t="n">
        <x:f>IF(A28="",0,IF(AND(C28="pagada",NOT(ISNUMBER(H28))),1,0))</x:f>
        <x:v>0</x:v>
      </x:c>
      <x:c r="K28" s="2"/>
    </x:row>
    <x:row r="29" ht="22" customHeight="1">
      <x:c r="A29" s="11"/>
      <x:c r="B29" s="9"/>
      <x:c r="C29" s="9"/>
      <x:c r="D29" s="9"/>
      <x:c r="E29" s="9"/>
      <x:c r="F29" s="9"/>
      <x:c r="G29" s="13"/>
      <x:c r="H29" s="13"/>
      <x:c r="I29" s="14" t="str">
        <x:f>IF(OR(A29="",C29&lt;&gt;"pagada",NOT(ISNUMBER(G29)),NOT(ISNUMBER(H29))),"",G29-H29)</x:f>
      </x:c>
      <x:c r="J29" s="17" t="n">
        <x:f>IF(A29="",0,IF(AND(C29="pagada",NOT(ISNUMBER(H29))),1,0))</x:f>
        <x:v>0</x:v>
      </x:c>
      <x:c r="K29" s="2"/>
    </x:row>
    <x:row r="30" ht="22" customHeight="1">
      <x:c r="A30" s="11"/>
      <x:c r="B30" s="9"/>
      <x:c r="C30" s="9"/>
      <x:c r="D30" s="9"/>
      <x:c r="E30" s="9"/>
      <x:c r="F30" s="9"/>
      <x:c r="G30" s="13"/>
      <x:c r="H30" s="13"/>
      <x:c r="I30" s="14" t="str">
        <x:f>IF(OR(A30="",C30&lt;&gt;"pagada",NOT(ISNUMBER(G30)),NOT(ISNUMBER(H30))),"",G30-H30)</x:f>
      </x:c>
      <x:c r="J30" s="17" t="n">
        <x:f>IF(A30="",0,IF(AND(C30="pagada",NOT(ISNUMBER(H30))),1,0))</x:f>
        <x:v>0</x:v>
      </x:c>
      <x:c r="K30" s="2"/>
    </x:row>
    <x:row r="31" ht="22" customHeight="1">
      <x:c r="A31" s="11"/>
      <x:c r="B31" s="9"/>
      <x:c r="C31" s="9"/>
      <x:c r="D31" s="9"/>
      <x:c r="E31" s="9"/>
      <x:c r="F31" s="9"/>
      <x:c r="G31" s="13"/>
      <x:c r="H31" s="13"/>
      <x:c r="I31" s="14" t="str">
        <x:f>IF(OR(A31="",C31&lt;&gt;"pagada",NOT(ISNUMBER(G31)),NOT(ISNUMBER(H31))),"",G31-H31)</x:f>
      </x:c>
      <x:c r="J31" s="17" t="n">
        <x:f>IF(A31="",0,IF(AND(C31="pagada",NOT(ISNUMBER(H31))),1,0))</x:f>
        <x:v>0</x:v>
      </x:c>
      <x:c r="K31" s="2"/>
    </x:row>
    <x:row r="32" ht="22" customHeight="1">
      <x:c r="A32" s="11"/>
      <x:c r="B32" s="9"/>
      <x:c r="C32" s="9"/>
      <x:c r="D32" s="9"/>
      <x:c r="E32" s="9"/>
      <x:c r="F32" s="9"/>
      <x:c r="G32" s="13"/>
      <x:c r="H32" s="13"/>
      <x:c r="I32" s="14" t="str">
        <x:f>IF(OR(A32="",C32&lt;&gt;"pagada",NOT(ISNUMBER(G32)),NOT(ISNUMBER(H32))),"",G32-H32)</x:f>
      </x:c>
      <x:c r="J32" s="17" t="n">
        <x:f>IF(A32="",0,IF(AND(C32="pagada",NOT(ISNUMBER(H32))),1,0))</x:f>
        <x:v>0</x:v>
      </x:c>
      <x:c r="K32" s="2"/>
    </x:row>
    <x:row r="33" ht="22" customHeight="1">
      <x:c r="A33" s="11"/>
      <x:c r="B33" s="9"/>
      <x:c r="C33" s="9"/>
      <x:c r="D33" s="9"/>
      <x:c r="E33" s="9"/>
      <x:c r="F33" s="9"/>
      <x:c r="G33" s="13"/>
      <x:c r="H33" s="13"/>
      <x:c r="I33" s="14" t="str">
        <x:f>IF(OR(A33="",C33&lt;&gt;"pagada",NOT(ISNUMBER(G33)),NOT(ISNUMBER(H33))),"",G33-H33)</x:f>
      </x:c>
      <x:c r="J33" s="17" t="n">
        <x:f>IF(A33="",0,IF(AND(C33="pagada",NOT(ISNUMBER(H33))),1,0))</x:f>
        <x:v>0</x:v>
      </x:c>
      <x:c r="K33" s="2"/>
    </x:row>
    <x:row r="34" ht="22" customHeight="1">
      <x:c r="A34" s="11"/>
      <x:c r="B34" s="9"/>
      <x:c r="C34" s="9"/>
      <x:c r="D34" s="9"/>
      <x:c r="E34" s="9"/>
      <x:c r="F34" s="9"/>
      <x:c r="G34" s="13"/>
      <x:c r="H34" s="13"/>
      <x:c r="I34" s="14" t="str">
        <x:f>IF(OR(A34="",C34&lt;&gt;"pagada",NOT(ISNUMBER(G34)),NOT(ISNUMBER(H34))),"",G34-H34)</x:f>
      </x:c>
      <x:c r="J34" s="17" t="n">
        <x:f>IF(A34="",0,IF(AND(C34="pagada",NOT(ISNUMBER(H34))),1,0))</x:f>
        <x:v>0</x:v>
      </x:c>
      <x:c r="K34" s="2"/>
    </x:row>
    <x:row r="35" ht="22" customHeight="1">
      <x:c r="A35" s="11"/>
      <x:c r="B35" s="9"/>
      <x:c r="C35" s="9"/>
      <x:c r="D35" s="9"/>
      <x:c r="E35" s="9"/>
      <x:c r="F35" s="9"/>
      <x:c r="G35" s="13"/>
      <x:c r="H35" s="13"/>
      <x:c r="I35" s="14" t="str">
        <x:f>IF(OR(A35="",C35&lt;&gt;"pagada",NOT(ISNUMBER(G35)),NOT(ISNUMBER(H35))),"",G35-H35)</x:f>
      </x:c>
      <x:c r="J35" s="17" t="n">
        <x:f>IF(A35="",0,IF(AND(C35="pagada",NOT(ISNUMBER(H35))),1,0))</x:f>
        <x:v>0</x:v>
      </x:c>
      <x:c r="K35" s="2"/>
    </x:row>
    <x:row r="36" ht="22" customHeight="1">
      <x:c r="A36" s="11"/>
      <x:c r="B36" s="9"/>
      <x:c r="C36" s="9"/>
      <x:c r="D36" s="9"/>
      <x:c r="E36" s="9"/>
      <x:c r="F36" s="9"/>
      <x:c r="G36" s="13"/>
      <x:c r="H36" s="13"/>
      <x:c r="I36" s="14" t="str">
        <x:f>IF(OR(A36="",C36&lt;&gt;"pagada",NOT(ISNUMBER(G36)),NOT(ISNUMBER(H36))),"",G36-H36)</x:f>
      </x:c>
      <x:c r="J36" s="17" t="n">
        <x:f>IF(A36="",0,IF(AND(C36="pagada",NOT(ISNUMBER(H36))),1,0))</x:f>
        <x:v>0</x:v>
      </x:c>
      <x:c r="K36" s="2"/>
    </x:row>
    <x:row r="37" ht="22" customHeight="1">
      <x:c r="A37" s="11"/>
      <x:c r="B37" s="9"/>
      <x:c r="C37" s="9"/>
      <x:c r="D37" s="9"/>
      <x:c r="E37" s="9"/>
      <x:c r="F37" s="9"/>
      <x:c r="G37" s="13"/>
      <x:c r="H37" s="13"/>
      <x:c r="I37" s="14" t="str">
        <x:f>IF(OR(A37="",C37&lt;&gt;"pagada",NOT(ISNUMBER(G37)),NOT(ISNUMBER(H37))),"",G37-H37)</x:f>
      </x:c>
      <x:c r="J37" s="17" t="n">
        <x:f>IF(A37="",0,IF(AND(C37="pagada",NOT(ISNUMBER(H37))),1,0))</x:f>
        <x:v>0</x:v>
      </x:c>
      <x:c r="K37" s="2"/>
    </x:row>
    <x:row r="38" ht="22" customHeight="1">
      <x:c r="A38" s="11"/>
      <x:c r="B38" s="9"/>
      <x:c r="C38" s="9"/>
      <x:c r="D38" s="9"/>
      <x:c r="E38" s="9"/>
      <x:c r="F38" s="9"/>
      <x:c r="G38" s="13"/>
      <x:c r="H38" s="13"/>
      <x:c r="I38" s="14" t="str">
        <x:f>IF(OR(A38="",C38&lt;&gt;"pagada",NOT(ISNUMBER(G38)),NOT(ISNUMBER(H38))),"",G38-H38)</x:f>
      </x:c>
      <x:c r="J38" s="17" t="n">
        <x:f>IF(A38="",0,IF(AND(C38="pagada",NOT(ISNUMBER(H38))),1,0))</x:f>
        <x:v>0</x:v>
      </x:c>
      <x:c r="K38" s="2"/>
    </x:row>
    <x:row r="39" ht="22" customHeight="1">
      <x:c r="A39" s="11"/>
      <x:c r="B39" s="9"/>
      <x:c r="C39" s="9"/>
      <x:c r="D39" s="9"/>
      <x:c r="E39" s="9"/>
      <x:c r="F39" s="9"/>
      <x:c r="G39" s="13"/>
      <x:c r="H39" s="13"/>
      <x:c r="I39" s="14" t="str">
        <x:f>IF(OR(A39="",C39&lt;&gt;"pagada",NOT(ISNUMBER(G39)),NOT(ISNUMBER(H39))),"",G39-H39)</x:f>
      </x:c>
      <x:c r="J39" s="17" t="n">
        <x:f>IF(A39="",0,IF(AND(C39="pagada",NOT(ISNUMBER(H39))),1,0))</x:f>
        <x:v>0</x:v>
      </x:c>
      <x:c r="K39" s="2"/>
    </x:row>
    <x:row r="40" ht="22" customHeight="1">
      <x:c r="A40" s="11"/>
      <x:c r="B40" s="9"/>
      <x:c r="C40" s="9"/>
      <x:c r="D40" s="9"/>
      <x:c r="E40" s="9"/>
      <x:c r="F40" s="9"/>
      <x:c r="G40" s="13"/>
      <x:c r="H40" s="13"/>
      <x:c r="I40" s="14" t="str">
        <x:f>IF(OR(A40="",C40&lt;&gt;"pagada",NOT(ISNUMBER(G40)),NOT(ISNUMBER(H40))),"",G40-H40)</x:f>
      </x:c>
      <x:c r="J40" s="17" t="n">
        <x:f>IF(A40="",0,IF(AND(C40="pagada",NOT(ISNUMBER(H40))),1,0))</x:f>
        <x:v>0</x:v>
      </x:c>
      <x:c r="K40" s="2"/>
    </x:row>
    <x:row r="41" ht="22" customHeight="1">
      <x:c r="A41" s="11"/>
      <x:c r="B41" s="9"/>
      <x:c r="C41" s="9"/>
      <x:c r="D41" s="9"/>
      <x:c r="E41" s="9"/>
      <x:c r="F41" s="9"/>
      <x:c r="G41" s="13"/>
      <x:c r="H41" s="13"/>
      <x:c r="I41" s="14" t="str">
        <x:f>IF(OR(A41="",C41&lt;&gt;"pagada",NOT(ISNUMBER(G41)),NOT(ISNUMBER(H41))),"",G41-H41)</x:f>
      </x:c>
      <x:c r="J41" s="17" t="n">
        <x:f>IF(A41="",0,IF(AND(C41="pagada",NOT(ISNUMBER(H41))),1,0))</x:f>
        <x:v>0</x:v>
      </x:c>
      <x:c r="K41" s="2"/>
    </x:row>
    <x:row r="42" ht="22" customHeight="1">
      <x:c r="A42" s="11"/>
      <x:c r="B42" s="9"/>
      <x:c r="C42" s="9"/>
      <x:c r="D42" s="9"/>
      <x:c r="E42" s="9"/>
      <x:c r="F42" s="9"/>
      <x:c r="G42" s="13"/>
      <x:c r="H42" s="13"/>
      <x:c r="I42" s="14" t="str">
        <x:f>IF(OR(A42="",C42&lt;&gt;"pagada",NOT(ISNUMBER(G42)),NOT(ISNUMBER(H42))),"",G42-H42)</x:f>
      </x:c>
      <x:c r="J42" s="17" t="n">
        <x:f>IF(A42="",0,IF(AND(C42="pagada",NOT(ISNUMBER(H42))),1,0))</x:f>
        <x:v>0</x:v>
      </x:c>
      <x:c r="K42" s="2"/>
    </x:row>
    <x:row r="43" ht="22" customHeight="1">
      <x:c r="A43" s="11"/>
      <x:c r="B43" s="9"/>
      <x:c r="C43" s="9"/>
      <x:c r="D43" s="9"/>
      <x:c r="E43" s="9"/>
      <x:c r="F43" s="9"/>
      <x:c r="G43" s="13"/>
      <x:c r="H43" s="13"/>
      <x:c r="I43" s="14" t="str">
        <x:f>IF(OR(A43="",C43&lt;&gt;"pagada",NOT(ISNUMBER(G43)),NOT(ISNUMBER(H43))),"",G43-H43)</x:f>
      </x:c>
      <x:c r="J43" s="17" t="n">
        <x:f>IF(A43="",0,IF(AND(C43="pagada",NOT(ISNUMBER(H43))),1,0))</x:f>
        <x:v>0</x:v>
      </x:c>
      <x:c r="K43" s="2"/>
    </x:row>
    <x:row r="44" ht="22" customHeight="1">
      <x:c r="A44" s="11"/>
      <x:c r="B44" s="9"/>
      <x:c r="C44" s="9"/>
      <x:c r="D44" s="9"/>
      <x:c r="E44" s="9"/>
      <x:c r="F44" s="9"/>
      <x:c r="G44" s="13"/>
      <x:c r="H44" s="13"/>
      <x:c r="I44" s="14" t="str">
        <x:f>IF(OR(A44="",C44&lt;&gt;"pagada",NOT(ISNUMBER(G44)),NOT(ISNUMBER(H44))),"",G44-H44)</x:f>
      </x:c>
      <x:c r="J44" s="17" t="n">
        <x:f>IF(A44="",0,IF(AND(C44="pagada",NOT(ISNUMBER(H44))),1,0))</x:f>
        <x:v>0</x:v>
      </x:c>
      <x:c r="K44" s="2"/>
    </x:row>
    <x:row r="45" ht="22" customHeight="1">
      <x:c r="A45" s="11"/>
      <x:c r="B45" s="9"/>
      <x:c r="C45" s="9"/>
      <x:c r="D45" s="9"/>
      <x:c r="E45" s="9"/>
      <x:c r="F45" s="9"/>
      <x:c r="G45" s="13"/>
      <x:c r="H45" s="13"/>
      <x:c r="I45" s="14" t="str">
        <x:f>IF(OR(A45="",C45&lt;&gt;"pagada",NOT(ISNUMBER(G45)),NOT(ISNUMBER(H45))),"",G45-H45)</x:f>
      </x:c>
      <x:c r="J45" s="17" t="n">
        <x:f>IF(A45="",0,IF(AND(C45="pagada",NOT(ISNUMBER(H45))),1,0))</x:f>
        <x:v>0</x:v>
      </x:c>
      <x:c r="K45" s="2"/>
    </x:row>
    <x:row r="46" ht="22" customHeight="1">
      <x:c r="A46" s="11"/>
      <x:c r="B46" s="9"/>
      <x:c r="C46" s="9"/>
      <x:c r="D46" s="9"/>
      <x:c r="E46" s="9"/>
      <x:c r="F46" s="9"/>
      <x:c r="G46" s="13"/>
      <x:c r="H46" s="13"/>
      <x:c r="I46" s="14" t="str">
        <x:f>IF(OR(A46="",C46&lt;&gt;"pagada",NOT(ISNUMBER(G46)),NOT(ISNUMBER(H46))),"",G46-H46)</x:f>
      </x:c>
      <x:c r="J46" s="17" t="n">
        <x:f>IF(A46="",0,IF(AND(C46="pagada",NOT(ISNUMBER(H46))),1,0))</x:f>
        <x:v>0</x:v>
      </x:c>
      <x:c r="K46" s="2"/>
    </x:row>
    <x:row r="47" ht="22" customHeight="1">
      <x:c r="A47" s="11"/>
      <x:c r="B47" s="9"/>
      <x:c r="C47" s="9"/>
      <x:c r="D47" s="9"/>
      <x:c r="E47" s="9"/>
      <x:c r="F47" s="9"/>
      <x:c r="G47" s="13"/>
      <x:c r="H47" s="13"/>
      <x:c r="I47" s="14" t="str">
        <x:f>IF(OR(A47="",C47&lt;&gt;"pagada",NOT(ISNUMBER(G47)),NOT(ISNUMBER(H47))),"",G47-H47)</x:f>
      </x:c>
      <x:c r="J47" s="17" t="n">
        <x:f>IF(A47="",0,IF(AND(C47="pagada",NOT(ISNUMBER(H47))),1,0))</x:f>
        <x:v>0</x:v>
      </x:c>
      <x:c r="K47" s="2"/>
    </x:row>
    <x:row r="48" ht="22" customHeight="1">
      <x:c r="A48" s="11"/>
      <x:c r="B48" s="9"/>
      <x:c r="C48" s="9"/>
      <x:c r="D48" s="9"/>
      <x:c r="E48" s="9"/>
      <x:c r="F48" s="9"/>
      <x:c r="G48" s="13"/>
      <x:c r="H48" s="13"/>
      <x:c r="I48" s="14" t="str">
        <x:f>IF(OR(A48="",C48&lt;&gt;"pagada",NOT(ISNUMBER(G48)),NOT(ISNUMBER(H48))),"",G48-H48)</x:f>
      </x:c>
      <x:c r="J48" s="17" t="n">
        <x:f>IF(A48="",0,IF(AND(C48="pagada",NOT(ISNUMBER(H48))),1,0))</x:f>
        <x:v>0</x:v>
      </x:c>
      <x:c r="K48" s="2"/>
    </x:row>
    <x:row r="49" ht="22" customHeight="1">
      <x:c r="A49" s="11"/>
      <x:c r="B49" s="9"/>
      <x:c r="C49" s="9"/>
      <x:c r="D49" s="9"/>
      <x:c r="E49" s="9"/>
      <x:c r="F49" s="9"/>
      <x:c r="G49" s="13"/>
      <x:c r="H49" s="13"/>
      <x:c r="I49" s="14" t="str">
        <x:f>IF(OR(A49="",C49&lt;&gt;"pagada",NOT(ISNUMBER(G49)),NOT(ISNUMBER(H49))),"",G49-H49)</x:f>
      </x:c>
      <x:c r="J49" s="17" t="n">
        <x:f>IF(A49="",0,IF(AND(C49="pagada",NOT(ISNUMBER(H49))),1,0))</x:f>
        <x:v>0</x:v>
      </x:c>
      <x:c r="K49" s="2"/>
    </x:row>
    <x:row r="50" ht="22" customHeight="1">
      <x:c r="A50" s="11"/>
      <x:c r="B50" s="9"/>
      <x:c r="C50" s="9"/>
      <x:c r="D50" s="9"/>
      <x:c r="E50" s="9"/>
      <x:c r="F50" s="9"/>
      <x:c r="G50" s="13"/>
      <x:c r="H50" s="13"/>
      <x:c r="I50" s="14" t="str">
        <x:f>IF(OR(A50="",C50&lt;&gt;"pagada",NOT(ISNUMBER(G50)),NOT(ISNUMBER(H50))),"",G50-H50)</x:f>
      </x:c>
      <x:c r="J50" s="17" t="n">
        <x:f>IF(A50="",0,IF(AND(C50="pagada",NOT(ISNUMBER(H50))),1,0))</x:f>
        <x:v>0</x:v>
      </x:c>
      <x:c r="K50" s="2"/>
    </x:row>
    <x:row r="51" ht="22" customHeight="1">
      <x:c r="A51" s="11"/>
      <x:c r="B51" s="9"/>
      <x:c r="C51" s="9"/>
      <x:c r="D51" s="9"/>
      <x:c r="E51" s="9"/>
      <x:c r="F51" s="9"/>
      <x:c r="G51" s="13"/>
      <x:c r="H51" s="13"/>
      <x:c r="I51" s="14" t="str">
        <x:f>IF(OR(A51="",C51&lt;&gt;"pagada",NOT(ISNUMBER(G51)),NOT(ISNUMBER(H51))),"",G51-H51)</x:f>
      </x:c>
      <x:c r="J51" s="17" t="n">
        <x:f>IF(A51="",0,IF(AND(C51="pagada",NOT(ISNUMBER(H51))),1,0))</x:f>
        <x:v>0</x:v>
      </x:c>
      <x:c r="K51" s="2"/>
    </x:row>
    <x:row r="52" ht="22" customHeight="1">
      <x:c r="A52" s="11"/>
      <x:c r="B52" s="9"/>
      <x:c r="C52" s="9"/>
      <x:c r="D52" s="9"/>
      <x:c r="E52" s="9"/>
      <x:c r="F52" s="9"/>
      <x:c r="G52" s="13"/>
      <x:c r="H52" s="13"/>
      <x:c r="I52" s="14" t="str">
        <x:f>IF(OR(A52="",C52&lt;&gt;"pagada",NOT(ISNUMBER(G52)),NOT(ISNUMBER(H52))),"",G52-H52)</x:f>
      </x:c>
      <x:c r="J52" s="17" t="n">
        <x:f>IF(A52="",0,IF(AND(C52="pagada",NOT(ISNUMBER(H52))),1,0))</x:f>
        <x:v>0</x:v>
      </x:c>
      <x:c r="K52" s="2"/>
    </x:row>
    <x:row r="53" ht="22" customHeight="1">
      <x:c r="A53" s="11"/>
      <x:c r="B53" s="9"/>
      <x:c r="C53" s="9"/>
      <x:c r="D53" s="9"/>
      <x:c r="E53" s="9"/>
      <x:c r="F53" s="9"/>
      <x:c r="G53" s="13"/>
      <x:c r="H53" s="13"/>
      <x:c r="I53" s="14" t="str">
        <x:f>IF(OR(A53="",C53&lt;&gt;"pagada",NOT(ISNUMBER(G53)),NOT(ISNUMBER(H53))),"",G53-H53)</x:f>
      </x:c>
      <x:c r="J53" s="17" t="n">
        <x:f>IF(A53="",0,IF(AND(C53="pagada",NOT(ISNUMBER(H53))),1,0))</x:f>
        <x:v>0</x:v>
      </x:c>
      <x:c r="K53" s="2"/>
    </x:row>
    <x:row r="54" ht="22" customHeight="1">
      <x:c r="A54" s="11"/>
      <x:c r="B54" s="9"/>
      <x:c r="C54" s="9"/>
      <x:c r="D54" s="9"/>
      <x:c r="E54" s="9"/>
      <x:c r="F54" s="9"/>
      <x:c r="G54" s="13"/>
      <x:c r="H54" s="13"/>
      <x:c r="I54" s="14" t="str">
        <x:f>IF(OR(A54="",C54&lt;&gt;"pagada",NOT(ISNUMBER(G54)),NOT(ISNUMBER(H54))),"",G54-H54)</x:f>
      </x:c>
      <x:c r="J54" s="17" t="n">
        <x:f>IF(A54="",0,IF(AND(C54="pagada",NOT(ISNUMBER(H54))),1,0))</x:f>
        <x:v>0</x:v>
      </x:c>
      <x:c r="K54" s="2"/>
    </x:row>
    <x:row r="55" ht="22" customHeight="1">
      <x:c r="A55" s="11"/>
      <x:c r="B55" s="9"/>
      <x:c r="C55" s="9"/>
      <x:c r="D55" s="9"/>
      <x:c r="E55" s="9"/>
      <x:c r="F55" s="9"/>
      <x:c r="G55" s="13"/>
      <x:c r="H55" s="13"/>
      <x:c r="I55" s="14" t="str">
        <x:f>IF(OR(A55="",C55&lt;&gt;"pagada",NOT(ISNUMBER(G55)),NOT(ISNUMBER(H55))),"",G55-H55)</x:f>
      </x:c>
      <x:c r="J55" s="17" t="n">
        <x:f>IF(A55="",0,IF(AND(C55="pagada",NOT(ISNUMBER(H55))),1,0))</x:f>
        <x:v>0</x:v>
      </x:c>
      <x:c r="K55" s="2"/>
    </x:row>
    <x:row r="56" ht="22" customHeight="1">
      <x:c r="A56" s="11"/>
      <x:c r="B56" s="9"/>
      <x:c r="C56" s="9"/>
      <x:c r="D56" s="9"/>
      <x:c r="E56" s="9"/>
      <x:c r="F56" s="9"/>
      <x:c r="G56" s="13"/>
      <x:c r="H56" s="13"/>
      <x:c r="I56" s="14" t="str">
        <x:f>IF(OR(A56="",C56&lt;&gt;"pagada",NOT(ISNUMBER(G56)),NOT(ISNUMBER(H56))),"",G56-H56)</x:f>
      </x:c>
      <x:c r="J56" s="17" t="n">
        <x:f>IF(A56="",0,IF(AND(C56="pagada",NOT(ISNUMBER(H56))),1,0))</x:f>
        <x:v>0</x:v>
      </x:c>
      <x:c r="K56" s="2"/>
    </x:row>
    <x:row r="57" ht="22" customHeight="1">
      <x:c r="A57" s="11"/>
      <x:c r="B57" s="9"/>
      <x:c r="C57" s="9"/>
      <x:c r="D57" s="9"/>
      <x:c r="E57" s="9"/>
      <x:c r="F57" s="9"/>
      <x:c r="G57" s="13"/>
      <x:c r="H57" s="13"/>
      <x:c r="I57" s="14" t="str">
        <x:f>IF(OR(A57="",C57&lt;&gt;"pagada",NOT(ISNUMBER(G57)),NOT(ISNUMBER(H57))),"",G57-H57)</x:f>
      </x:c>
      <x:c r="J57" s="17" t="n">
        <x:f>IF(A57="",0,IF(AND(C57="pagada",NOT(ISNUMBER(H57))),1,0))</x:f>
        <x:v>0</x:v>
      </x:c>
      <x:c r="K57" s="2"/>
    </x:row>
    <x:row r="58" ht="22" customHeight="1">
      <x:c r="A58" s="11"/>
      <x:c r="B58" s="9"/>
      <x:c r="C58" s="9"/>
      <x:c r="D58" s="9"/>
      <x:c r="E58" s="9"/>
      <x:c r="F58" s="9"/>
      <x:c r="G58" s="13"/>
      <x:c r="H58" s="13"/>
      <x:c r="I58" s="14" t="str">
        <x:f>IF(OR(A58="",C58&lt;&gt;"pagada",NOT(ISNUMBER(G58)),NOT(ISNUMBER(H58))),"",G58-H58)</x:f>
      </x:c>
      <x:c r="J58" s="17" t="n">
        <x:f>IF(A58="",0,IF(AND(C58="pagada",NOT(ISNUMBER(H58))),1,0))</x:f>
        <x:v>0</x:v>
      </x:c>
      <x:c r="K58" s="2"/>
    </x:row>
    <x:row r="59" ht="22" customHeight="1">
      <x:c r="A59" s="11"/>
      <x:c r="B59" s="9"/>
      <x:c r="C59" s="9"/>
      <x:c r="D59" s="9"/>
      <x:c r="E59" s="9"/>
      <x:c r="F59" s="9"/>
      <x:c r="G59" s="13"/>
      <x:c r="H59" s="13"/>
      <x:c r="I59" s="14" t="str">
        <x:f>IF(OR(A59="",C59&lt;&gt;"pagada",NOT(ISNUMBER(G59)),NOT(ISNUMBER(H59))),"",G59-H59)</x:f>
      </x:c>
      <x:c r="J59" s="17" t="n">
        <x:f>IF(A59="",0,IF(AND(C59="pagada",NOT(ISNUMBER(H59))),1,0))</x:f>
        <x:v>0</x:v>
      </x:c>
      <x:c r="K59" s="2"/>
    </x:row>
    <x:row r="60" ht="22" customHeight="1">
      <x:c r="A60" s="11"/>
      <x:c r="B60" s="9"/>
      <x:c r="C60" s="9"/>
      <x:c r="D60" s="9"/>
      <x:c r="E60" s="9"/>
      <x:c r="F60" s="9"/>
      <x:c r="G60" s="13"/>
      <x:c r="H60" s="13"/>
      <x:c r="I60" s="14" t="str">
        <x:f>IF(OR(A60="",C60&lt;&gt;"pagada",NOT(ISNUMBER(G60)),NOT(ISNUMBER(H60))),"",G60-H60)</x:f>
      </x:c>
      <x:c r="J60" s="17" t="n">
        <x:f>IF(A60="",0,IF(AND(C60="pagada",NOT(ISNUMBER(H60))),1,0))</x:f>
        <x:v>0</x:v>
      </x:c>
      <x:c r="K60" s="2"/>
    </x:row>
    <x:row r="61" ht="22" customHeight="1">
      <x:c r="A61" s="12"/>
      <x:c r="B61" s="10"/>
      <x:c r="C61" s="10"/>
      <x:c r="D61" s="10"/>
      <x:c r="E61" s="10"/>
      <x:c r="F61" s="10"/>
      <x:c r="G61" s="15"/>
      <x:c r="H61" s="15"/>
      <x:c r="I61" s="19" t="str">
        <x:f>IF(OR(A61="",C61&lt;&gt;"pagada",NOT(ISNUMBER(G61)),NOT(ISNUMBER(H61))),"",G61-H61)</x:f>
      </x:c>
      <x:c r="J61" s="20" t="n">
        <x:f>IF(A61="",0,IF(AND(C61="pagada",NOT(ISNUMBER(H61))),1,0))</x:f>
        <x:v>0</x:v>
      </x:c>
    </x:row>
    <x:row r="62" ht="22" customHeight="1">
      <x:c r="A62" s="12"/>
      <x:c r="B62" s="10"/>
      <x:c r="C62" s="10"/>
      <x:c r="D62" s="10"/>
      <x:c r="E62" s="10"/>
      <x:c r="F62" s="10"/>
      <x:c r="G62" s="15"/>
      <x:c r="H62" s="15"/>
      <x:c r="I62" s="19" t="str">
        <x:f>IF(OR(A62="",C62&lt;&gt;"pagada",NOT(ISNUMBER(G62)),NOT(ISNUMBER(H62))),"",G62-H62)</x:f>
      </x:c>
      <x:c r="J62" s="20" t="n">
        <x:f>IF(A62="",0,IF(AND(C62="pagada",NOT(ISNUMBER(H62))),1,0))</x:f>
        <x:v>0</x:v>
      </x:c>
    </x:row>
    <x:row r="63" ht="22" customHeight="1">
      <x:c r="A63" s="12"/>
      <x:c r="B63" s="10"/>
      <x:c r="C63" s="10"/>
      <x:c r="D63" s="10"/>
      <x:c r="E63" s="10"/>
      <x:c r="F63" s="10"/>
      <x:c r="G63" s="15"/>
      <x:c r="H63" s="15"/>
      <x:c r="I63" s="19" t="str">
        <x:f>IF(OR(A63="",C63&lt;&gt;"pagada",NOT(ISNUMBER(G63)),NOT(ISNUMBER(H63))),"",G63-H63)</x:f>
      </x:c>
      <x:c r="J63" s="20" t="n">
        <x:f>IF(A63="",0,IF(AND(C63="pagada",NOT(ISNUMBER(H63))),1,0))</x:f>
        <x:v>0</x:v>
      </x:c>
    </x:row>
    <x:row r="64" ht="22" customHeight="1">
      <x:c r="A64" s="12"/>
      <x:c r="B64" s="10"/>
      <x:c r="C64" s="10"/>
      <x:c r="D64" s="10"/>
      <x:c r="E64" s="10"/>
      <x:c r="F64" s="10"/>
      <x:c r="G64" s="15"/>
      <x:c r="H64" s="15"/>
      <x:c r="I64" s="19" t="str">
        <x:f>IF(OR(A64="",C64&lt;&gt;"pagada",NOT(ISNUMBER(G64)),NOT(ISNUMBER(H64))),"",G64-H64)</x:f>
      </x:c>
      <x:c r="J64" s="20" t="n">
        <x:f>IF(A64="",0,IF(AND(C64="pagada",NOT(ISNUMBER(H64))),1,0))</x:f>
        <x:v>0</x:v>
      </x:c>
    </x:row>
    <x:row r="65" ht="22" customHeight="1">
      <x:c r="A65" s="12"/>
      <x:c r="B65" s="10"/>
      <x:c r="C65" s="10"/>
      <x:c r="D65" s="10"/>
      <x:c r="E65" s="10"/>
      <x:c r="F65" s="10"/>
      <x:c r="G65" s="15"/>
      <x:c r="H65" s="15"/>
      <x:c r="I65" s="19" t="str">
        <x:f>IF(OR(A65="",C65&lt;&gt;"pagada",NOT(ISNUMBER(G65)),NOT(ISNUMBER(H65))),"",G65-H65)</x:f>
      </x:c>
      <x:c r="J65" s="20" t="n">
        <x:f>IF(A65="",0,IF(AND(C65="pagada",NOT(ISNUMBER(H65))),1,0))</x:f>
        <x:v>0</x:v>
      </x:c>
    </x:row>
    <x:row r="66" ht="22" customHeight="1">
      <x:c r="A66" s="12"/>
      <x:c r="B66" s="10"/>
      <x:c r="C66" s="10"/>
      <x:c r="D66" s="10"/>
      <x:c r="E66" s="10"/>
      <x:c r="F66" s="10"/>
      <x:c r="G66" s="15"/>
      <x:c r="H66" s="15"/>
      <x:c r="I66" s="19" t="str">
        <x:f>IF(OR(A66="",C66&lt;&gt;"pagada",NOT(ISNUMBER(G66)),NOT(ISNUMBER(H66))),"",G66-H66)</x:f>
      </x:c>
      <x:c r="J66" s="20" t="n">
        <x:f>IF(A66="",0,IF(AND(C66="pagada",NOT(ISNUMBER(H66))),1,0))</x:f>
        <x:v>0</x:v>
      </x:c>
    </x:row>
    <x:row r="67" ht="22" customHeight="1">
      <x:c r="A67" s="12"/>
      <x:c r="B67" s="10"/>
      <x:c r="C67" s="10"/>
      <x:c r="D67" s="10"/>
      <x:c r="E67" s="10"/>
      <x:c r="F67" s="10"/>
      <x:c r="G67" s="15"/>
      <x:c r="H67" s="15"/>
      <x:c r="I67" s="19" t="str">
        <x:f>IF(OR(A67="",C67&lt;&gt;"pagada",NOT(ISNUMBER(G67)),NOT(ISNUMBER(H67))),"",G67-H67)</x:f>
      </x:c>
      <x:c r="J67" s="20" t="n">
        <x:f>IF(A67="",0,IF(AND(C67="pagada",NOT(ISNUMBER(H67))),1,0))</x:f>
        <x:v>0</x:v>
      </x:c>
    </x:row>
    <x:row r="68" ht="22" customHeight="1">
      <x:c r="A68" s="12"/>
      <x:c r="B68" s="10"/>
      <x:c r="C68" s="10"/>
      <x:c r="D68" s="10"/>
      <x:c r="E68" s="10"/>
      <x:c r="F68" s="10"/>
      <x:c r="G68" s="15"/>
      <x:c r="H68" s="15"/>
      <x:c r="I68" s="19" t="str">
        <x:f>IF(OR(A68="",C68&lt;&gt;"pagada",NOT(ISNUMBER(G68)),NOT(ISNUMBER(H68))),"",G68-H68)</x:f>
      </x:c>
      <x:c r="J68" s="20" t="n">
        <x:f>IF(A68="",0,IF(AND(C68="pagada",NOT(ISNUMBER(H68))),1,0))</x:f>
        <x:v>0</x:v>
      </x:c>
    </x:row>
    <x:row r="69" ht="22" customHeight="1">
      <x:c r="A69" s="12"/>
      <x:c r="B69" s="10"/>
      <x:c r="C69" s="10"/>
      <x:c r="D69" s="10"/>
      <x:c r="E69" s="10"/>
      <x:c r="F69" s="10"/>
      <x:c r="G69" s="15"/>
      <x:c r="H69" s="15"/>
      <x:c r="I69" s="19" t="str">
        <x:f>IF(OR(A69="",C69&lt;&gt;"pagada",NOT(ISNUMBER(G69)),NOT(ISNUMBER(H69))),"",G69-H69)</x:f>
      </x:c>
      <x:c r="J69" s="20" t="n">
        <x:f>IF(A69="",0,IF(AND(C69="pagada",NOT(ISNUMBER(H69))),1,0))</x:f>
        <x:v>0</x:v>
      </x:c>
    </x:row>
    <x:row r="70" ht="22" customHeight="1">
      <x:c r="A70" s="12"/>
      <x:c r="B70" s="10"/>
      <x:c r="C70" s="10"/>
      <x:c r="D70" s="10"/>
      <x:c r="E70" s="10"/>
      <x:c r="F70" s="10"/>
      <x:c r="G70" s="15"/>
      <x:c r="H70" s="15"/>
      <x:c r="I70" s="19" t="str">
        <x:f>IF(OR(A70="",C70&lt;&gt;"pagada",NOT(ISNUMBER(G70)),NOT(ISNUMBER(H70))),"",G70-H70)</x:f>
      </x:c>
      <x:c r="J70" s="20" t="n">
        <x:f>IF(A70="",0,IF(AND(C70="pagada",NOT(ISNUMBER(H70))),1,0))</x:f>
        <x:v>0</x:v>
      </x:c>
    </x:row>
    <x:row r="71" ht="22" customHeight="1">
      <x:c r="A71" s="12"/>
      <x:c r="B71" s="10"/>
      <x:c r="C71" s="10"/>
      <x:c r="D71" s="10"/>
      <x:c r="E71" s="10"/>
      <x:c r="F71" s="10"/>
      <x:c r="G71" s="15"/>
      <x:c r="H71" s="15"/>
      <x:c r="I71" s="19" t="str">
        <x:f>IF(OR(A71="",C71&lt;&gt;"pagada",NOT(ISNUMBER(G71)),NOT(ISNUMBER(H71))),"",G71-H71)</x:f>
      </x:c>
      <x:c r="J71" s="20" t="n">
        <x:f>IF(A71="",0,IF(AND(C71="pagada",NOT(ISNUMBER(H71))),1,0))</x:f>
        <x:v>0</x:v>
      </x:c>
    </x:row>
    <x:row r="72" ht="22" customHeight="1">
      <x:c r="A72" s="12"/>
      <x:c r="B72" s="10"/>
      <x:c r="C72" s="10"/>
      <x:c r="D72" s="10"/>
      <x:c r="E72" s="10"/>
      <x:c r="F72" s="10"/>
      <x:c r="G72" s="15"/>
      <x:c r="H72" s="15"/>
      <x:c r="I72" s="19" t="str">
        <x:f>IF(OR(A72="",C72&lt;&gt;"pagada",NOT(ISNUMBER(G72)),NOT(ISNUMBER(H72))),"",G72-H72)</x:f>
      </x:c>
      <x:c r="J72" s="20" t="n">
        <x:f>IF(A72="",0,IF(AND(C72="pagada",NOT(ISNUMBER(H72))),1,0))</x:f>
        <x:v>0</x:v>
      </x:c>
    </x:row>
    <x:row r="73" ht="22" customHeight="1">
      <x:c r="A73" s="12"/>
      <x:c r="B73" s="10"/>
      <x:c r="C73" s="10"/>
      <x:c r="D73" s="10"/>
      <x:c r="E73" s="10"/>
      <x:c r="F73" s="10"/>
      <x:c r="G73" s="15"/>
      <x:c r="H73" s="15"/>
      <x:c r="I73" s="19" t="str">
        <x:f>IF(OR(A73="",C73&lt;&gt;"pagada",NOT(ISNUMBER(G73)),NOT(ISNUMBER(H73))),"",G73-H73)</x:f>
      </x:c>
      <x:c r="J73" s="20" t="n">
        <x:f>IF(A73="",0,IF(AND(C73="pagada",NOT(ISNUMBER(H73))),1,0))</x:f>
        <x:v>0</x:v>
      </x:c>
    </x:row>
    <x:row r="74" ht="22" customHeight="1">
      <x:c r="A74" s="12"/>
      <x:c r="B74" s="10"/>
      <x:c r="C74" s="10"/>
      <x:c r="D74" s="10"/>
      <x:c r="E74" s="10"/>
      <x:c r="F74" s="10"/>
      <x:c r="G74" s="15"/>
      <x:c r="H74" s="15"/>
      <x:c r="I74" s="19" t="str">
        <x:f>IF(OR(A74="",C74&lt;&gt;"pagada",NOT(ISNUMBER(G74)),NOT(ISNUMBER(H74))),"",G74-H74)</x:f>
      </x:c>
      <x:c r="J74" s="20" t="n">
        <x:f>IF(A74="",0,IF(AND(C74="pagada",NOT(ISNUMBER(H74))),1,0))</x:f>
        <x:v>0</x:v>
      </x:c>
    </x:row>
    <x:row r="75" ht="22" customHeight="1">
      <x:c r="A75" s="12"/>
      <x:c r="B75" s="10"/>
      <x:c r="C75" s="10"/>
      <x:c r="D75" s="10"/>
      <x:c r="E75" s="10"/>
      <x:c r="F75" s="10"/>
      <x:c r="G75" s="15"/>
      <x:c r="H75" s="15"/>
      <x:c r="I75" s="19" t="str">
        <x:f>IF(OR(A75="",C75&lt;&gt;"pagada",NOT(ISNUMBER(G75)),NOT(ISNUMBER(H75))),"",G75-H75)</x:f>
      </x:c>
      <x:c r="J75" s="20" t="n">
        <x:f>IF(A75="",0,IF(AND(C75="pagada",NOT(ISNUMBER(H75))),1,0))</x:f>
        <x:v>0</x:v>
      </x:c>
    </x:row>
    <x:row r="76" ht="22" customHeight="1">
      <x:c r="A76" s="12"/>
      <x:c r="B76" s="10"/>
      <x:c r="C76" s="10"/>
      <x:c r="D76" s="10"/>
      <x:c r="E76" s="10"/>
      <x:c r="F76" s="10"/>
      <x:c r="G76" s="15"/>
      <x:c r="H76" s="15"/>
      <x:c r="I76" s="19" t="str">
        <x:f>IF(OR(A76="",C76&lt;&gt;"pagada",NOT(ISNUMBER(G76)),NOT(ISNUMBER(H76))),"",G76-H76)</x:f>
      </x:c>
      <x:c r="J76" s="20" t="n">
        <x:f>IF(A76="",0,IF(AND(C76="pagada",NOT(ISNUMBER(H76))),1,0))</x:f>
        <x:v>0</x:v>
      </x:c>
    </x:row>
    <x:row r="77" ht="22" customHeight="1">
      <x:c r="A77" s="12"/>
      <x:c r="B77" s="10"/>
      <x:c r="C77" s="10"/>
      <x:c r="D77" s="10"/>
      <x:c r="E77" s="10"/>
      <x:c r="F77" s="10"/>
      <x:c r="G77" s="15"/>
      <x:c r="H77" s="15"/>
      <x:c r="I77" s="19" t="str">
        <x:f>IF(OR(A77="",C77&lt;&gt;"pagada",NOT(ISNUMBER(G77)),NOT(ISNUMBER(H77))),"",G77-H77)</x:f>
      </x:c>
      <x:c r="J77" s="20" t="n">
        <x:f>IF(A77="",0,IF(AND(C77="pagada",NOT(ISNUMBER(H77))),1,0))</x:f>
        <x:v>0</x:v>
      </x:c>
    </x:row>
    <x:row r="78" ht="22" customHeight="1">
      <x:c r="A78" s="12"/>
      <x:c r="B78" s="10"/>
      <x:c r="C78" s="10"/>
      <x:c r="D78" s="10"/>
      <x:c r="E78" s="10"/>
      <x:c r="F78" s="10"/>
      <x:c r="G78" s="15"/>
      <x:c r="H78" s="15"/>
      <x:c r="I78" s="19" t="str">
        <x:f>IF(OR(A78="",C78&lt;&gt;"pagada",NOT(ISNUMBER(G78)),NOT(ISNUMBER(H78))),"",G78-H78)</x:f>
      </x:c>
      <x:c r="J78" s="20" t="n">
        <x:f>IF(A78="",0,IF(AND(C78="pagada",NOT(ISNUMBER(H78))),1,0))</x:f>
        <x:v>0</x:v>
      </x:c>
    </x:row>
    <x:row r="79" ht="22" customHeight="1">
      <x:c r="A79" s="12"/>
      <x:c r="B79" s="10"/>
      <x:c r="C79" s="10"/>
      <x:c r="D79" s="10"/>
      <x:c r="E79" s="10"/>
      <x:c r="F79" s="10"/>
      <x:c r="G79" s="15"/>
      <x:c r="H79" s="15"/>
      <x:c r="I79" s="19" t="str">
        <x:f>IF(OR(A79="",C79&lt;&gt;"pagada",NOT(ISNUMBER(G79)),NOT(ISNUMBER(H79))),"",G79-H79)</x:f>
      </x:c>
      <x:c r="J79" s="20" t="n">
        <x:f>IF(A79="",0,IF(AND(C79="pagada",NOT(ISNUMBER(H79))),1,0))</x:f>
        <x:v>0</x:v>
      </x:c>
    </x:row>
    <x:row r="80" ht="22" customHeight="1">
      <x:c r="A80" s="12"/>
      <x:c r="B80" s="10"/>
      <x:c r="C80" s="10"/>
      <x:c r="D80" s="10"/>
      <x:c r="E80" s="10"/>
      <x:c r="F80" s="10"/>
      <x:c r="G80" s="15"/>
      <x:c r="H80" s="15"/>
      <x:c r="I80" s="19" t="str">
        <x:f>IF(OR(A80="",C80&lt;&gt;"pagada",NOT(ISNUMBER(G80)),NOT(ISNUMBER(H80))),"",G80-H80)</x:f>
      </x:c>
      <x:c r="J80" s="20" t="n">
        <x:f>IF(A80="",0,IF(AND(C80="pagada",NOT(ISNUMBER(H80))),1,0))</x:f>
        <x:v>0</x:v>
      </x:c>
    </x:row>
    <x:row r="81" ht="22" customHeight="1">
      <x:c r="A81" s="12"/>
      <x:c r="B81" s="10"/>
      <x:c r="C81" s="10"/>
      <x:c r="D81" s="10"/>
      <x:c r="E81" s="10"/>
      <x:c r="F81" s="10"/>
      <x:c r="G81" s="15"/>
      <x:c r="H81" s="15"/>
      <x:c r="I81" s="19" t="str">
        <x:f>IF(OR(A81="",C81&lt;&gt;"pagada",NOT(ISNUMBER(G81)),NOT(ISNUMBER(H81))),"",G81-H81)</x:f>
      </x:c>
      <x:c r="J81" s="20" t="n">
        <x:f>IF(A81="",0,IF(AND(C81="pagada",NOT(ISNUMBER(H81))),1,0))</x:f>
        <x:v>0</x:v>
      </x:c>
    </x:row>
    <x:row r="82" ht="22" customHeight="1">
      <x:c r="A82" s="12"/>
      <x:c r="B82" s="10"/>
      <x:c r="C82" s="10"/>
      <x:c r="D82" s="10"/>
      <x:c r="E82" s="10"/>
      <x:c r="F82" s="10"/>
      <x:c r="G82" s="15"/>
      <x:c r="H82" s="15"/>
      <x:c r="I82" s="19" t="str">
        <x:f>IF(OR(A82="",C82&lt;&gt;"pagada",NOT(ISNUMBER(G82)),NOT(ISNUMBER(H82))),"",G82-H82)</x:f>
      </x:c>
      <x:c r="J82" s="20" t="n">
        <x:f>IF(A82="",0,IF(AND(C82="pagada",NOT(ISNUMBER(H82))),1,0))</x:f>
        <x:v>0</x:v>
      </x:c>
    </x:row>
    <x:row r="83" ht="22" customHeight="1">
      <x:c r="A83" s="12"/>
      <x:c r="B83" s="10"/>
      <x:c r="C83" s="10"/>
      <x:c r="D83" s="10"/>
      <x:c r="E83" s="10"/>
      <x:c r="F83" s="10"/>
      <x:c r="G83" s="15"/>
      <x:c r="H83" s="15"/>
      <x:c r="I83" s="19" t="str">
        <x:f>IF(OR(A83="",C83&lt;&gt;"pagada",NOT(ISNUMBER(G83)),NOT(ISNUMBER(H83))),"",G83-H83)</x:f>
      </x:c>
      <x:c r="J83" s="20" t="n">
        <x:f>IF(A83="",0,IF(AND(C83="pagada",NOT(ISNUMBER(H83))),1,0))</x:f>
        <x:v>0</x:v>
      </x:c>
    </x:row>
    <x:row r="84" ht="22" customHeight="1">
      <x:c r="A84" s="12"/>
      <x:c r="B84" s="10"/>
      <x:c r="C84" s="10"/>
      <x:c r="D84" s="10"/>
      <x:c r="E84" s="10"/>
      <x:c r="F84" s="10"/>
      <x:c r="G84" s="15"/>
      <x:c r="H84" s="15"/>
      <x:c r="I84" s="19" t="str">
        <x:f>IF(OR(A84="",C84&lt;&gt;"pagada",NOT(ISNUMBER(G84)),NOT(ISNUMBER(H84))),"",G84-H84)</x:f>
      </x:c>
      <x:c r="J84" s="20" t="n">
        <x:f>IF(A84="",0,IF(AND(C84="pagada",NOT(ISNUMBER(H84))),1,0))</x:f>
        <x:v>0</x:v>
      </x:c>
    </x:row>
    <x:row r="85" ht="22" customHeight="1">
      <x:c r="A85" s="12"/>
      <x:c r="B85" s="10"/>
      <x:c r="C85" s="10"/>
      <x:c r="D85" s="10"/>
      <x:c r="E85" s="10"/>
      <x:c r="F85" s="10"/>
      <x:c r="G85" s="15"/>
      <x:c r="H85" s="15"/>
      <x:c r="I85" s="19" t="str">
        <x:f>IF(OR(A85="",C85&lt;&gt;"pagada",NOT(ISNUMBER(G85)),NOT(ISNUMBER(H85))),"",G85-H85)</x:f>
      </x:c>
      <x:c r="J85" s="20" t="n">
        <x:f>IF(A85="",0,IF(AND(C85="pagada",NOT(ISNUMBER(H85))),1,0))</x:f>
        <x:v>0</x:v>
      </x:c>
    </x:row>
    <x:row r="86" ht="22" customHeight="1">
      <x:c r="A86" s="12"/>
      <x:c r="B86" s="10"/>
      <x:c r="C86" s="10"/>
      <x:c r="D86" s="10"/>
      <x:c r="E86" s="10"/>
      <x:c r="F86" s="10"/>
      <x:c r="G86" s="15"/>
      <x:c r="H86" s="15"/>
      <x:c r="I86" s="19" t="str">
        <x:f>IF(OR(A86="",C86&lt;&gt;"pagada",NOT(ISNUMBER(G86)),NOT(ISNUMBER(H86))),"",G86-H86)</x:f>
      </x:c>
      <x:c r="J86" s="20" t="n">
        <x:f>IF(A86="",0,IF(AND(C86="pagada",NOT(ISNUMBER(H86))),1,0))</x:f>
        <x:v>0</x:v>
      </x:c>
    </x:row>
    <x:row r="87" ht="22" customHeight="1">
      <x:c r="A87" s="12"/>
      <x:c r="B87" s="10"/>
      <x:c r="C87" s="10"/>
      <x:c r="D87" s="10"/>
      <x:c r="E87" s="10"/>
      <x:c r="F87" s="10"/>
      <x:c r="G87" s="15"/>
      <x:c r="H87" s="15"/>
      <x:c r="I87" s="19" t="str">
        <x:f>IF(OR(A87="",C87&lt;&gt;"pagada",NOT(ISNUMBER(G87)),NOT(ISNUMBER(H87))),"",G87-H87)</x:f>
      </x:c>
      <x:c r="J87" s="20" t="n">
        <x:f>IF(A87="",0,IF(AND(C87="pagada",NOT(ISNUMBER(H87))),1,0))</x:f>
        <x:v>0</x:v>
      </x:c>
    </x:row>
    <x:row r="88" ht="22" customHeight="1">
      <x:c r="A88" s="12"/>
      <x:c r="B88" s="10"/>
      <x:c r="C88" s="10"/>
      <x:c r="D88" s="10"/>
      <x:c r="E88" s="10"/>
      <x:c r="F88" s="10"/>
      <x:c r="G88" s="15"/>
      <x:c r="H88" s="15"/>
      <x:c r="I88" s="19" t="str">
        <x:f>IF(OR(A88="",C88&lt;&gt;"pagada",NOT(ISNUMBER(G88)),NOT(ISNUMBER(H88))),"",G88-H88)</x:f>
      </x:c>
      <x:c r="J88" s="20" t="n">
        <x:f>IF(A88="",0,IF(AND(C88="pagada",NOT(ISNUMBER(H88))),1,0))</x:f>
        <x:v>0</x:v>
      </x:c>
    </x:row>
    <x:row r="89" ht="22" customHeight="1">
      <x:c r="A89" s="12"/>
      <x:c r="B89" s="10"/>
      <x:c r="C89" s="10"/>
      <x:c r="D89" s="10"/>
      <x:c r="E89" s="10"/>
      <x:c r="F89" s="10"/>
      <x:c r="G89" s="15"/>
      <x:c r="H89" s="15"/>
      <x:c r="I89" s="19" t="str">
        <x:f>IF(OR(A89="",C89&lt;&gt;"pagada",NOT(ISNUMBER(G89)),NOT(ISNUMBER(H89))),"",G89-H89)</x:f>
      </x:c>
      <x:c r="J89" s="20" t="n">
        <x:f>IF(A89="",0,IF(AND(C89="pagada",NOT(ISNUMBER(H89))),1,0))</x:f>
        <x:v>0</x:v>
      </x:c>
    </x:row>
    <x:row r="90" ht="22" customHeight="1">
      <x:c r="A90" s="12"/>
      <x:c r="B90" s="10"/>
      <x:c r="C90" s="10"/>
      <x:c r="D90" s="10"/>
      <x:c r="E90" s="10"/>
      <x:c r="F90" s="10"/>
      <x:c r="G90" s="15"/>
      <x:c r="H90" s="15"/>
      <x:c r="I90" s="19" t="str">
        <x:f>IF(OR(A90="",C90&lt;&gt;"pagada",NOT(ISNUMBER(G90)),NOT(ISNUMBER(H90))),"",G90-H90)</x:f>
      </x:c>
      <x:c r="J90" s="20" t="n">
        <x:f>IF(A90="",0,IF(AND(C90="pagada",NOT(ISNUMBER(H90))),1,0))</x:f>
        <x:v>0</x:v>
      </x:c>
    </x:row>
    <x:row r="91" ht="22" customHeight="1">
      <x:c r="A91" s="12"/>
      <x:c r="B91" s="10"/>
      <x:c r="C91" s="10"/>
      <x:c r="D91" s="10"/>
      <x:c r="E91" s="10"/>
      <x:c r="F91" s="10"/>
      <x:c r="G91" s="15"/>
      <x:c r="H91" s="15"/>
      <x:c r="I91" s="19" t="str">
        <x:f>IF(OR(A91="",C91&lt;&gt;"pagada",NOT(ISNUMBER(G91)),NOT(ISNUMBER(H91))),"",G91-H91)</x:f>
      </x:c>
      <x:c r="J91" s="20" t="n">
        <x:f>IF(A91="",0,IF(AND(C91="pagada",NOT(ISNUMBER(H91))),1,0))</x:f>
        <x:v>0</x:v>
      </x:c>
    </x:row>
    <x:row r="92" ht="22" customHeight="1">
      <x:c r="A92" s="12"/>
      <x:c r="B92" s="10"/>
      <x:c r="C92" s="10"/>
      <x:c r="D92" s="10"/>
      <x:c r="E92" s="10"/>
      <x:c r="F92" s="10"/>
      <x:c r="G92" s="15"/>
      <x:c r="H92" s="15"/>
      <x:c r="I92" s="19" t="str">
        <x:f>IF(OR(A92="",C92&lt;&gt;"pagada",NOT(ISNUMBER(G92)),NOT(ISNUMBER(H92))),"",G92-H92)</x:f>
      </x:c>
      <x:c r="J92" s="20" t="n">
        <x:f>IF(A92="",0,IF(AND(C92="pagada",NOT(ISNUMBER(H92))),1,0))</x:f>
        <x:v>0</x:v>
      </x:c>
    </x:row>
    <x:row r="93" ht="22" customHeight="1">
      <x:c r="A93" s="12"/>
      <x:c r="B93" s="10"/>
      <x:c r="C93" s="10"/>
      <x:c r="D93" s="10"/>
      <x:c r="E93" s="10"/>
      <x:c r="F93" s="10"/>
      <x:c r="G93" s="15"/>
      <x:c r="H93" s="15"/>
      <x:c r="I93" s="19" t="str">
        <x:f>IF(OR(A93="",C93&lt;&gt;"pagada",NOT(ISNUMBER(G93)),NOT(ISNUMBER(H93))),"",G93-H93)</x:f>
      </x:c>
      <x:c r="J93" s="20" t="n">
        <x:f>IF(A93="",0,IF(AND(C93="pagada",NOT(ISNUMBER(H93))),1,0))</x:f>
        <x:v>0</x:v>
      </x:c>
    </x:row>
    <x:row r="94" ht="22" customHeight="1">
      <x:c r="A94" s="12"/>
      <x:c r="B94" s="10"/>
      <x:c r="C94" s="10"/>
      <x:c r="D94" s="10"/>
      <x:c r="E94" s="10"/>
      <x:c r="F94" s="10"/>
      <x:c r="G94" s="15"/>
      <x:c r="H94" s="15"/>
      <x:c r="I94" s="19" t="str">
        <x:f>IF(OR(A94="",C94&lt;&gt;"pagada",NOT(ISNUMBER(G94)),NOT(ISNUMBER(H94))),"",G94-H94)</x:f>
      </x:c>
      <x:c r="J94" s="20" t="n">
        <x:f>IF(A94="",0,IF(AND(C94="pagada",NOT(ISNUMBER(H94))),1,0))</x:f>
        <x:v>0</x:v>
      </x:c>
    </x:row>
    <x:row r="95" ht="22" customHeight="1">
      <x:c r="A95" s="12"/>
      <x:c r="B95" s="10"/>
      <x:c r="C95" s="10"/>
      <x:c r="D95" s="10"/>
      <x:c r="E95" s="10"/>
      <x:c r="F95" s="10"/>
      <x:c r="G95" s="15"/>
      <x:c r="H95" s="15"/>
      <x:c r="I95" s="19" t="str">
        <x:f>IF(OR(A95="",C95&lt;&gt;"pagada",NOT(ISNUMBER(G95)),NOT(ISNUMBER(H95))),"",G95-H95)</x:f>
      </x:c>
      <x:c r="J95" s="20" t="n">
        <x:f>IF(A95="",0,IF(AND(C95="pagada",NOT(ISNUMBER(H95))),1,0))</x:f>
        <x:v>0</x:v>
      </x:c>
    </x:row>
    <x:row r="96" ht="22" customHeight="1">
      <x:c r="A96" s="12"/>
      <x:c r="B96" s="10"/>
      <x:c r="C96" s="10"/>
      <x:c r="D96" s="10"/>
      <x:c r="E96" s="10"/>
      <x:c r="F96" s="10"/>
      <x:c r="G96" s="15"/>
      <x:c r="H96" s="15"/>
      <x:c r="I96" s="19" t="str">
        <x:f>IF(OR(A96="",C96&lt;&gt;"pagada",NOT(ISNUMBER(G96)),NOT(ISNUMBER(H96))),"",G96-H96)</x:f>
      </x:c>
      <x:c r="J96" s="20" t="n">
        <x:f>IF(A96="",0,IF(AND(C96="pagada",NOT(ISNUMBER(H96))),1,0))</x:f>
        <x:v>0</x:v>
      </x:c>
    </x:row>
    <x:row r="97" ht="22" customHeight="1">
      <x:c r="A97" s="12"/>
      <x:c r="B97" s="10"/>
      <x:c r="C97" s="10"/>
      <x:c r="D97" s="10"/>
      <x:c r="E97" s="10"/>
      <x:c r="F97" s="10"/>
      <x:c r="G97" s="15"/>
      <x:c r="H97" s="15"/>
      <x:c r="I97" s="19" t="str">
        <x:f>IF(OR(A97="",C97&lt;&gt;"pagada",NOT(ISNUMBER(G97)),NOT(ISNUMBER(H97))),"",G97-H97)</x:f>
      </x:c>
      <x:c r="J97" s="20" t="n">
        <x:f>IF(A97="",0,IF(AND(C97="pagada",NOT(ISNUMBER(H97))),1,0))</x:f>
        <x:v>0</x:v>
      </x:c>
    </x:row>
    <x:row r="98" ht="22" customHeight="1">
      <x:c r="A98" s="12"/>
      <x:c r="B98" s="10"/>
      <x:c r="C98" s="10"/>
      <x:c r="D98" s="10"/>
      <x:c r="E98" s="10"/>
      <x:c r="F98" s="10"/>
      <x:c r="G98" s="15"/>
      <x:c r="H98" s="15"/>
      <x:c r="I98" s="19" t="str">
        <x:f>IF(OR(A98="",C98&lt;&gt;"pagada",NOT(ISNUMBER(G98)),NOT(ISNUMBER(H98))),"",G98-H98)</x:f>
      </x:c>
      <x:c r="J98" s="20" t="n">
        <x:f>IF(A98="",0,IF(AND(C98="pagada",NOT(ISNUMBER(H98))),1,0))</x:f>
        <x:v>0</x:v>
      </x:c>
    </x:row>
    <x:row r="99" ht="22" customHeight="1">
      <x:c r="A99" s="12"/>
      <x:c r="B99" s="10"/>
      <x:c r="C99" s="10"/>
      <x:c r="D99" s="10"/>
      <x:c r="E99" s="10"/>
      <x:c r="F99" s="10"/>
      <x:c r="G99" s="15"/>
      <x:c r="H99" s="15"/>
      <x:c r="I99" s="19" t="str">
        <x:f>IF(OR(A99="",C99&lt;&gt;"pagada",NOT(ISNUMBER(G99)),NOT(ISNUMBER(H99))),"",G99-H99)</x:f>
      </x:c>
      <x:c r="J99" s="20" t="n">
        <x:f>IF(A99="",0,IF(AND(C99="pagada",NOT(ISNUMBER(H99))),1,0))</x:f>
        <x:v>0</x:v>
      </x:c>
    </x:row>
    <x:row r="100" ht="22" customHeight="1">
      <x:c r="A100" s="12"/>
      <x:c r="B100" s="10"/>
      <x:c r="C100" s="10"/>
      <x:c r="D100" s="10"/>
      <x:c r="E100" s="10"/>
      <x:c r="F100" s="10"/>
      <x:c r="G100" s="15"/>
      <x:c r="H100" s="15"/>
      <x:c r="I100" s="19" t="str">
        <x:f>IF(OR(A100="",C100&lt;&gt;"pagada",NOT(ISNUMBER(G100)),NOT(ISNUMBER(H100))),"",G100-H100)</x:f>
      </x:c>
      <x:c r="J100" s="20" t="n">
        <x:f>IF(A100="",0,IF(AND(C100="pagada",NOT(ISNUMBER(H100))),1,0))</x:f>
        <x:v>0</x:v>
      </x:c>
    </x:row>
    <x:row r="101" ht="22" customHeight="1">
      <x:c r="A101" s="12"/>
      <x:c r="B101" s="10"/>
      <x:c r="C101" s="10"/>
      <x:c r="D101" s="10"/>
      <x:c r="E101" s="10"/>
      <x:c r="F101" s="10"/>
      <x:c r="G101" s="15"/>
      <x:c r="H101" s="15"/>
      <x:c r="I101" s="19" t="str">
        <x:f>IF(OR(A101="",C101&lt;&gt;"pagada",NOT(ISNUMBER(G101)),NOT(ISNUMBER(H101))),"",G101-H101)</x:f>
      </x:c>
      <x:c r="J101" s="20" t="n">
        <x:f>IF(A101="",0,IF(AND(C101="pagada",NOT(ISNUMBER(H101))),1,0))</x:f>
        <x:v>0</x:v>
      </x:c>
    </x:row>
    <x:row r="102" ht="22" customHeight="1">
      <x:c r="A102" s="12"/>
      <x:c r="B102" s="10"/>
      <x:c r="C102" s="10"/>
      <x:c r="D102" s="10"/>
      <x:c r="E102" s="10"/>
      <x:c r="F102" s="10"/>
      <x:c r="G102" s="15"/>
      <x:c r="H102" s="15"/>
      <x:c r="I102" s="19" t="str">
        <x:f>IF(OR(A102="",C102&lt;&gt;"pagada",NOT(ISNUMBER(G102)),NOT(ISNUMBER(H102))),"",G102-H102)</x:f>
      </x:c>
      <x:c r="J102" s="20" t="n">
        <x:f>IF(A102="",0,IF(AND(C102="pagada",NOT(ISNUMBER(H102))),1,0))</x:f>
        <x:v>0</x:v>
      </x:c>
    </x:row>
    <x:row r="103" ht="22" customHeight="1">
      <x:c r="A103" s="12"/>
      <x:c r="B103" s="10"/>
      <x:c r="C103" s="10"/>
      <x:c r="D103" s="10"/>
      <x:c r="E103" s="10"/>
      <x:c r="F103" s="10"/>
      <x:c r="G103" s="15"/>
      <x:c r="H103" s="15"/>
      <x:c r="I103" s="19" t="str">
        <x:f>IF(OR(A103="",C103&lt;&gt;"pagada",NOT(ISNUMBER(G103)),NOT(ISNUMBER(H103))),"",G103-H103)</x:f>
      </x:c>
      <x:c r="J103" s="20" t="n">
        <x:f>IF(A103="",0,IF(AND(C103="pagada",NOT(ISNUMBER(H103))),1,0))</x:f>
        <x:v>0</x:v>
      </x:c>
    </x:row>
    <x:row r="104" ht="22" customHeight="1">
      <x:c r="A104" s="12"/>
      <x:c r="B104" s="10"/>
      <x:c r="C104" s="10"/>
      <x:c r="D104" s="10"/>
      <x:c r="E104" s="10"/>
      <x:c r="F104" s="10"/>
      <x:c r="G104" s="15"/>
      <x:c r="H104" s="15"/>
      <x:c r="I104" s="19" t="str">
        <x:f>IF(OR(A104="",C104&lt;&gt;"pagada",NOT(ISNUMBER(G104)),NOT(ISNUMBER(H104))),"",G104-H104)</x:f>
      </x:c>
      <x:c r="J104" s="20" t="n">
        <x:f>IF(A104="",0,IF(AND(C104="pagada",NOT(ISNUMBER(H104))),1,0))</x:f>
        <x:v>0</x:v>
      </x:c>
    </x:row>
    <x:row r="105" ht="22" customHeight="1">
      <x:c r="A105" s="12"/>
      <x:c r="B105" s="10"/>
      <x:c r="C105" s="10"/>
      <x:c r="D105" s="10"/>
      <x:c r="E105" s="10"/>
      <x:c r="F105" s="10"/>
      <x:c r="G105" s="15"/>
      <x:c r="H105" s="15"/>
      <x:c r="I105" s="19" t="str">
        <x:f>IF(OR(A105="",C105&lt;&gt;"pagada",NOT(ISNUMBER(G105)),NOT(ISNUMBER(H105))),"",G105-H105)</x:f>
      </x:c>
      <x:c r="J105" s="20" t="n">
        <x:f>IF(A105="",0,IF(AND(C105="pagada",NOT(ISNUMBER(H105))),1,0))</x:f>
        <x:v>0</x:v>
      </x:c>
    </x:row>
    <x:row r="106" ht="22" customHeight="1">
      <x:c r="A106" s="12"/>
      <x:c r="B106" s="10"/>
      <x:c r="C106" s="10"/>
      <x:c r="D106" s="10"/>
      <x:c r="E106" s="10"/>
      <x:c r="F106" s="10"/>
      <x:c r="G106" s="15"/>
      <x:c r="H106" s="15"/>
      <x:c r="I106" s="19" t="str">
        <x:f>IF(OR(A106="",C106&lt;&gt;"pagada",NOT(ISNUMBER(G106)),NOT(ISNUMBER(H106))),"",G106-H106)</x:f>
      </x:c>
      <x:c r="J106" s="20" t="n">
        <x:f>IF(A106="",0,IF(AND(C106="pagada",NOT(ISNUMBER(H106))),1,0))</x:f>
        <x:v>0</x:v>
      </x:c>
    </x:row>
    <x:row r="107" ht="22" customHeight="1">
      <x:c r="A107" s="12"/>
      <x:c r="B107" s="10"/>
      <x:c r="C107" s="10"/>
      <x:c r="D107" s="10"/>
      <x:c r="E107" s="10"/>
      <x:c r="F107" s="10"/>
      <x:c r="G107" s="15"/>
      <x:c r="H107" s="15"/>
      <x:c r="I107" s="19" t="str">
        <x:f>IF(OR(A107="",C107&lt;&gt;"pagada",NOT(ISNUMBER(G107)),NOT(ISNUMBER(H107))),"",G107-H107)</x:f>
      </x:c>
      <x:c r="J107" s="20" t="n">
        <x:f>IF(A107="",0,IF(AND(C107="pagada",NOT(ISNUMBER(H107))),1,0))</x:f>
        <x:v>0</x:v>
      </x:c>
    </x:row>
    <x:row r="108" ht="22" customHeight="1">
      <x:c r="A108" s="12"/>
      <x:c r="B108" s="10"/>
      <x:c r="C108" s="10"/>
      <x:c r="D108" s="10"/>
      <x:c r="E108" s="10"/>
      <x:c r="F108" s="10"/>
      <x:c r="G108" s="15"/>
      <x:c r="H108" s="15"/>
      <x:c r="I108" s="19" t="str">
        <x:f>IF(OR(A108="",C108&lt;&gt;"pagada",NOT(ISNUMBER(G108)),NOT(ISNUMBER(H108))),"",G108-H108)</x:f>
      </x:c>
      <x:c r="J108" s="20" t="n">
        <x:f>IF(A108="",0,IF(AND(C108="pagada",NOT(ISNUMBER(H108))),1,0))</x:f>
        <x:v>0</x:v>
      </x:c>
    </x:row>
    <x:row r="109" ht="22" customHeight="1">
      <x:c r="A109" s="12"/>
      <x:c r="B109" s="10"/>
      <x:c r="C109" s="10"/>
      <x:c r="D109" s="10"/>
      <x:c r="E109" s="10"/>
      <x:c r="F109" s="10"/>
      <x:c r="G109" s="15"/>
      <x:c r="H109" s="15"/>
      <x:c r="I109" s="19" t="str">
        <x:f>IF(OR(A109="",C109&lt;&gt;"pagada",NOT(ISNUMBER(G109)),NOT(ISNUMBER(H109))),"",G109-H109)</x:f>
      </x:c>
      <x:c r="J109" s="20" t="n">
        <x:f>IF(A109="",0,IF(AND(C109="pagada",NOT(ISNUMBER(H109))),1,0))</x:f>
        <x:v>0</x:v>
      </x:c>
    </x:row>
    <x:row r="110" ht="22" customHeight="1">
      <x:c r="A110" s="12"/>
      <x:c r="B110" s="10"/>
      <x:c r="C110" s="10"/>
      <x:c r="D110" s="10"/>
      <x:c r="E110" s="10"/>
      <x:c r="F110" s="10"/>
      <x:c r="G110" s="15"/>
      <x:c r="H110" s="15"/>
      <x:c r="I110" s="19" t="str">
        <x:f>IF(OR(A110="",C110&lt;&gt;"pagada",NOT(ISNUMBER(G110)),NOT(ISNUMBER(H110))),"",G110-H110)</x:f>
      </x:c>
      <x:c r="J110" s="20" t="n">
        <x:f>IF(A110="",0,IF(AND(C110="pagada",NOT(ISNUMBER(H110))),1,0))</x:f>
        <x:v>0</x:v>
      </x:c>
    </x:row>
    <x:row r="111" ht="22" customHeight="1">
      <x:c r="A111" s="12"/>
      <x:c r="B111" s="10"/>
      <x:c r="C111" s="10"/>
      <x:c r="D111" s="10"/>
      <x:c r="E111" s="10"/>
      <x:c r="F111" s="10"/>
      <x:c r="G111" s="15"/>
      <x:c r="H111" s="15"/>
      <x:c r="I111" s="19" t="str">
        <x:f>IF(OR(A111="",C111&lt;&gt;"pagada",NOT(ISNUMBER(G111)),NOT(ISNUMBER(H111))),"",G111-H111)</x:f>
      </x:c>
      <x:c r="J111" s="20" t="n">
        <x:f>IF(A111="",0,IF(AND(C111="pagada",NOT(ISNUMBER(H111))),1,0))</x:f>
        <x:v>0</x:v>
      </x:c>
    </x:row>
    <x:row r="112" ht="22" customHeight="1">
      <x:c r="A112" s="12"/>
      <x:c r="B112" s="10"/>
      <x:c r="C112" s="10"/>
      <x:c r="D112" s="10"/>
      <x:c r="E112" s="10"/>
      <x:c r="F112" s="10"/>
      <x:c r="G112" s="15"/>
      <x:c r="H112" s="15"/>
      <x:c r="I112" s="19" t="str">
        <x:f>IF(OR(A112="",C112&lt;&gt;"pagada",NOT(ISNUMBER(G112)),NOT(ISNUMBER(H112))),"",G112-H112)</x:f>
      </x:c>
      <x:c r="J112" s="20" t="n">
        <x:f>IF(A112="",0,IF(AND(C112="pagada",NOT(ISNUMBER(H112))),1,0))</x:f>
        <x:v>0</x:v>
      </x:c>
    </x:row>
    <x:row r="113" ht="22" customHeight="1">
      <x:c r="A113" s="12"/>
      <x:c r="B113" s="10"/>
      <x:c r="C113" s="10"/>
      <x:c r="D113" s="10"/>
      <x:c r="E113" s="10"/>
      <x:c r="F113" s="10"/>
      <x:c r="G113" s="15"/>
      <x:c r="H113" s="15"/>
      <x:c r="I113" s="19" t="str">
        <x:f>IF(OR(A113="",C113&lt;&gt;"pagada",NOT(ISNUMBER(G113)),NOT(ISNUMBER(H113))),"",G113-H113)</x:f>
      </x:c>
      <x:c r="J113" s="20" t="n">
        <x:f>IF(A113="",0,IF(AND(C113="pagada",NOT(ISNUMBER(H113))),1,0))</x:f>
        <x:v>0</x:v>
      </x:c>
    </x:row>
    <x:row r="114" ht="22" customHeight="1">
      <x:c r="A114" s="12"/>
      <x:c r="B114" s="10"/>
      <x:c r="C114" s="10"/>
      <x:c r="D114" s="10"/>
      <x:c r="E114" s="10"/>
      <x:c r="F114" s="10"/>
      <x:c r="G114" s="15"/>
      <x:c r="H114" s="15"/>
      <x:c r="I114" s="19" t="str">
        <x:f>IF(OR(A114="",C114&lt;&gt;"pagada",NOT(ISNUMBER(G114)),NOT(ISNUMBER(H114))),"",G114-H114)</x:f>
      </x:c>
      <x:c r="J114" s="20" t="n">
        <x:f>IF(A114="",0,IF(AND(C114="pagada",NOT(ISNUMBER(H114))),1,0))</x:f>
        <x:v>0</x:v>
      </x:c>
    </x:row>
    <x:row r="115" ht="22" customHeight="1">
      <x:c r="A115" s="12"/>
      <x:c r="B115" s="10"/>
      <x:c r="C115" s="10"/>
      <x:c r="D115" s="10"/>
      <x:c r="E115" s="10"/>
      <x:c r="F115" s="10"/>
      <x:c r="G115" s="15"/>
      <x:c r="H115" s="15"/>
      <x:c r="I115" s="19" t="str">
        <x:f>IF(OR(A115="",C115&lt;&gt;"pagada",NOT(ISNUMBER(G115)),NOT(ISNUMBER(H115))),"",G115-H115)</x:f>
      </x:c>
      <x:c r="J115" s="20" t="n">
        <x:f>IF(A115="",0,IF(AND(C115="pagada",NOT(ISNUMBER(H115))),1,0))</x:f>
        <x:v>0</x:v>
      </x:c>
    </x:row>
    <x:row r="116" ht="22" customHeight="1">
      <x:c r="A116" s="12"/>
      <x:c r="B116" s="10"/>
      <x:c r="C116" s="10"/>
      <x:c r="D116" s="10"/>
      <x:c r="E116" s="10"/>
      <x:c r="F116" s="10"/>
      <x:c r="G116" s="15"/>
      <x:c r="H116" s="15"/>
      <x:c r="I116" s="19" t="str">
        <x:f>IF(OR(A116="",C116&lt;&gt;"pagada",NOT(ISNUMBER(G116)),NOT(ISNUMBER(H116))),"",G116-H116)</x:f>
      </x:c>
      <x:c r="J116" s="20" t="n">
        <x:f>IF(A116="",0,IF(AND(C116="pagada",NOT(ISNUMBER(H116))),1,0))</x:f>
        <x:v>0</x:v>
      </x:c>
    </x:row>
    <x:row r="117" ht="22" customHeight="1">
      <x:c r="A117" s="12"/>
      <x:c r="B117" s="10"/>
      <x:c r="C117" s="10"/>
      <x:c r="D117" s="10"/>
      <x:c r="E117" s="10"/>
      <x:c r="F117" s="10"/>
      <x:c r="G117" s="15"/>
      <x:c r="H117" s="15"/>
      <x:c r="I117" s="19" t="str">
        <x:f>IF(OR(A117="",C117&lt;&gt;"pagada",NOT(ISNUMBER(G117)),NOT(ISNUMBER(H117))),"",G117-H117)</x:f>
      </x:c>
      <x:c r="J117" s="20" t="n">
        <x:f>IF(A117="",0,IF(AND(C117="pagada",NOT(ISNUMBER(H117))),1,0))</x:f>
        <x:v>0</x:v>
      </x:c>
    </x:row>
    <x:row r="118" ht="22" customHeight="1">
      <x:c r="A118" s="12"/>
      <x:c r="B118" s="10"/>
      <x:c r="C118" s="10"/>
      <x:c r="D118" s="10"/>
      <x:c r="E118" s="10"/>
      <x:c r="F118" s="10"/>
      <x:c r="G118" s="15"/>
      <x:c r="H118" s="15"/>
      <x:c r="I118" s="19" t="str">
        <x:f>IF(OR(A118="",C118&lt;&gt;"pagada",NOT(ISNUMBER(G118)),NOT(ISNUMBER(H118))),"",G118-H118)</x:f>
      </x:c>
      <x:c r="J118" s="20" t="n">
        <x:f>IF(A118="",0,IF(AND(C118="pagada",NOT(ISNUMBER(H118))),1,0))</x:f>
        <x:v>0</x:v>
      </x:c>
    </x:row>
    <x:row r="119" ht="22" customHeight="1">
      <x:c r="A119" s="12"/>
      <x:c r="B119" s="10"/>
      <x:c r="C119" s="10"/>
      <x:c r="D119" s="10"/>
      <x:c r="E119" s="10"/>
      <x:c r="F119" s="10"/>
      <x:c r="G119" s="15"/>
      <x:c r="H119" s="15"/>
      <x:c r="I119" s="19" t="str">
        <x:f>IF(OR(A119="",C119&lt;&gt;"pagada",NOT(ISNUMBER(G119)),NOT(ISNUMBER(H119))),"",G119-H119)</x:f>
      </x:c>
      <x:c r="J119" s="20" t="n">
        <x:f>IF(A119="",0,IF(AND(C119="pagada",NOT(ISNUMBER(H119))),1,0))</x:f>
        <x:v>0</x:v>
      </x:c>
    </x:row>
    <x:row r="120" ht="22" customHeight="1">
      <x:c r="A120" s="12"/>
      <x:c r="B120" s="10"/>
      <x:c r="C120" s="10"/>
      <x:c r="D120" s="10"/>
      <x:c r="E120" s="10"/>
      <x:c r="F120" s="10"/>
      <x:c r="G120" s="15"/>
      <x:c r="H120" s="15"/>
      <x:c r="I120" s="19" t="str">
        <x:f>IF(OR(A120="",C120&lt;&gt;"pagada",NOT(ISNUMBER(G120)),NOT(ISNUMBER(H120))),"",G120-H120)</x:f>
      </x:c>
      <x:c r="J120" s="20" t="n">
        <x:f>IF(A120="",0,IF(AND(C120="pagada",NOT(ISNUMBER(H120))),1,0))</x:f>
        <x:v>0</x:v>
      </x:c>
    </x:row>
    <x:row r="121" ht="22" customHeight="1">
      <x:c r="A121" s="12"/>
      <x:c r="B121" s="10"/>
      <x:c r="C121" s="10"/>
      <x:c r="D121" s="10"/>
      <x:c r="E121" s="10"/>
      <x:c r="F121" s="10"/>
      <x:c r="G121" s="15"/>
      <x:c r="H121" s="15"/>
      <x:c r="I121" s="19" t="str">
        <x:f>IF(OR(A121="",C121&lt;&gt;"pagada",NOT(ISNUMBER(G121)),NOT(ISNUMBER(H121))),"",G121-H121)</x:f>
      </x:c>
      <x:c r="J121" s="20" t="n">
        <x:f>IF(A121="",0,IF(AND(C121="pagada",NOT(ISNUMBER(H121))),1,0))</x:f>
        <x:v>0</x:v>
      </x:c>
    </x:row>
    <x:row r="122" ht="22" customHeight="1">
      <x:c r="A122" s="12"/>
      <x:c r="B122" s="10"/>
      <x:c r="C122" s="10"/>
      <x:c r="D122" s="10"/>
      <x:c r="E122" s="10"/>
      <x:c r="F122" s="10"/>
      <x:c r="G122" s="15"/>
      <x:c r="H122" s="15"/>
      <x:c r="I122" s="19" t="str">
        <x:f>IF(OR(A122="",C122&lt;&gt;"pagada",NOT(ISNUMBER(G122)),NOT(ISNUMBER(H122))),"",G122-H122)</x:f>
      </x:c>
      <x:c r="J122" s="20" t="n">
        <x:f>IF(A122="",0,IF(AND(C122="pagada",NOT(ISNUMBER(H122))),1,0))</x:f>
        <x:v>0</x:v>
      </x:c>
    </x:row>
    <x:row r="123" ht="22" customHeight="1">
      <x:c r="A123" s="12"/>
      <x:c r="B123" s="10"/>
      <x:c r="C123" s="10"/>
      <x:c r="D123" s="10"/>
      <x:c r="E123" s="10"/>
      <x:c r="F123" s="10"/>
      <x:c r="G123" s="15"/>
      <x:c r="H123" s="15"/>
      <x:c r="I123" s="19" t="str">
        <x:f>IF(OR(A123="",C123&lt;&gt;"pagada",NOT(ISNUMBER(G123)),NOT(ISNUMBER(H123))),"",G123-H123)</x:f>
      </x:c>
      <x:c r="J123" s="20" t="n">
        <x:f>IF(A123="",0,IF(AND(C123="pagada",NOT(ISNUMBER(H123))),1,0))</x:f>
        <x:v>0</x:v>
      </x:c>
    </x:row>
    <x:row r="124" ht="22" customHeight="1">
      <x:c r="A124" s="12"/>
      <x:c r="B124" s="10"/>
      <x:c r="C124" s="10"/>
      <x:c r="D124" s="10"/>
      <x:c r="E124" s="10"/>
      <x:c r="F124" s="10"/>
      <x:c r="G124" s="15"/>
      <x:c r="H124" s="15"/>
      <x:c r="I124" s="19" t="str">
        <x:f>IF(OR(A124="",C124&lt;&gt;"pagada",NOT(ISNUMBER(G124)),NOT(ISNUMBER(H124))),"",G124-H124)</x:f>
      </x:c>
      <x:c r="J124" s="20" t="n">
        <x:f>IF(A124="",0,IF(AND(C124="pagada",NOT(ISNUMBER(H124))),1,0))</x:f>
        <x:v>0</x:v>
      </x:c>
    </x:row>
    <x:row r="125" ht="22" customHeight="1">
      <x:c r="A125" s="12"/>
      <x:c r="B125" s="10"/>
      <x:c r="C125" s="10"/>
      <x:c r="D125" s="10"/>
      <x:c r="E125" s="10"/>
      <x:c r="F125" s="10"/>
      <x:c r="G125" s="15"/>
      <x:c r="H125" s="15"/>
      <x:c r="I125" s="19" t="str">
        <x:f>IF(OR(A125="",C125&lt;&gt;"pagada",NOT(ISNUMBER(G125)),NOT(ISNUMBER(H125))),"",G125-H125)</x:f>
      </x:c>
      <x:c r="J125" s="20" t="n">
        <x:f>IF(A125="",0,IF(AND(C125="pagada",NOT(ISNUMBER(H125))),1,0))</x:f>
        <x:v>0</x:v>
      </x:c>
    </x:row>
    <x:row r="126" ht="22" customHeight="1">
      <x:c r="A126" s="12"/>
      <x:c r="B126" s="10"/>
      <x:c r="C126" s="10"/>
      <x:c r="D126" s="10"/>
      <x:c r="E126" s="10"/>
      <x:c r="F126" s="10"/>
      <x:c r="G126" s="15"/>
      <x:c r="H126" s="15"/>
      <x:c r="I126" s="19" t="str">
        <x:f>IF(OR(A126="",C126&lt;&gt;"pagada",NOT(ISNUMBER(G126)),NOT(ISNUMBER(H126))),"",G126-H126)</x:f>
      </x:c>
      <x:c r="J126" s="20" t="n">
        <x:f>IF(A126="",0,IF(AND(C126="pagada",NOT(ISNUMBER(H126))),1,0))</x:f>
        <x:v>0</x:v>
      </x:c>
    </x:row>
    <x:row r="127" ht="22" customHeight="1">
      <x:c r="A127" s="12"/>
      <x:c r="B127" s="10"/>
      <x:c r="C127" s="10"/>
      <x:c r="D127" s="10"/>
      <x:c r="E127" s="10"/>
      <x:c r="F127" s="10"/>
      <x:c r="G127" s="15"/>
      <x:c r="H127" s="15"/>
      <x:c r="I127" s="19" t="str">
        <x:f>IF(OR(A127="",C127&lt;&gt;"pagada",NOT(ISNUMBER(G127)),NOT(ISNUMBER(H127))),"",G127-H127)</x:f>
      </x:c>
      <x:c r="J127" s="20" t="n">
        <x:f>IF(A127="",0,IF(AND(C127="pagada",NOT(ISNUMBER(H127))),1,0))</x:f>
        <x:v>0</x:v>
      </x:c>
    </x:row>
    <x:row r="128" ht="22" customHeight="1">
      <x:c r="A128" s="12"/>
      <x:c r="B128" s="10"/>
      <x:c r="C128" s="10"/>
      <x:c r="D128" s="10"/>
      <x:c r="E128" s="10"/>
      <x:c r="F128" s="10"/>
      <x:c r="G128" s="15"/>
      <x:c r="H128" s="15"/>
      <x:c r="I128" s="19" t="str">
        <x:f>IF(OR(A128="",C128&lt;&gt;"pagada",NOT(ISNUMBER(G128)),NOT(ISNUMBER(H128))),"",G128-H128)</x:f>
      </x:c>
      <x:c r="J128" s="20" t="n">
        <x:f>IF(A128="",0,IF(AND(C128="pagada",NOT(ISNUMBER(H128))),1,0))</x:f>
        <x:v>0</x:v>
      </x:c>
    </x:row>
    <x:row r="129" ht="22" customHeight="1">
      <x:c r="A129" s="12"/>
      <x:c r="B129" s="10"/>
      <x:c r="C129" s="10"/>
      <x:c r="D129" s="10"/>
      <x:c r="E129" s="10"/>
      <x:c r="F129" s="10"/>
      <x:c r="G129" s="15"/>
      <x:c r="H129" s="15"/>
      <x:c r="I129" s="19" t="str">
        <x:f>IF(OR(A129="",C129&lt;&gt;"pagada",NOT(ISNUMBER(G129)),NOT(ISNUMBER(H129))),"",G129-H129)</x:f>
      </x:c>
      <x:c r="J129" s="20" t="n">
        <x:f>IF(A129="",0,IF(AND(C129="pagada",NOT(ISNUMBER(H129))),1,0))</x:f>
        <x:v>0</x:v>
      </x:c>
    </x:row>
    <x:row r="130" ht="22" customHeight="1">
      <x:c r="A130" s="12"/>
      <x:c r="B130" s="10"/>
      <x:c r="C130" s="10"/>
      <x:c r="D130" s="10"/>
      <x:c r="E130" s="10"/>
      <x:c r="F130" s="10"/>
      <x:c r="G130" s="15"/>
      <x:c r="H130" s="15"/>
      <x:c r="I130" s="19" t="str">
        <x:f>IF(OR(A130="",C130&lt;&gt;"pagada",NOT(ISNUMBER(G130)),NOT(ISNUMBER(H130))),"",G130-H130)</x:f>
      </x:c>
      <x:c r="J130" s="20" t="n">
        <x:f>IF(A130="",0,IF(AND(C130="pagada",NOT(ISNUMBER(H130))),1,0))</x:f>
        <x:v>0</x:v>
      </x:c>
    </x:row>
    <x:row r="131" ht="22" customHeight="1">
      <x:c r="A131" s="12"/>
      <x:c r="B131" s="10"/>
      <x:c r="C131" s="10"/>
      <x:c r="D131" s="10"/>
      <x:c r="E131" s="10"/>
      <x:c r="F131" s="10"/>
      <x:c r="G131" s="15"/>
      <x:c r="H131" s="15"/>
      <x:c r="I131" s="19" t="str">
        <x:f>IF(OR(A131="",C131&lt;&gt;"pagada",NOT(ISNUMBER(G131)),NOT(ISNUMBER(H131))),"",G131-H131)</x:f>
      </x:c>
      <x:c r="J131" s="20" t="n">
        <x:f>IF(A131="",0,IF(AND(C131="pagada",NOT(ISNUMBER(H131))),1,0))</x:f>
        <x:v>0</x:v>
      </x:c>
    </x:row>
    <x:row r="132" ht="22" customHeight="1">
      <x:c r="A132" s="12"/>
      <x:c r="B132" s="10"/>
      <x:c r="C132" s="10"/>
      <x:c r="D132" s="10"/>
      <x:c r="E132" s="10"/>
      <x:c r="F132" s="10"/>
      <x:c r="G132" s="15"/>
      <x:c r="H132" s="15"/>
      <x:c r="I132" s="19" t="str">
        <x:f>IF(OR(A132="",C132&lt;&gt;"pagada",NOT(ISNUMBER(G132)),NOT(ISNUMBER(H132))),"",G132-H132)</x:f>
      </x:c>
      <x:c r="J132" s="20" t="n">
        <x:f>IF(A132="",0,IF(AND(C132="pagada",NOT(ISNUMBER(H132))),1,0))</x:f>
        <x:v>0</x:v>
      </x:c>
    </x:row>
    <x:row r="133" ht="22" customHeight="1">
      <x:c r="A133" s="12"/>
      <x:c r="B133" s="10"/>
      <x:c r="C133" s="10"/>
      <x:c r="D133" s="10"/>
      <x:c r="E133" s="10"/>
      <x:c r="F133" s="10"/>
      <x:c r="G133" s="15"/>
      <x:c r="H133" s="15"/>
      <x:c r="I133" s="19" t="str">
        <x:f>IF(OR(A133="",C133&lt;&gt;"pagada",NOT(ISNUMBER(G133)),NOT(ISNUMBER(H133))),"",G133-H133)</x:f>
      </x:c>
      <x:c r="J133" s="20" t="n">
        <x:f>IF(A133="",0,IF(AND(C133="pagada",NOT(ISNUMBER(H133))),1,0))</x:f>
        <x:v>0</x:v>
      </x:c>
    </x:row>
    <x:row r="134" ht="22" customHeight="1">
      <x:c r="A134" s="12"/>
      <x:c r="B134" s="10"/>
      <x:c r="C134" s="10"/>
      <x:c r="D134" s="10"/>
      <x:c r="E134" s="10"/>
      <x:c r="F134" s="10"/>
      <x:c r="G134" s="15"/>
      <x:c r="H134" s="15"/>
      <x:c r="I134" s="19" t="str">
        <x:f>IF(OR(A134="",C134&lt;&gt;"pagada",NOT(ISNUMBER(G134)),NOT(ISNUMBER(H134))),"",G134-H134)</x:f>
      </x:c>
      <x:c r="J134" s="20" t="n">
        <x:f>IF(A134="",0,IF(AND(C134="pagada",NOT(ISNUMBER(H134))),1,0))</x:f>
        <x:v>0</x:v>
      </x:c>
    </x:row>
    <x:row r="135" ht="22" customHeight="1">
      <x:c r="A135" s="12"/>
      <x:c r="B135" s="10"/>
      <x:c r="C135" s="10"/>
      <x:c r="D135" s="10"/>
      <x:c r="E135" s="10"/>
      <x:c r="F135" s="10"/>
      <x:c r="G135" s="15"/>
      <x:c r="H135" s="15"/>
      <x:c r="I135" s="19" t="str">
        <x:f>IF(OR(A135="",C135&lt;&gt;"pagada",NOT(ISNUMBER(G135)),NOT(ISNUMBER(H135))),"",G135-H135)</x:f>
      </x:c>
      <x:c r="J135" s="20" t="n">
        <x:f>IF(A135="",0,IF(AND(C135="pagada",NOT(ISNUMBER(H135))),1,0))</x:f>
        <x:v>0</x:v>
      </x:c>
    </x:row>
    <x:row r="136" ht="22" customHeight="1">
      <x:c r="A136" s="12"/>
      <x:c r="B136" s="10"/>
      <x:c r="C136" s="10"/>
      <x:c r="D136" s="10"/>
      <x:c r="E136" s="10"/>
      <x:c r="F136" s="10"/>
      <x:c r="G136" s="15"/>
      <x:c r="H136" s="15"/>
      <x:c r="I136" s="19" t="str">
        <x:f>IF(OR(A136="",C136&lt;&gt;"pagada",NOT(ISNUMBER(G136)),NOT(ISNUMBER(H136))),"",G136-H136)</x:f>
      </x:c>
      <x:c r="J136" s="20" t="n">
        <x:f>IF(A136="",0,IF(AND(C136="pagada",NOT(ISNUMBER(H136))),1,0))</x:f>
        <x:v>0</x:v>
      </x:c>
    </x:row>
    <x:row r="137" ht="22" customHeight="1">
      <x:c r="A137" s="12"/>
      <x:c r="B137" s="10"/>
      <x:c r="C137" s="10"/>
      <x:c r="D137" s="10"/>
      <x:c r="E137" s="10"/>
      <x:c r="F137" s="10"/>
      <x:c r="G137" s="15"/>
      <x:c r="H137" s="15"/>
      <x:c r="I137" s="19" t="str">
        <x:f>IF(OR(A137="",C137&lt;&gt;"pagada",NOT(ISNUMBER(G137)),NOT(ISNUMBER(H137))),"",G137-H137)</x:f>
      </x:c>
      <x:c r="J137" s="20" t="n">
        <x:f>IF(A137="",0,IF(AND(C137="pagada",NOT(ISNUMBER(H137))),1,0))</x:f>
        <x:v>0</x:v>
      </x:c>
    </x:row>
    <x:row r="138" ht="22" customHeight="1">
      <x:c r="A138" s="12"/>
      <x:c r="B138" s="10"/>
      <x:c r="C138" s="10"/>
      <x:c r="D138" s="10"/>
      <x:c r="E138" s="10"/>
      <x:c r="F138" s="10"/>
      <x:c r="G138" s="15"/>
      <x:c r="H138" s="15"/>
      <x:c r="I138" s="19" t="str">
        <x:f>IF(OR(A138="",C138&lt;&gt;"pagada",NOT(ISNUMBER(G138)),NOT(ISNUMBER(H138))),"",G138-H138)</x:f>
      </x:c>
      <x:c r="J138" s="20" t="n">
        <x:f>IF(A138="",0,IF(AND(C138="pagada",NOT(ISNUMBER(H138))),1,0))</x:f>
        <x:v>0</x:v>
      </x:c>
    </x:row>
    <x:row r="139" ht="22" customHeight="1">
      <x:c r="A139" s="12"/>
      <x:c r="B139" s="10"/>
      <x:c r="C139" s="10"/>
      <x:c r="D139" s="10"/>
      <x:c r="E139" s="10"/>
      <x:c r="F139" s="10"/>
      <x:c r="G139" s="15"/>
      <x:c r="H139" s="15"/>
      <x:c r="I139" s="19" t="str">
        <x:f>IF(OR(A139="",C139&lt;&gt;"pagada",NOT(ISNUMBER(G139)),NOT(ISNUMBER(H139))),"",G139-H139)</x:f>
      </x:c>
      <x:c r="J139" s="20" t="n">
        <x:f>IF(A139="",0,IF(AND(C139="pagada",NOT(ISNUMBER(H139))),1,0))</x:f>
        <x:v>0</x:v>
      </x:c>
    </x:row>
    <x:row r="140" ht="22" customHeight="1">
      <x:c r="A140" s="12"/>
      <x:c r="B140" s="10"/>
      <x:c r="C140" s="10"/>
      <x:c r="D140" s="10"/>
      <x:c r="E140" s="10"/>
      <x:c r="F140" s="10"/>
      <x:c r="G140" s="15"/>
      <x:c r="H140" s="15"/>
      <x:c r="I140" s="19" t="str">
        <x:f>IF(OR(A140="",C140&lt;&gt;"pagada",NOT(ISNUMBER(G140)),NOT(ISNUMBER(H140))),"",G140-H140)</x:f>
      </x:c>
      <x:c r="J140" s="20" t="n">
        <x:f>IF(A140="",0,IF(AND(C140="pagada",NOT(ISNUMBER(H140))),1,0))</x:f>
        <x:v>0</x:v>
      </x:c>
    </x:row>
    <x:row r="141" ht="22" customHeight="1">
      <x:c r="A141" s="12"/>
      <x:c r="B141" s="10"/>
      <x:c r="C141" s="10"/>
      <x:c r="D141" s="10"/>
      <x:c r="E141" s="10"/>
      <x:c r="F141" s="10"/>
      <x:c r="G141" s="15"/>
      <x:c r="H141" s="15"/>
      <x:c r="I141" s="19" t="str">
        <x:f>IF(OR(A141="",C141&lt;&gt;"pagada",NOT(ISNUMBER(G141)),NOT(ISNUMBER(H141))),"",G141-H141)</x:f>
      </x:c>
      <x:c r="J141" s="20" t="n">
        <x:f>IF(A141="",0,IF(AND(C141="pagada",NOT(ISNUMBER(H141))),1,0))</x:f>
        <x:v>0</x:v>
      </x:c>
    </x:row>
    <x:row r="142" ht="22" customHeight="1">
      <x:c r="A142" s="12"/>
      <x:c r="B142" s="10"/>
      <x:c r="C142" s="10"/>
      <x:c r="D142" s="10"/>
      <x:c r="E142" s="10"/>
      <x:c r="F142" s="10"/>
      <x:c r="G142" s="15"/>
      <x:c r="H142" s="15"/>
      <x:c r="I142" s="19" t="str">
        <x:f>IF(OR(A142="",C142&lt;&gt;"pagada",NOT(ISNUMBER(G142)),NOT(ISNUMBER(H142))),"",G142-H142)</x:f>
      </x:c>
      <x:c r="J142" s="20" t="n">
        <x:f>IF(A142="",0,IF(AND(C142="pagada",NOT(ISNUMBER(H142))),1,0))</x:f>
        <x:v>0</x:v>
      </x:c>
    </x:row>
    <x:row r="143" ht="22" customHeight="1">
      <x:c r="A143" s="12"/>
      <x:c r="B143" s="10"/>
      <x:c r="C143" s="10"/>
      <x:c r="D143" s="10"/>
      <x:c r="E143" s="10"/>
      <x:c r="F143" s="10"/>
      <x:c r="G143" s="15"/>
      <x:c r="H143" s="15"/>
      <x:c r="I143" s="19" t="str">
        <x:f>IF(OR(A143="",C143&lt;&gt;"pagada",NOT(ISNUMBER(G143)),NOT(ISNUMBER(H143))),"",G143-H143)</x:f>
      </x:c>
      <x:c r="J143" s="20" t="n">
        <x:f>IF(A143="",0,IF(AND(C143="pagada",NOT(ISNUMBER(H143))),1,0))</x:f>
        <x:v>0</x:v>
      </x:c>
    </x:row>
    <x:row r="144" ht="22" customHeight="1">
      <x:c r="A144" s="12"/>
      <x:c r="B144" s="10"/>
      <x:c r="C144" s="10"/>
      <x:c r="D144" s="10"/>
      <x:c r="E144" s="10"/>
      <x:c r="F144" s="10"/>
      <x:c r="G144" s="15"/>
      <x:c r="H144" s="15"/>
      <x:c r="I144" s="19" t="str">
        <x:f>IF(OR(A144="",C144&lt;&gt;"pagada",NOT(ISNUMBER(G144)),NOT(ISNUMBER(H144))),"",G144-H144)</x:f>
      </x:c>
      <x:c r="J144" s="20" t="n">
        <x:f>IF(A144="",0,IF(AND(C144="pagada",NOT(ISNUMBER(H144))),1,0))</x:f>
        <x:v>0</x:v>
      </x:c>
    </x:row>
    <x:row r="145" ht="22" customHeight="1">
      <x:c r="A145" s="12"/>
      <x:c r="B145" s="10"/>
      <x:c r="C145" s="10"/>
      <x:c r="D145" s="10"/>
      <x:c r="E145" s="10"/>
      <x:c r="F145" s="10"/>
      <x:c r="G145" s="15"/>
      <x:c r="H145" s="15"/>
      <x:c r="I145" s="19" t="str">
        <x:f>IF(OR(A145="",C145&lt;&gt;"pagada",NOT(ISNUMBER(G145)),NOT(ISNUMBER(H145))),"",G145-H145)</x:f>
      </x:c>
      <x:c r="J145" s="20" t="n">
        <x:f>IF(A145="",0,IF(AND(C145="pagada",NOT(ISNUMBER(H145))),1,0))</x:f>
        <x:v>0</x:v>
      </x:c>
    </x:row>
    <x:row r="146" ht="22" customHeight="1">
      <x:c r="A146" s="12"/>
      <x:c r="B146" s="10"/>
      <x:c r="C146" s="10"/>
      <x:c r="D146" s="10"/>
      <x:c r="E146" s="10"/>
      <x:c r="F146" s="10"/>
      <x:c r="G146" s="15"/>
      <x:c r="H146" s="15"/>
      <x:c r="I146" s="19" t="str">
        <x:f>IF(OR(A146="",C146&lt;&gt;"pagada",NOT(ISNUMBER(G146)),NOT(ISNUMBER(H146))),"",G146-H146)</x:f>
      </x:c>
      <x:c r="J146" s="20" t="n">
        <x:f>IF(A146="",0,IF(AND(C146="pagada",NOT(ISNUMBER(H146))),1,0))</x:f>
        <x:v>0</x:v>
      </x:c>
    </x:row>
    <x:row r="147" ht="22" customHeight="1">
      <x:c r="A147" s="12"/>
      <x:c r="B147" s="10"/>
      <x:c r="C147" s="10"/>
      <x:c r="D147" s="10"/>
      <x:c r="E147" s="10"/>
      <x:c r="F147" s="10"/>
      <x:c r="G147" s="15"/>
      <x:c r="H147" s="15"/>
      <x:c r="I147" s="19" t="str">
        <x:f>IF(OR(A147="",C147&lt;&gt;"pagada",NOT(ISNUMBER(G147)),NOT(ISNUMBER(H147))),"",G147-H147)</x:f>
      </x:c>
      <x:c r="J147" s="20" t="n">
        <x:f>IF(A147="",0,IF(AND(C147="pagada",NOT(ISNUMBER(H147))),1,0))</x:f>
        <x:v>0</x:v>
      </x:c>
    </x:row>
    <x:row r="148" ht="22" customHeight="1">
      <x:c r="A148" s="12"/>
      <x:c r="B148" s="10"/>
      <x:c r="C148" s="10"/>
      <x:c r="D148" s="10"/>
      <x:c r="E148" s="10"/>
      <x:c r="F148" s="10"/>
      <x:c r="G148" s="15"/>
      <x:c r="H148" s="15"/>
      <x:c r="I148" s="19" t="str">
        <x:f>IF(OR(A148="",C148&lt;&gt;"pagada",NOT(ISNUMBER(G148)),NOT(ISNUMBER(H148))),"",G148-H148)</x:f>
      </x:c>
      <x:c r="J148" s="20" t="n">
        <x:f>IF(A148="",0,IF(AND(C148="pagada",NOT(ISNUMBER(H148))),1,0))</x:f>
        <x:v>0</x:v>
      </x:c>
    </x:row>
    <x:row r="149" ht="22" customHeight="1">
      <x:c r="A149" s="12"/>
      <x:c r="B149" s="10"/>
      <x:c r="C149" s="10"/>
      <x:c r="D149" s="10"/>
      <x:c r="E149" s="10"/>
      <x:c r="F149" s="10"/>
      <x:c r="G149" s="15"/>
      <x:c r="H149" s="15"/>
      <x:c r="I149" s="19" t="str">
        <x:f>IF(OR(A149="",C149&lt;&gt;"pagada",NOT(ISNUMBER(G149)),NOT(ISNUMBER(H149))),"",G149-H149)</x:f>
      </x:c>
      <x:c r="J149" s="20" t="n">
        <x:f>IF(A149="",0,IF(AND(C149="pagada",NOT(ISNUMBER(H149))),1,0))</x:f>
        <x:v>0</x:v>
      </x:c>
    </x:row>
    <x:row r="150" ht="22" customHeight="1">
      <x:c r="A150" s="12"/>
      <x:c r="B150" s="10"/>
      <x:c r="C150" s="10"/>
      <x:c r="D150" s="10"/>
      <x:c r="E150" s="10"/>
      <x:c r="F150" s="10"/>
      <x:c r="G150" s="15"/>
      <x:c r="H150" s="15"/>
      <x:c r="I150" s="19" t="str">
        <x:f>IF(OR(A150="",C150&lt;&gt;"pagada",NOT(ISNUMBER(G150)),NOT(ISNUMBER(H150))),"",G150-H150)</x:f>
      </x:c>
      <x:c r="J150" s="20" t="n">
        <x:f>IF(A150="",0,IF(AND(C150="pagada",NOT(ISNUMBER(H150))),1,0))</x:f>
        <x:v>0</x:v>
      </x:c>
    </x:row>
    <x:row r="151" ht="22" customHeight="1">
      <x:c r="A151" s="12"/>
      <x:c r="B151" s="10"/>
      <x:c r="C151" s="10"/>
      <x:c r="D151" s="10"/>
      <x:c r="E151" s="10"/>
      <x:c r="F151" s="10"/>
      <x:c r="G151" s="15"/>
      <x:c r="H151" s="15"/>
      <x:c r="I151" s="19" t="str">
        <x:f>IF(OR(A151="",C151&lt;&gt;"pagada",NOT(ISNUMBER(G151)),NOT(ISNUMBER(H151))),"",G151-H151)</x:f>
      </x:c>
      <x:c r="J151" s="20" t="n">
        <x:f>IF(A151="",0,IF(AND(C151="pagada",NOT(ISNUMBER(H151))),1,0))</x:f>
        <x:v>0</x:v>
      </x:c>
    </x:row>
    <x:row r="152" ht="22" customHeight="1">
      <x:c r="A152" s="12"/>
      <x:c r="B152" s="10"/>
      <x:c r="C152" s="10"/>
      <x:c r="D152" s="10"/>
      <x:c r="E152" s="10"/>
      <x:c r="F152" s="10"/>
      <x:c r="G152" s="15"/>
      <x:c r="H152" s="15"/>
      <x:c r="I152" s="19" t="str">
        <x:f>IF(OR(A152="",C152&lt;&gt;"pagada",NOT(ISNUMBER(G152)),NOT(ISNUMBER(H152))),"",G152-H152)</x:f>
      </x:c>
      <x:c r="J152" s="20" t="n">
        <x:f>IF(A152="",0,IF(AND(C152="pagada",NOT(ISNUMBER(H152))),1,0))</x:f>
        <x:v>0</x:v>
      </x:c>
    </x:row>
    <x:row r="153" ht="22" customHeight="1">
      <x:c r="A153" s="12"/>
      <x:c r="B153" s="10"/>
      <x:c r="C153" s="10"/>
      <x:c r="D153" s="10"/>
      <x:c r="E153" s="10"/>
      <x:c r="F153" s="10"/>
      <x:c r="G153" s="15"/>
      <x:c r="H153" s="15"/>
      <x:c r="I153" s="19" t="str">
        <x:f>IF(OR(A153="",C153&lt;&gt;"pagada",NOT(ISNUMBER(G153)),NOT(ISNUMBER(H153))),"",G153-H153)</x:f>
      </x:c>
      <x:c r="J153" s="20" t="n">
        <x:f>IF(A153="",0,IF(AND(C153="pagada",NOT(ISNUMBER(H153))),1,0))</x:f>
        <x:v>0</x:v>
      </x:c>
    </x:row>
    <x:row r="154" ht="22" customHeight="1">
      <x:c r="A154" s="12"/>
      <x:c r="B154" s="10"/>
      <x:c r="C154" s="10"/>
      <x:c r="D154" s="10"/>
      <x:c r="E154" s="10"/>
      <x:c r="F154" s="10"/>
      <x:c r="G154" s="15"/>
      <x:c r="H154" s="15"/>
      <x:c r="I154" s="19" t="str">
        <x:f>IF(OR(A154="",C154&lt;&gt;"pagada",NOT(ISNUMBER(G154)),NOT(ISNUMBER(H154))),"",G154-H154)</x:f>
      </x:c>
      <x:c r="J154" s="20" t="n">
        <x:f>IF(A154="",0,IF(AND(C154="pagada",NOT(ISNUMBER(H154))),1,0))</x:f>
        <x:v>0</x:v>
      </x:c>
    </x:row>
    <x:row r="155" ht="22" customHeight="1">
      <x:c r="A155" s="12"/>
      <x:c r="B155" s="10"/>
      <x:c r="C155" s="10"/>
      <x:c r="D155" s="10"/>
      <x:c r="E155" s="10"/>
      <x:c r="F155" s="10"/>
      <x:c r="G155" s="15"/>
      <x:c r="H155" s="15"/>
      <x:c r="I155" s="19" t="str">
        <x:f>IF(OR(A155="",C155&lt;&gt;"pagada",NOT(ISNUMBER(G155)),NOT(ISNUMBER(H155))),"",G155-H155)</x:f>
      </x:c>
      <x:c r="J155" s="20" t="n">
        <x:f>IF(A155="",0,IF(AND(C155="pagada",NOT(ISNUMBER(H155))),1,0))</x:f>
        <x:v>0</x:v>
      </x:c>
    </x:row>
    <x:row r="156" ht="22" customHeight="1">
      <x:c r="A156" s="12"/>
      <x:c r="B156" s="10"/>
      <x:c r="C156" s="10"/>
      <x:c r="D156" s="10"/>
      <x:c r="E156" s="10"/>
      <x:c r="F156" s="10"/>
      <x:c r="G156" s="15"/>
      <x:c r="H156" s="15"/>
      <x:c r="I156" s="19" t="str">
        <x:f>IF(OR(A156="",C156&lt;&gt;"pagada",NOT(ISNUMBER(G156)),NOT(ISNUMBER(H156))),"",G156-H156)</x:f>
      </x:c>
      <x:c r="J156" s="20" t="n">
        <x:f>IF(A156="",0,IF(AND(C156="pagada",NOT(ISNUMBER(H156))),1,0))</x:f>
        <x:v>0</x:v>
      </x:c>
    </x:row>
    <x:row r="157" ht="22" customHeight="1">
      <x:c r="A157" s="12"/>
      <x:c r="B157" s="10"/>
      <x:c r="C157" s="10"/>
      <x:c r="D157" s="10"/>
      <x:c r="E157" s="10"/>
      <x:c r="F157" s="10"/>
      <x:c r="G157" s="15"/>
      <x:c r="H157" s="15"/>
      <x:c r="I157" s="19" t="str">
        <x:f>IF(OR(A157="",C157&lt;&gt;"pagada",NOT(ISNUMBER(G157)),NOT(ISNUMBER(H157))),"",G157-H157)</x:f>
      </x:c>
      <x:c r="J157" s="20" t="n">
        <x:f>IF(A157="",0,IF(AND(C157="pagada",NOT(ISNUMBER(H157))),1,0))</x:f>
        <x:v>0</x:v>
      </x:c>
    </x:row>
    <x:row r="158" ht="22" customHeight="1">
      <x:c r="A158" s="12"/>
      <x:c r="B158" s="10"/>
      <x:c r="C158" s="10"/>
      <x:c r="D158" s="10"/>
      <x:c r="E158" s="10"/>
      <x:c r="F158" s="10"/>
      <x:c r="G158" s="15"/>
      <x:c r="H158" s="15"/>
      <x:c r="I158" s="19" t="str">
        <x:f>IF(OR(A158="",C158&lt;&gt;"pagada",NOT(ISNUMBER(G158)),NOT(ISNUMBER(H158))),"",G158-H158)</x:f>
      </x:c>
      <x:c r="J158" s="20" t="n">
        <x:f>IF(A158="",0,IF(AND(C158="pagada",NOT(ISNUMBER(H158))),1,0))</x:f>
        <x:v>0</x:v>
      </x:c>
    </x:row>
    <x:row r="159" ht="22" customHeight="1">
      <x:c r="A159" s="12"/>
      <x:c r="B159" s="10"/>
      <x:c r="C159" s="10"/>
      <x:c r="D159" s="10"/>
      <x:c r="E159" s="10"/>
      <x:c r="F159" s="10"/>
      <x:c r="G159" s="15"/>
      <x:c r="H159" s="15"/>
      <x:c r="I159" s="19" t="str">
        <x:f>IF(OR(A159="",C159&lt;&gt;"pagada",NOT(ISNUMBER(G159)),NOT(ISNUMBER(H159))),"",G159-H159)</x:f>
      </x:c>
      <x:c r="J159" s="20" t="n">
        <x:f>IF(A159="",0,IF(AND(C159="pagada",NOT(ISNUMBER(H159))),1,0))</x:f>
        <x:v>0</x:v>
      </x:c>
    </x:row>
    <x:row r="160" ht="22" customHeight="1">
      <x:c r="A160" s="12"/>
      <x:c r="B160" s="10"/>
      <x:c r="C160" s="10"/>
      <x:c r="D160" s="10"/>
      <x:c r="E160" s="10"/>
      <x:c r="F160" s="10"/>
      <x:c r="G160" s="15"/>
      <x:c r="H160" s="15"/>
      <x:c r="I160" s="19" t="str">
        <x:f>IF(OR(A160="",C160&lt;&gt;"pagada",NOT(ISNUMBER(G160)),NOT(ISNUMBER(H160))),"",G160-H160)</x:f>
      </x:c>
      <x:c r="J160" s="20" t="n">
        <x:f>IF(A160="",0,IF(AND(C160="pagada",NOT(ISNUMBER(H160))),1,0))</x:f>
        <x:v>0</x:v>
      </x:c>
    </x:row>
    <x:row r="161" ht="22" customHeight="1">
      <x:c r="A161" s="12"/>
      <x:c r="B161" s="10"/>
      <x:c r="C161" s="10"/>
      <x:c r="D161" s="10"/>
      <x:c r="E161" s="10"/>
      <x:c r="F161" s="10"/>
      <x:c r="G161" s="15"/>
      <x:c r="H161" s="15"/>
      <x:c r="I161" s="19" t="str">
        <x:f>IF(OR(A161="",C161&lt;&gt;"pagada",NOT(ISNUMBER(G161)),NOT(ISNUMBER(H161))),"",G161-H161)</x:f>
      </x:c>
      <x:c r="J161" s="20" t="n">
        <x:f>IF(A161="",0,IF(AND(C161="pagada",NOT(ISNUMBER(H161))),1,0))</x:f>
        <x:v>0</x:v>
      </x:c>
    </x:row>
    <x:row r="162" ht="22" customHeight="1">
      <x:c r="A162" s="12"/>
      <x:c r="B162" s="10"/>
      <x:c r="C162" s="10"/>
      <x:c r="D162" s="10"/>
      <x:c r="E162" s="10"/>
      <x:c r="F162" s="10"/>
      <x:c r="G162" s="15"/>
      <x:c r="H162" s="15"/>
      <x:c r="I162" s="19" t="str">
        <x:f>IF(OR(A162="",C162&lt;&gt;"pagada",NOT(ISNUMBER(G162)),NOT(ISNUMBER(H162))),"",G162-H162)</x:f>
      </x:c>
      <x:c r="J162" s="20" t="n">
        <x:f>IF(A162="",0,IF(AND(C162="pagada",NOT(ISNUMBER(H162))),1,0))</x:f>
        <x:v>0</x:v>
      </x:c>
    </x:row>
    <x:row r="163" ht="22" customHeight="1">
      <x:c r="A163" s="12"/>
      <x:c r="B163" s="10"/>
      <x:c r="C163" s="10"/>
      <x:c r="D163" s="10"/>
      <x:c r="E163" s="10"/>
      <x:c r="F163" s="10"/>
      <x:c r="G163" s="15"/>
      <x:c r="H163" s="15"/>
      <x:c r="I163" s="19" t="str">
        <x:f>IF(OR(A163="",C163&lt;&gt;"pagada",NOT(ISNUMBER(G163)),NOT(ISNUMBER(H163))),"",G163-H163)</x:f>
      </x:c>
      <x:c r="J163" s="20" t="n">
        <x:f>IF(A163="",0,IF(AND(C163="pagada",NOT(ISNUMBER(H163))),1,0))</x:f>
        <x:v>0</x:v>
      </x:c>
    </x:row>
    <x:row r="164" ht="22" customHeight="1">
      <x:c r="A164" s="12"/>
      <x:c r="B164" s="10"/>
      <x:c r="C164" s="10"/>
      <x:c r="D164" s="10"/>
      <x:c r="E164" s="10"/>
      <x:c r="F164" s="10"/>
      <x:c r="G164" s="15"/>
      <x:c r="H164" s="15"/>
      <x:c r="I164" s="19" t="str">
        <x:f>IF(OR(A164="",C164&lt;&gt;"pagada",NOT(ISNUMBER(G164)),NOT(ISNUMBER(H164))),"",G164-H164)</x:f>
      </x:c>
      <x:c r="J164" s="20" t="n">
        <x:f>IF(A164="",0,IF(AND(C164="pagada",NOT(ISNUMBER(H164))),1,0))</x:f>
        <x:v>0</x:v>
      </x:c>
    </x:row>
    <x:row r="165" ht="22" customHeight="1">
      <x:c r="A165" s="12"/>
      <x:c r="B165" s="10"/>
      <x:c r="C165" s="10"/>
      <x:c r="D165" s="10"/>
      <x:c r="E165" s="10"/>
      <x:c r="F165" s="10"/>
      <x:c r="G165" s="15"/>
      <x:c r="H165" s="15"/>
      <x:c r="I165" s="19" t="str">
        <x:f>IF(OR(A165="",C165&lt;&gt;"pagada",NOT(ISNUMBER(G165)),NOT(ISNUMBER(H165))),"",G165-H165)</x:f>
      </x:c>
      <x:c r="J165" s="20" t="n">
        <x:f>IF(A165="",0,IF(AND(C165="pagada",NOT(ISNUMBER(H165))),1,0))</x:f>
        <x:v>0</x:v>
      </x:c>
    </x:row>
    <x:row r="166" ht="22" customHeight="1">
      <x:c r="A166" s="12"/>
      <x:c r="B166" s="10"/>
      <x:c r="C166" s="10"/>
      <x:c r="D166" s="10"/>
      <x:c r="E166" s="10"/>
      <x:c r="F166" s="10"/>
      <x:c r="G166" s="15"/>
      <x:c r="H166" s="15"/>
      <x:c r="I166" s="19" t="str">
        <x:f>IF(OR(A166="",C166&lt;&gt;"pagada",NOT(ISNUMBER(G166)),NOT(ISNUMBER(H166))),"",G166-H166)</x:f>
      </x:c>
      <x:c r="J166" s="20" t="n">
        <x:f>IF(A166="",0,IF(AND(C166="pagada",NOT(ISNUMBER(H166))),1,0))</x:f>
        <x:v>0</x:v>
      </x:c>
    </x:row>
    <x:row r="167" ht="22" customHeight="1">
      <x:c r="A167" s="12"/>
      <x:c r="B167" s="10"/>
      <x:c r="C167" s="10"/>
      <x:c r="D167" s="10"/>
      <x:c r="E167" s="10"/>
      <x:c r="F167" s="10"/>
      <x:c r="G167" s="15"/>
      <x:c r="H167" s="15"/>
      <x:c r="I167" s="19" t="str">
        <x:f>IF(OR(A167="",C167&lt;&gt;"pagada",NOT(ISNUMBER(G167)),NOT(ISNUMBER(H167))),"",G167-H167)</x:f>
      </x:c>
      <x:c r="J167" s="20" t="n">
        <x:f>IF(A167="",0,IF(AND(C167="pagada",NOT(ISNUMBER(H167))),1,0))</x:f>
        <x:v>0</x:v>
      </x:c>
    </x:row>
    <x:row r="168" ht="22" customHeight="1">
      <x:c r="A168" s="12"/>
      <x:c r="B168" s="10"/>
      <x:c r="C168" s="10"/>
      <x:c r="D168" s="10"/>
      <x:c r="E168" s="10"/>
      <x:c r="F168" s="10"/>
      <x:c r="G168" s="15"/>
      <x:c r="H168" s="15"/>
      <x:c r="I168" s="19" t="str">
        <x:f>IF(OR(A168="",C168&lt;&gt;"pagada",NOT(ISNUMBER(G168)),NOT(ISNUMBER(H168))),"",G168-H168)</x:f>
      </x:c>
      <x:c r="J168" s="20" t="n">
        <x:f>IF(A168="",0,IF(AND(C168="pagada",NOT(ISNUMBER(H168))),1,0))</x:f>
        <x:v>0</x:v>
      </x:c>
    </x:row>
    <x:row r="169" ht="22" customHeight="1">
      <x:c r="A169" s="12"/>
      <x:c r="B169" s="10"/>
      <x:c r="C169" s="10"/>
      <x:c r="D169" s="10"/>
      <x:c r="E169" s="10"/>
      <x:c r="F169" s="10"/>
      <x:c r="G169" s="15"/>
      <x:c r="H169" s="15"/>
      <x:c r="I169" s="19" t="str">
        <x:f>IF(OR(A169="",C169&lt;&gt;"pagada",NOT(ISNUMBER(G169)),NOT(ISNUMBER(H169))),"",G169-H169)</x:f>
      </x:c>
      <x:c r="J169" s="20" t="n">
        <x:f>IF(A169="",0,IF(AND(C169="pagada",NOT(ISNUMBER(H169))),1,0))</x:f>
        <x:v>0</x:v>
      </x:c>
    </x:row>
    <x:row r="170" ht="22" customHeight="1">
      <x:c r="A170" s="12"/>
      <x:c r="B170" s="10"/>
      <x:c r="C170" s="10"/>
      <x:c r="D170" s="10"/>
      <x:c r="E170" s="10"/>
      <x:c r="F170" s="10"/>
      <x:c r="G170" s="15"/>
      <x:c r="H170" s="15"/>
      <x:c r="I170" s="19" t="str">
        <x:f>IF(OR(A170="",C170&lt;&gt;"pagada",NOT(ISNUMBER(G170)),NOT(ISNUMBER(H170))),"",G170-H170)</x:f>
      </x:c>
      <x:c r="J170" s="20" t="n">
        <x:f>IF(A170="",0,IF(AND(C170="pagada",NOT(ISNUMBER(H170))),1,0))</x:f>
        <x:v>0</x:v>
      </x:c>
    </x:row>
    <x:row r="171" ht="22" customHeight="1">
      <x:c r="A171" s="12"/>
      <x:c r="B171" s="10"/>
      <x:c r="C171" s="10"/>
      <x:c r="D171" s="10"/>
      <x:c r="E171" s="10"/>
      <x:c r="F171" s="10"/>
      <x:c r="G171" s="15"/>
      <x:c r="H171" s="15"/>
      <x:c r="I171" s="19" t="str">
        <x:f>IF(OR(A171="",C171&lt;&gt;"pagada",NOT(ISNUMBER(G171)),NOT(ISNUMBER(H171))),"",G171-H171)</x:f>
      </x:c>
      <x:c r="J171" s="20" t="n">
        <x:f>IF(A171="",0,IF(AND(C171="pagada",NOT(ISNUMBER(H171))),1,0))</x:f>
        <x:v>0</x:v>
      </x:c>
    </x:row>
    <x:row r="172" ht="22" customHeight="1">
      <x:c r="A172" s="12"/>
      <x:c r="B172" s="10"/>
      <x:c r="C172" s="10"/>
      <x:c r="D172" s="10"/>
      <x:c r="E172" s="10"/>
      <x:c r="F172" s="10"/>
      <x:c r="G172" s="15"/>
      <x:c r="H172" s="15"/>
      <x:c r="I172" s="19" t="str">
        <x:f>IF(OR(A172="",C172&lt;&gt;"pagada",NOT(ISNUMBER(G172)),NOT(ISNUMBER(H172))),"",G172-H172)</x:f>
      </x:c>
      <x:c r="J172" s="20" t="n">
        <x:f>IF(A172="",0,IF(AND(C172="pagada",NOT(ISNUMBER(H172))),1,0))</x:f>
        <x:v>0</x:v>
      </x:c>
    </x:row>
    <x:row r="173" ht="22" customHeight="1">
      <x:c r="A173" s="12"/>
      <x:c r="B173" s="10"/>
      <x:c r="C173" s="10"/>
      <x:c r="D173" s="10"/>
      <x:c r="E173" s="10"/>
      <x:c r="F173" s="10"/>
      <x:c r="G173" s="15"/>
      <x:c r="H173" s="15"/>
      <x:c r="I173" s="19" t="str">
        <x:f>IF(OR(A173="",C173&lt;&gt;"pagada",NOT(ISNUMBER(G173)),NOT(ISNUMBER(H173))),"",G173-H173)</x:f>
      </x:c>
      <x:c r="J173" s="20" t="n">
        <x:f>IF(A173="",0,IF(AND(C173="pagada",NOT(ISNUMBER(H173))),1,0))</x:f>
        <x:v>0</x:v>
      </x:c>
    </x:row>
    <x:row r="174" ht="22" customHeight="1">
      <x:c r="A174" s="12"/>
      <x:c r="B174" s="10"/>
      <x:c r="C174" s="10"/>
      <x:c r="D174" s="10"/>
      <x:c r="E174" s="10"/>
      <x:c r="F174" s="10"/>
      <x:c r="G174" s="15"/>
      <x:c r="H174" s="15"/>
      <x:c r="I174" s="19" t="str">
        <x:f>IF(OR(A174="",C174&lt;&gt;"pagada",NOT(ISNUMBER(G174)),NOT(ISNUMBER(H174))),"",G174-H174)</x:f>
      </x:c>
      <x:c r="J174" s="20" t="n">
        <x:f>IF(A174="",0,IF(AND(C174="pagada",NOT(ISNUMBER(H174))),1,0))</x:f>
        <x:v>0</x:v>
      </x:c>
    </x:row>
    <x:row r="175" ht="22" customHeight="1">
      <x:c r="A175" s="12"/>
      <x:c r="B175" s="10"/>
      <x:c r="C175" s="10"/>
      <x:c r="D175" s="10"/>
      <x:c r="E175" s="10"/>
      <x:c r="F175" s="10"/>
      <x:c r="G175" s="15"/>
      <x:c r="H175" s="15"/>
      <x:c r="I175" s="19" t="str">
        <x:f>IF(OR(A175="",C175&lt;&gt;"pagada",NOT(ISNUMBER(G175)),NOT(ISNUMBER(H175))),"",G175-H175)</x:f>
      </x:c>
      <x:c r="J175" s="20" t="n">
        <x:f>IF(A175="",0,IF(AND(C175="pagada",NOT(ISNUMBER(H175))),1,0))</x:f>
        <x:v>0</x:v>
      </x:c>
    </x:row>
    <x:row r="176" ht="22" customHeight="1">
      <x:c r="A176" s="12"/>
      <x:c r="B176" s="10"/>
      <x:c r="C176" s="10"/>
      <x:c r="D176" s="10"/>
      <x:c r="E176" s="10"/>
      <x:c r="F176" s="10"/>
      <x:c r="G176" s="15"/>
      <x:c r="H176" s="15"/>
      <x:c r="I176" s="19" t="str">
        <x:f>IF(OR(A176="",C176&lt;&gt;"pagada",NOT(ISNUMBER(G176)),NOT(ISNUMBER(H176))),"",G176-H176)</x:f>
      </x:c>
      <x:c r="J176" s="20" t="n">
        <x:f>IF(A176="",0,IF(AND(C176="pagada",NOT(ISNUMBER(H176))),1,0))</x:f>
        <x:v>0</x:v>
      </x:c>
    </x:row>
    <x:row r="177" ht="22" customHeight="1">
      <x:c r="A177" s="12"/>
      <x:c r="B177" s="10"/>
      <x:c r="C177" s="10"/>
      <x:c r="D177" s="10"/>
      <x:c r="E177" s="10"/>
      <x:c r="F177" s="10"/>
      <x:c r="G177" s="15"/>
      <x:c r="H177" s="15"/>
      <x:c r="I177" s="19" t="str">
        <x:f>IF(OR(A177="",C177&lt;&gt;"pagada",NOT(ISNUMBER(G177)),NOT(ISNUMBER(H177))),"",G177-H177)</x:f>
      </x:c>
      <x:c r="J177" s="20" t="n">
        <x:f>IF(A177="",0,IF(AND(C177="pagada",NOT(ISNUMBER(H177))),1,0))</x:f>
        <x:v>0</x:v>
      </x:c>
    </x:row>
    <x:row r="178" ht="22" customHeight="1">
      <x:c r="A178" s="12"/>
      <x:c r="B178" s="10"/>
      <x:c r="C178" s="10"/>
      <x:c r="D178" s="10"/>
      <x:c r="E178" s="10"/>
      <x:c r="F178" s="10"/>
      <x:c r="G178" s="15"/>
      <x:c r="H178" s="15"/>
      <x:c r="I178" s="19" t="str">
        <x:f>IF(OR(A178="",C178&lt;&gt;"pagada",NOT(ISNUMBER(G178)),NOT(ISNUMBER(H178))),"",G178-H178)</x:f>
      </x:c>
      <x:c r="J178" s="20" t="n">
        <x:f>IF(A178="",0,IF(AND(C178="pagada",NOT(ISNUMBER(H178))),1,0))</x:f>
        <x:v>0</x:v>
      </x:c>
    </x:row>
    <x:row r="179" ht="22" customHeight="1">
      <x:c r="A179" s="12"/>
      <x:c r="B179" s="10"/>
      <x:c r="C179" s="10"/>
      <x:c r="D179" s="10"/>
      <x:c r="E179" s="10"/>
      <x:c r="F179" s="10"/>
      <x:c r="G179" s="15"/>
      <x:c r="H179" s="15"/>
      <x:c r="I179" s="19" t="str">
        <x:f>IF(OR(A179="",C179&lt;&gt;"pagada",NOT(ISNUMBER(G179)),NOT(ISNUMBER(H179))),"",G179-H179)</x:f>
      </x:c>
      <x:c r="J179" s="20" t="n">
        <x:f>IF(A179="",0,IF(AND(C179="pagada",NOT(ISNUMBER(H179))),1,0))</x:f>
        <x:v>0</x:v>
      </x:c>
    </x:row>
    <x:row r="180" ht="22" customHeight="1">
      <x:c r="A180" s="12"/>
      <x:c r="B180" s="10"/>
      <x:c r="C180" s="10"/>
      <x:c r="D180" s="10"/>
      <x:c r="E180" s="10"/>
      <x:c r="F180" s="10"/>
      <x:c r="G180" s="15"/>
      <x:c r="H180" s="15"/>
      <x:c r="I180" s="19" t="str">
        <x:f>IF(OR(A180="",C180&lt;&gt;"pagada",NOT(ISNUMBER(G180)),NOT(ISNUMBER(H180))),"",G180-H180)</x:f>
      </x:c>
      <x:c r="J180" s="20" t="n">
        <x:f>IF(A180="",0,IF(AND(C180="pagada",NOT(ISNUMBER(H180))),1,0))</x:f>
        <x:v>0</x:v>
      </x:c>
    </x:row>
    <x:row r="181" ht="22" customHeight="1">
      <x:c r="A181" s="12"/>
      <x:c r="B181" s="10"/>
      <x:c r="C181" s="10"/>
      <x:c r="D181" s="10"/>
      <x:c r="E181" s="10"/>
      <x:c r="F181" s="10"/>
      <x:c r="G181" s="15"/>
      <x:c r="H181" s="15"/>
      <x:c r="I181" s="19" t="str">
        <x:f>IF(OR(A181="",C181&lt;&gt;"pagada",NOT(ISNUMBER(G181)),NOT(ISNUMBER(H181))),"",G181-H181)</x:f>
      </x:c>
      <x:c r="J181" s="20" t="n">
        <x:f>IF(A181="",0,IF(AND(C181="pagada",NOT(ISNUMBER(H181))),1,0))</x:f>
        <x:v>0</x:v>
      </x:c>
    </x:row>
    <x:row r="182" ht="22" customHeight="1">
      <x:c r="A182" s="12"/>
      <x:c r="B182" s="10"/>
      <x:c r="C182" s="10"/>
      <x:c r="D182" s="10"/>
      <x:c r="E182" s="10"/>
      <x:c r="F182" s="10"/>
      <x:c r="G182" s="15"/>
      <x:c r="H182" s="15"/>
      <x:c r="I182" s="19" t="str">
        <x:f>IF(OR(A182="",C182&lt;&gt;"pagada",NOT(ISNUMBER(G182)),NOT(ISNUMBER(H182))),"",G182-H182)</x:f>
      </x:c>
      <x:c r="J182" s="20" t="n">
        <x:f>IF(A182="",0,IF(AND(C182="pagada",NOT(ISNUMBER(H182))),1,0))</x:f>
        <x:v>0</x:v>
      </x:c>
    </x:row>
    <x:row r="183" ht="22" customHeight="1">
      <x:c r="A183" s="12"/>
      <x:c r="B183" s="10"/>
      <x:c r="C183" s="10"/>
      <x:c r="D183" s="10"/>
      <x:c r="E183" s="10"/>
      <x:c r="F183" s="10"/>
      <x:c r="G183" s="15"/>
      <x:c r="H183" s="15"/>
      <x:c r="I183" s="19" t="str">
        <x:f>IF(OR(A183="",C183&lt;&gt;"pagada",NOT(ISNUMBER(G183)),NOT(ISNUMBER(H183))),"",G183-H183)</x:f>
      </x:c>
      <x:c r="J183" s="20" t="n">
        <x:f>IF(A183="",0,IF(AND(C183="pagada",NOT(ISNUMBER(H183))),1,0))</x:f>
        <x:v>0</x:v>
      </x:c>
    </x:row>
    <x:row r="184" ht="22" customHeight="1">
      <x:c r="A184" s="12"/>
      <x:c r="B184" s="10"/>
      <x:c r="C184" s="10"/>
      <x:c r="D184" s="10"/>
      <x:c r="E184" s="10"/>
      <x:c r="F184" s="10"/>
      <x:c r="G184" s="15"/>
      <x:c r="H184" s="15"/>
      <x:c r="I184" s="19" t="str">
        <x:f>IF(OR(A184="",C184&lt;&gt;"pagada",NOT(ISNUMBER(G184)),NOT(ISNUMBER(H184))),"",G184-H184)</x:f>
      </x:c>
      <x:c r="J184" s="20" t="n">
        <x:f>IF(A184="",0,IF(AND(C184="pagada",NOT(ISNUMBER(H184))),1,0))</x:f>
        <x:v>0</x:v>
      </x:c>
    </x:row>
    <x:row r="185" ht="22" customHeight="1">
      <x:c r="A185" s="12"/>
      <x:c r="B185" s="10"/>
      <x:c r="C185" s="10"/>
      <x:c r="D185" s="10"/>
      <x:c r="E185" s="10"/>
      <x:c r="F185" s="10"/>
      <x:c r="G185" s="15"/>
      <x:c r="H185" s="15"/>
      <x:c r="I185" s="19" t="str">
        <x:f>IF(OR(A185="",C185&lt;&gt;"pagada",NOT(ISNUMBER(G185)),NOT(ISNUMBER(H185))),"",G185-H185)</x:f>
      </x:c>
      <x:c r="J185" s="20" t="n">
        <x:f>IF(A185="",0,IF(AND(C185="pagada",NOT(ISNUMBER(H185))),1,0))</x:f>
        <x:v>0</x:v>
      </x:c>
    </x:row>
    <x:row r="186" ht="22" customHeight="1">
      <x:c r="A186" s="12"/>
      <x:c r="B186" s="10"/>
      <x:c r="C186" s="10"/>
      <x:c r="D186" s="10"/>
      <x:c r="E186" s="10"/>
      <x:c r="F186" s="10"/>
      <x:c r="G186" s="15"/>
      <x:c r="H186" s="15"/>
      <x:c r="I186" s="19" t="str">
        <x:f>IF(OR(A186="",C186&lt;&gt;"pagada",NOT(ISNUMBER(G186)),NOT(ISNUMBER(H186))),"",G186-H186)</x:f>
      </x:c>
      <x:c r="J186" s="20" t="n">
        <x:f>IF(A186="",0,IF(AND(C186="pagada",NOT(ISNUMBER(H186))),1,0))</x:f>
        <x:v>0</x:v>
      </x:c>
    </x:row>
    <x:row r="187" ht="22" customHeight="1">
      <x:c r="A187" s="12"/>
      <x:c r="B187" s="10"/>
      <x:c r="C187" s="10"/>
      <x:c r="D187" s="10"/>
      <x:c r="E187" s="10"/>
      <x:c r="F187" s="10"/>
      <x:c r="G187" s="15"/>
      <x:c r="H187" s="15"/>
      <x:c r="I187" s="19" t="str">
        <x:f>IF(OR(A187="",C187&lt;&gt;"pagada",NOT(ISNUMBER(G187)),NOT(ISNUMBER(H187))),"",G187-H187)</x:f>
      </x:c>
      <x:c r="J187" s="20" t="n">
        <x:f>IF(A187="",0,IF(AND(C187="pagada",NOT(ISNUMBER(H187))),1,0))</x:f>
        <x:v>0</x:v>
      </x:c>
    </x:row>
    <x:row r="188" ht="22" customHeight="1">
      <x:c r="A188" s="12"/>
      <x:c r="B188" s="10"/>
      <x:c r="C188" s="10"/>
      <x:c r="D188" s="10"/>
      <x:c r="E188" s="10"/>
      <x:c r="F188" s="10"/>
      <x:c r="G188" s="15"/>
      <x:c r="H188" s="15"/>
      <x:c r="I188" s="19" t="str">
        <x:f>IF(OR(A188="",C188&lt;&gt;"pagada",NOT(ISNUMBER(G188)),NOT(ISNUMBER(H188))),"",G188-H188)</x:f>
      </x:c>
      <x:c r="J188" s="20" t="n">
        <x:f>IF(A188="",0,IF(AND(C188="pagada",NOT(ISNUMBER(H188))),1,0))</x:f>
        <x:v>0</x:v>
      </x:c>
    </x:row>
    <x:row r="189" ht="22" customHeight="1">
      <x:c r="A189" s="12"/>
      <x:c r="B189" s="10"/>
      <x:c r="C189" s="10"/>
      <x:c r="D189" s="10"/>
      <x:c r="E189" s="10"/>
      <x:c r="F189" s="10"/>
      <x:c r="G189" s="15"/>
      <x:c r="H189" s="15"/>
      <x:c r="I189" s="19" t="str">
        <x:f>IF(OR(A189="",C189&lt;&gt;"pagada",NOT(ISNUMBER(G189)),NOT(ISNUMBER(H189))),"",G189-H189)</x:f>
      </x:c>
      <x:c r="J189" s="20" t="n">
        <x:f>IF(A189="",0,IF(AND(C189="pagada",NOT(ISNUMBER(H189))),1,0))</x:f>
        <x:v>0</x:v>
      </x:c>
    </x:row>
    <x:row r="190" ht="22" customHeight="1">
      <x:c r="A190" s="12"/>
      <x:c r="B190" s="10"/>
      <x:c r="C190" s="10"/>
      <x:c r="D190" s="10"/>
      <x:c r="E190" s="10"/>
      <x:c r="F190" s="10"/>
      <x:c r="G190" s="15"/>
      <x:c r="H190" s="15"/>
      <x:c r="I190" s="19" t="str">
        <x:f>IF(OR(A190="",C190&lt;&gt;"pagada",NOT(ISNUMBER(G190)),NOT(ISNUMBER(H190))),"",G190-H190)</x:f>
      </x:c>
      <x:c r="J190" s="20" t="n">
        <x:f>IF(A190="",0,IF(AND(C190="pagada",NOT(ISNUMBER(H190))),1,0))</x:f>
        <x:v>0</x:v>
      </x:c>
    </x:row>
    <x:row r="191" ht="22" customHeight="1">
      <x:c r="A191" s="12"/>
      <x:c r="B191" s="10"/>
      <x:c r="C191" s="10"/>
      <x:c r="D191" s="10"/>
      <x:c r="E191" s="10"/>
      <x:c r="F191" s="10"/>
      <x:c r="G191" s="15"/>
      <x:c r="H191" s="15"/>
      <x:c r="I191" s="19" t="str">
        <x:f>IF(OR(A191="",C191&lt;&gt;"pagada",NOT(ISNUMBER(G191)),NOT(ISNUMBER(H191))),"",G191-H191)</x:f>
      </x:c>
      <x:c r="J191" s="20" t="n">
        <x:f>IF(A191="",0,IF(AND(C191="pagada",NOT(ISNUMBER(H191))),1,0))</x:f>
        <x:v>0</x:v>
      </x:c>
    </x:row>
    <x:row r="192" ht="22" customHeight="1">
      <x:c r="A192" s="12"/>
      <x:c r="B192" s="10"/>
      <x:c r="C192" s="10"/>
      <x:c r="D192" s="10"/>
      <x:c r="E192" s="10"/>
      <x:c r="F192" s="10"/>
      <x:c r="G192" s="15"/>
      <x:c r="H192" s="15"/>
      <x:c r="I192" s="19" t="str">
        <x:f>IF(OR(A192="",C192&lt;&gt;"pagada",NOT(ISNUMBER(G192)),NOT(ISNUMBER(H192))),"",G192-H192)</x:f>
      </x:c>
      <x:c r="J192" s="20" t="n">
        <x:f>IF(A192="",0,IF(AND(C192="pagada",NOT(ISNUMBER(H192))),1,0))</x:f>
        <x:v>0</x:v>
      </x:c>
    </x:row>
    <x:row r="193" ht="22" customHeight="1">
      <x:c r="A193" s="12"/>
      <x:c r="B193" s="10"/>
      <x:c r="C193" s="10"/>
      <x:c r="D193" s="10"/>
      <x:c r="E193" s="10"/>
      <x:c r="F193" s="10"/>
      <x:c r="G193" s="15"/>
      <x:c r="H193" s="15"/>
      <x:c r="I193" s="19" t="str">
        <x:f>IF(OR(A193="",C193&lt;&gt;"pagada",NOT(ISNUMBER(G193)),NOT(ISNUMBER(H193))),"",G193-H193)</x:f>
      </x:c>
      <x:c r="J193" s="20" t="n">
        <x:f>IF(A193="",0,IF(AND(C193="pagada",NOT(ISNUMBER(H193))),1,0))</x:f>
        <x:v>0</x:v>
      </x:c>
    </x:row>
    <x:row r="194" ht="22" customHeight="1">
      <x:c r="A194" s="12"/>
      <x:c r="B194" s="10"/>
      <x:c r="C194" s="10"/>
      <x:c r="D194" s="10"/>
      <x:c r="E194" s="10"/>
      <x:c r="F194" s="10"/>
      <x:c r="G194" s="15"/>
      <x:c r="H194" s="15"/>
      <x:c r="I194" s="19" t="str">
        <x:f>IF(OR(A194="",C194&lt;&gt;"pagada",NOT(ISNUMBER(G194)),NOT(ISNUMBER(H194))),"",G194-H194)</x:f>
      </x:c>
      <x:c r="J194" s="20" t="n">
        <x:f>IF(A194="",0,IF(AND(C194="pagada",NOT(ISNUMBER(H194))),1,0))</x:f>
        <x:v>0</x:v>
      </x:c>
    </x:row>
    <x:row r="195" ht="22" customHeight="1">
      <x:c r="A195" s="12"/>
      <x:c r="B195" s="10"/>
      <x:c r="C195" s="10"/>
      <x:c r="D195" s="10"/>
      <x:c r="E195" s="10"/>
      <x:c r="F195" s="10"/>
      <x:c r="G195" s="15"/>
      <x:c r="H195" s="15"/>
      <x:c r="I195" s="19" t="str">
        <x:f>IF(OR(A195="",C195&lt;&gt;"pagada",NOT(ISNUMBER(G195)),NOT(ISNUMBER(H195))),"",G195-H195)</x:f>
      </x:c>
      <x:c r="J195" s="20" t="n">
        <x:f>IF(A195="",0,IF(AND(C195="pagada",NOT(ISNUMBER(H195))),1,0))</x:f>
        <x:v>0</x:v>
      </x:c>
    </x:row>
    <x:row r="196" ht="22" customHeight="1">
      <x:c r="A196" s="12"/>
      <x:c r="B196" s="10"/>
      <x:c r="C196" s="10"/>
      <x:c r="D196" s="10"/>
      <x:c r="E196" s="10"/>
      <x:c r="F196" s="10"/>
      <x:c r="G196" s="15"/>
      <x:c r="H196" s="15"/>
      <x:c r="I196" s="19" t="str">
        <x:f>IF(OR(A196="",C196&lt;&gt;"pagada",NOT(ISNUMBER(G196)),NOT(ISNUMBER(H196))),"",G196-H196)</x:f>
      </x:c>
      <x:c r="J196" s="20" t="n">
        <x:f>IF(A196="",0,IF(AND(C196="pagada",NOT(ISNUMBER(H196))),1,0))</x:f>
        <x:v>0</x:v>
      </x:c>
    </x:row>
    <x:row r="197" ht="22" customHeight="1">
      <x:c r="A197" s="12"/>
      <x:c r="B197" s="10"/>
      <x:c r="C197" s="10"/>
      <x:c r="D197" s="10"/>
      <x:c r="E197" s="10"/>
      <x:c r="F197" s="10"/>
      <x:c r="G197" s="15"/>
      <x:c r="H197" s="15"/>
      <x:c r="I197" s="19" t="str">
        <x:f>IF(OR(A197="",C197&lt;&gt;"pagada",NOT(ISNUMBER(G197)),NOT(ISNUMBER(H197))),"",G197-H197)</x:f>
      </x:c>
      <x:c r="J197" s="20" t="n">
        <x:f>IF(A197="",0,IF(AND(C197="pagada",NOT(ISNUMBER(H197))),1,0))</x:f>
        <x:v>0</x:v>
      </x:c>
    </x:row>
    <x:row r="198" ht="22" customHeight="1">
      <x:c r="A198" s="12"/>
      <x:c r="B198" s="10"/>
      <x:c r="C198" s="10"/>
      <x:c r="D198" s="10"/>
      <x:c r="E198" s="10"/>
      <x:c r="F198" s="10"/>
      <x:c r="G198" s="15"/>
      <x:c r="H198" s="15"/>
      <x:c r="I198" s="19" t="str">
        <x:f>IF(OR(A198="",C198&lt;&gt;"pagada",NOT(ISNUMBER(G198)),NOT(ISNUMBER(H198))),"",G198-H198)</x:f>
      </x:c>
      <x:c r="J198" s="20" t="n">
        <x:f>IF(A198="",0,IF(AND(C198="pagada",NOT(ISNUMBER(H198))),1,0))</x:f>
        <x:v>0</x:v>
      </x:c>
    </x:row>
    <x:row r="199" ht="22" customHeight="1">
      <x:c r="A199" s="12"/>
      <x:c r="B199" s="10"/>
      <x:c r="C199" s="10"/>
      <x:c r="D199" s="10"/>
      <x:c r="E199" s="10"/>
      <x:c r="F199" s="10"/>
      <x:c r="G199" s="15"/>
      <x:c r="H199" s="15"/>
      <x:c r="I199" s="19" t="str">
        <x:f>IF(OR(A199="",C199&lt;&gt;"pagada",NOT(ISNUMBER(G199)),NOT(ISNUMBER(H199))),"",G199-H199)</x:f>
      </x:c>
      <x:c r="J199" s="20" t="n">
        <x:f>IF(A199="",0,IF(AND(C199="pagada",NOT(ISNUMBER(H199))),1,0))</x:f>
        <x:v>0</x:v>
      </x:c>
    </x:row>
    <x:row r="200" ht="22" customHeight="1">
      <x:c r="A200" s="12"/>
      <x:c r="B200" s="10"/>
      <x:c r="C200" s="10"/>
      <x:c r="D200" s="10"/>
      <x:c r="E200" s="10"/>
      <x:c r="F200" s="10"/>
      <x:c r="G200" s="15"/>
      <x:c r="H200" s="15"/>
      <x:c r="I200" s="19" t="str">
        <x:f>IF(OR(A200="",C200&lt;&gt;"pagada",NOT(ISNUMBER(G200)),NOT(ISNUMBER(H200))),"",G200-H200)</x:f>
      </x:c>
      <x:c r="J200" s="20" t="n">
        <x:f>IF(A200="",0,IF(AND(C200="pagada",NOT(ISNUMBER(H200))),1,0))</x:f>
        <x:v>0</x:v>
      </x:c>
    </x:row>
    <x:row r="201" ht="22" customHeight="1">
      <x:c r="A201" s="12"/>
      <x:c r="B201" s="10"/>
      <x:c r="C201" s="10"/>
      <x:c r="D201" s="10"/>
      <x:c r="E201" s="10"/>
      <x:c r="F201" s="10"/>
      <x:c r="G201" s="15"/>
      <x:c r="H201" s="15"/>
      <x:c r="I201" s="19" t="str">
        <x:f>IF(OR(A201="",C201&lt;&gt;"pagada",NOT(ISNUMBER(G201)),NOT(ISNUMBER(H201))),"",G201-H201)</x:f>
      </x:c>
      <x:c r="J201" s="20" t="n">
        <x:f>IF(A201="",0,IF(AND(C201="pagada",NOT(ISNUMBER(H201))),1,0))</x:f>
        <x:v>0</x:v>
      </x:c>
    </x:row>
    <x:row r="202" ht="22" customHeight="1">
      <x:c r="A202" s="12"/>
      <x:c r="B202" s="10"/>
      <x:c r="C202" s="10"/>
      <x:c r="D202" s="10"/>
      <x:c r="E202" s="10"/>
      <x:c r="F202" s="10"/>
      <x:c r="G202" s="15"/>
      <x:c r="H202" s="15"/>
      <x:c r="I202" s="19" t="str">
        <x:f>IF(OR(A202="",C202&lt;&gt;"pagada",NOT(ISNUMBER(G202)),NOT(ISNUMBER(H202))),"",G202-H202)</x:f>
      </x:c>
      <x:c r="J202" s="20" t="n">
        <x:f>IF(A202="",0,IF(AND(C202="pagada",NOT(ISNUMBER(H202))),1,0))</x:f>
        <x:v>0</x:v>
      </x:c>
    </x:row>
    <x:row r="203" ht="22" customHeight="1">
      <x:c r="A203" s="12"/>
      <x:c r="B203" s="10"/>
      <x:c r="C203" s="10"/>
      <x:c r="D203" s="10"/>
      <x:c r="E203" s="10"/>
      <x:c r="F203" s="10"/>
      <x:c r="G203" s="15"/>
      <x:c r="H203" s="15"/>
      <x:c r="I203" s="19" t="str">
        <x:f>IF(OR(A203="",C203&lt;&gt;"pagada",NOT(ISNUMBER(G203)),NOT(ISNUMBER(H203))),"",G203-H203)</x:f>
      </x:c>
      <x:c r="J203" s="20" t="n">
        <x:f>IF(A203="",0,IF(AND(C203="pagada",NOT(ISNUMBER(H203))),1,0))</x:f>
        <x:v>0</x:v>
      </x:c>
    </x:row>
    <x:row r="204" ht="22" customHeight="1">
      <x:c r="A204" s="12"/>
      <x:c r="B204" s="10"/>
      <x:c r="C204" s="10"/>
      <x:c r="D204" s="10"/>
      <x:c r="E204" s="10"/>
      <x:c r="F204" s="10"/>
      <x:c r="G204" s="15"/>
      <x:c r="H204" s="15"/>
      <x:c r="I204" s="19" t="str">
        <x:f>IF(OR(A204="",C204&lt;&gt;"pagada",NOT(ISNUMBER(G204)),NOT(ISNUMBER(H204))),"",G204-H204)</x:f>
      </x:c>
      <x:c r="J204" s="20" t="n">
        <x:f>IF(A204="",0,IF(AND(C204="pagada",NOT(ISNUMBER(H204))),1,0))</x:f>
        <x:v>0</x:v>
      </x:c>
    </x:row>
    <x:row r="205" ht="22" customHeight="1">
      <x:c r="A205" s="12"/>
      <x:c r="B205" s="10"/>
      <x:c r="C205" s="10"/>
      <x:c r="D205" s="10"/>
      <x:c r="E205" s="10"/>
      <x:c r="F205" s="10"/>
      <x:c r="G205" s="15"/>
      <x:c r="H205" s="15"/>
      <x:c r="I205" s="19" t="str">
        <x:f>IF(OR(A205="",C205&lt;&gt;"pagada",NOT(ISNUMBER(G205)),NOT(ISNUMBER(H205))),"",G205-H205)</x:f>
      </x:c>
      <x:c r="J205" s="20" t="n">
        <x:f>IF(A205="",0,IF(AND(C205="pagada",NOT(ISNUMBER(H205))),1,0))</x:f>
        <x:v>0</x:v>
      </x:c>
    </x:row>
    <x:row r="206" ht="22" customHeight="1">
      <x:c r="A206" s="12"/>
      <x:c r="B206" s="10"/>
      <x:c r="C206" s="10"/>
      <x:c r="D206" s="10"/>
      <x:c r="E206" s="10"/>
      <x:c r="F206" s="10"/>
      <x:c r="G206" s="15"/>
      <x:c r="H206" s="15"/>
      <x:c r="I206" s="19" t="str">
        <x:f>IF(OR(A206="",C206&lt;&gt;"pagada",NOT(ISNUMBER(G206)),NOT(ISNUMBER(H206))),"",G206-H206)</x:f>
      </x:c>
      <x:c r="J206" s="20" t="n">
        <x:f>IF(A206="",0,IF(AND(C206="pagada",NOT(ISNUMBER(H206))),1,0))</x:f>
        <x:v>0</x:v>
      </x:c>
    </x:row>
    <x:row r="207" ht="22" customHeight="1">
      <x:c r="A207" s="12"/>
      <x:c r="B207" s="10"/>
      <x:c r="C207" s="10"/>
      <x:c r="D207" s="10"/>
      <x:c r="E207" s="10"/>
      <x:c r="F207" s="10"/>
      <x:c r="G207" s="15"/>
      <x:c r="H207" s="15"/>
      <x:c r="I207" s="19" t="str">
        <x:f>IF(OR(A207="",C207&lt;&gt;"pagada",NOT(ISNUMBER(G207)),NOT(ISNUMBER(H207))),"",G207-H207)</x:f>
      </x:c>
      <x:c r="J207" s="20" t="n">
        <x:f>IF(A207="",0,IF(AND(C207="pagada",NOT(ISNUMBER(H207))),1,0))</x:f>
        <x:v>0</x:v>
      </x:c>
    </x:row>
    <x:row r="208" ht="22" customHeight="1">
      <x:c r="A208" s="12"/>
      <x:c r="B208" s="10"/>
      <x:c r="C208" s="10"/>
      <x:c r="D208" s="10"/>
      <x:c r="E208" s="10"/>
      <x:c r="F208" s="10"/>
      <x:c r="G208" s="15"/>
      <x:c r="H208" s="15"/>
      <x:c r="I208" s="19" t="str">
        <x:f>IF(OR(A208="",C208&lt;&gt;"pagada",NOT(ISNUMBER(G208)),NOT(ISNUMBER(H208))),"",G208-H208)</x:f>
      </x:c>
      <x:c r="J208" s="20" t="n">
        <x:f>IF(A208="",0,IF(AND(C208="pagada",NOT(ISNUMBER(H208))),1,0))</x:f>
        <x:v>0</x:v>
      </x:c>
    </x:row>
    <x:row r="209" ht="22" customHeight="1">
      <x:c r="A209" s="12"/>
      <x:c r="B209" s="10"/>
      <x:c r="C209" s="10"/>
      <x:c r="D209" s="10"/>
      <x:c r="E209" s="10"/>
      <x:c r="F209" s="10"/>
      <x:c r="G209" s="15"/>
      <x:c r="H209" s="15"/>
      <x:c r="I209" s="19" t="str">
        <x:f>IF(OR(A209="",C209&lt;&gt;"pagada",NOT(ISNUMBER(G209)),NOT(ISNUMBER(H209))),"",G209-H209)</x:f>
      </x:c>
      <x:c r="J209" s="20" t="n">
        <x:f>IF(A209="",0,IF(AND(C209="pagada",NOT(ISNUMBER(H209))),1,0))</x:f>
        <x:v>0</x:v>
      </x:c>
    </x:row>
    <x:row r="210" ht="22" customHeight="1">
      <x:c r="A210" s="12"/>
      <x:c r="B210" s="10"/>
      <x:c r="C210" s="10"/>
      <x:c r="D210" s="10"/>
      <x:c r="E210" s="10"/>
      <x:c r="F210" s="10"/>
      <x:c r="G210" s="15"/>
      <x:c r="H210" s="15"/>
      <x:c r="I210" s="19" t="str">
        <x:f>IF(OR(A210="",C210&lt;&gt;"pagada",NOT(ISNUMBER(G210)),NOT(ISNUMBER(H210))),"",G210-H210)</x:f>
      </x:c>
      <x:c r="J210" s="20" t="n">
        <x:f>IF(A210="",0,IF(AND(C210="pagada",NOT(ISNUMBER(H210))),1,0))</x:f>
        <x:v>0</x:v>
      </x:c>
    </x:row>
    <x:row r="211" ht="22" customHeight="1">
      <x:c r="A211" s="12"/>
      <x:c r="B211" s="10"/>
      <x:c r="C211" s="10"/>
      <x:c r="D211" s="10"/>
      <x:c r="E211" s="10"/>
      <x:c r="F211" s="10"/>
      <x:c r="G211" s="15"/>
      <x:c r="H211" s="15"/>
      <x:c r="I211" s="19" t="str">
        <x:f>IF(OR(A211="",C211&lt;&gt;"pagada",NOT(ISNUMBER(G211)),NOT(ISNUMBER(H211))),"",G211-H211)</x:f>
      </x:c>
      <x:c r="J211" s="20" t="n">
        <x:f>IF(A211="",0,IF(AND(C211="pagada",NOT(ISNUMBER(H211))),1,0))</x:f>
        <x:v>0</x:v>
      </x:c>
    </x:row>
    <x:row r="212" ht="22" customHeight="1">
      <x:c r="A212" s="12"/>
      <x:c r="B212" s="10"/>
      <x:c r="C212" s="10"/>
      <x:c r="D212" s="10"/>
      <x:c r="E212" s="10"/>
      <x:c r="F212" s="10"/>
      <x:c r="G212" s="15"/>
      <x:c r="H212" s="15"/>
      <x:c r="I212" s="19" t="str">
        <x:f>IF(OR(A212="",C212&lt;&gt;"pagada",NOT(ISNUMBER(G212)),NOT(ISNUMBER(H212))),"",G212-H212)</x:f>
      </x:c>
      <x:c r="J212" s="20" t="n">
        <x:f>IF(A212="",0,IF(AND(C212="pagada",NOT(ISNUMBER(H212))),1,0))</x:f>
        <x:v>0</x:v>
      </x:c>
    </x:row>
    <x:row r="213" ht="22" customHeight="1">
      <x:c r="A213" s="12"/>
      <x:c r="B213" s="10"/>
      <x:c r="C213" s="10"/>
      <x:c r="D213" s="10"/>
      <x:c r="E213" s="10"/>
      <x:c r="F213" s="10"/>
      <x:c r="G213" s="15"/>
      <x:c r="H213" s="15"/>
      <x:c r="I213" s="19" t="str">
        <x:f>IF(OR(A213="",C213&lt;&gt;"pagada",NOT(ISNUMBER(G213)),NOT(ISNUMBER(H213))),"",G213-H213)</x:f>
      </x:c>
      <x:c r="J213" s="20" t="n">
        <x:f>IF(A213="",0,IF(AND(C213="pagada",NOT(ISNUMBER(H213))),1,0))</x:f>
        <x:v>0</x:v>
      </x:c>
    </x:row>
    <x:row r="214" ht="22" customHeight="1">
      <x:c r="A214" s="12"/>
      <x:c r="B214" s="10"/>
      <x:c r="C214" s="10"/>
      <x:c r="D214" s="10"/>
      <x:c r="E214" s="10"/>
      <x:c r="F214" s="10"/>
      <x:c r="G214" s="15"/>
      <x:c r="H214" s="15"/>
      <x:c r="I214" s="19" t="str">
        <x:f>IF(OR(A214="",C214&lt;&gt;"pagada",NOT(ISNUMBER(G214)),NOT(ISNUMBER(H214))),"",G214-H214)</x:f>
      </x:c>
      <x:c r="J214" s="20" t="n">
        <x:f>IF(A214="",0,IF(AND(C214="pagada",NOT(ISNUMBER(H214))),1,0))</x:f>
        <x:v>0</x:v>
      </x:c>
    </x:row>
    <x:row r="215" ht="22" customHeight="1">
      <x:c r="A215" s="12"/>
      <x:c r="B215" s="10"/>
      <x:c r="C215" s="10"/>
      <x:c r="D215" s="10"/>
      <x:c r="E215" s="10"/>
      <x:c r="F215" s="10"/>
      <x:c r="G215" s="15"/>
      <x:c r="H215" s="15"/>
      <x:c r="I215" s="19" t="str">
        <x:f>IF(OR(A215="",C215&lt;&gt;"pagada",NOT(ISNUMBER(G215)),NOT(ISNUMBER(H215))),"",G215-H215)</x:f>
      </x:c>
      <x:c r="J215" s="20" t="n">
        <x:f>IF(A215="",0,IF(AND(C215="pagada",NOT(ISNUMBER(H215))),1,0))</x:f>
        <x:v>0</x:v>
      </x:c>
    </x:row>
    <x:row r="216" ht="22" customHeight="1">
      <x:c r="A216" s="12"/>
      <x:c r="B216" s="10"/>
      <x:c r="C216" s="10"/>
      <x:c r="D216" s="10"/>
      <x:c r="E216" s="10"/>
      <x:c r="F216" s="10"/>
      <x:c r="G216" s="15"/>
      <x:c r="H216" s="15"/>
      <x:c r="I216" s="19" t="str">
        <x:f>IF(OR(A216="",C216&lt;&gt;"pagada",NOT(ISNUMBER(G216)),NOT(ISNUMBER(H216))),"",G216-H216)</x:f>
      </x:c>
      <x:c r="J216" s="20" t="n">
        <x:f>IF(A216="",0,IF(AND(C216="pagada",NOT(ISNUMBER(H216))),1,0))</x:f>
        <x:v>0</x:v>
      </x:c>
    </x:row>
    <x:row r="217" ht="22" customHeight="1">
      <x:c r="A217" s="12"/>
      <x:c r="B217" s="10"/>
      <x:c r="C217" s="10"/>
      <x:c r="D217" s="10"/>
      <x:c r="E217" s="10"/>
      <x:c r="F217" s="10"/>
      <x:c r="G217" s="15"/>
      <x:c r="H217" s="15"/>
      <x:c r="I217" s="19" t="str">
        <x:f>IF(OR(A217="",C217&lt;&gt;"pagada",NOT(ISNUMBER(G217)),NOT(ISNUMBER(H217))),"",G217-H217)</x:f>
      </x:c>
      <x:c r="J217" s="20" t="n">
        <x:f>IF(A217="",0,IF(AND(C217="pagada",NOT(ISNUMBER(H217))),1,0))</x:f>
        <x:v>0</x:v>
      </x:c>
    </x:row>
    <x:row r="218" ht="22" customHeight="1">
      <x:c r="A218" s="12"/>
      <x:c r="B218" s="10"/>
      <x:c r="C218" s="10"/>
      <x:c r="D218" s="10"/>
      <x:c r="E218" s="10"/>
      <x:c r="F218" s="10"/>
      <x:c r="G218" s="15"/>
      <x:c r="H218" s="15"/>
      <x:c r="I218" s="19" t="str">
        <x:f>IF(OR(A218="",C218&lt;&gt;"pagada",NOT(ISNUMBER(G218)),NOT(ISNUMBER(H218))),"",G218-H218)</x:f>
      </x:c>
      <x:c r="J218" s="20" t="n">
        <x:f>IF(A218="",0,IF(AND(C218="pagada",NOT(ISNUMBER(H218))),1,0))</x:f>
        <x:v>0</x:v>
      </x:c>
    </x:row>
    <x:row r="219" ht="22" customHeight="1">
      <x:c r="A219" s="12"/>
      <x:c r="B219" s="10"/>
      <x:c r="C219" s="10"/>
      <x:c r="D219" s="10"/>
      <x:c r="E219" s="10"/>
      <x:c r="F219" s="10"/>
      <x:c r="G219" s="15"/>
      <x:c r="H219" s="15"/>
      <x:c r="I219" s="19" t="str">
        <x:f>IF(OR(A219="",C219&lt;&gt;"pagada",NOT(ISNUMBER(G219)),NOT(ISNUMBER(H219))),"",G219-H219)</x:f>
      </x:c>
      <x:c r="J219" s="20" t="n">
        <x:f>IF(A219="",0,IF(AND(C219="pagada",NOT(ISNUMBER(H219))),1,0))</x:f>
        <x:v>0</x:v>
      </x:c>
    </x:row>
    <x:row r="220" ht="22" customHeight="1">
      <x:c r="A220" s="12"/>
      <x:c r="B220" s="10"/>
      <x:c r="C220" s="10"/>
      <x:c r="D220" s="10"/>
      <x:c r="E220" s="10"/>
      <x:c r="F220" s="10"/>
      <x:c r="G220" s="15"/>
      <x:c r="H220" s="15"/>
      <x:c r="I220" s="19" t="str">
        <x:f>IF(OR(A220="",C220&lt;&gt;"pagada",NOT(ISNUMBER(G220)),NOT(ISNUMBER(H220))),"",G220-H220)</x:f>
      </x:c>
      <x:c r="J220" s="20" t="n">
        <x:f>IF(A220="",0,IF(AND(C220="pagada",NOT(ISNUMBER(H220))),1,0))</x:f>
        <x:v>0</x:v>
      </x:c>
    </x:row>
    <x:row r="221" ht="22" customHeight="1">
      <x:c r="A221" s="12"/>
      <x:c r="B221" s="10"/>
      <x:c r="C221" s="10"/>
      <x:c r="D221" s="10"/>
      <x:c r="E221" s="10"/>
      <x:c r="F221" s="10"/>
      <x:c r="G221" s="15"/>
      <x:c r="H221" s="15"/>
      <x:c r="I221" s="19" t="str">
        <x:f>IF(OR(A221="",C221&lt;&gt;"pagada",NOT(ISNUMBER(G221)),NOT(ISNUMBER(H221))),"",G221-H221)</x:f>
      </x:c>
      <x:c r="J221" s="20" t="n">
        <x:f>IF(A221="",0,IF(AND(C221="pagada",NOT(ISNUMBER(H221))),1,0))</x:f>
        <x:v>0</x:v>
      </x:c>
    </x:row>
    <x:row r="222" ht="22" customHeight="1">
      <x:c r="A222" s="12"/>
      <x:c r="B222" s="10"/>
      <x:c r="C222" s="10"/>
      <x:c r="D222" s="10"/>
      <x:c r="E222" s="10"/>
      <x:c r="F222" s="10"/>
      <x:c r="G222" s="15"/>
      <x:c r="H222" s="15"/>
      <x:c r="I222" s="19" t="str">
        <x:f>IF(OR(A222="",C222&lt;&gt;"pagada",NOT(ISNUMBER(G222)),NOT(ISNUMBER(H222))),"",G222-H222)</x:f>
      </x:c>
      <x:c r="J222" s="20" t="n">
        <x:f>IF(A222="",0,IF(AND(C222="pagada",NOT(ISNUMBER(H222))),1,0))</x:f>
        <x:v>0</x:v>
      </x:c>
    </x:row>
    <x:row r="223" ht="22" customHeight="1">
      <x:c r="A223" s="12"/>
      <x:c r="B223" s="10"/>
      <x:c r="C223" s="10"/>
      <x:c r="D223" s="10"/>
      <x:c r="E223" s="10"/>
      <x:c r="F223" s="10"/>
      <x:c r="G223" s="15"/>
      <x:c r="H223" s="15"/>
      <x:c r="I223" s="19" t="str">
        <x:f>IF(OR(A223="",C223&lt;&gt;"pagada",NOT(ISNUMBER(G223)),NOT(ISNUMBER(H223))),"",G223-H223)</x:f>
      </x:c>
      <x:c r="J223" s="20" t="n">
        <x:f>IF(A223="",0,IF(AND(C223="pagada",NOT(ISNUMBER(H223))),1,0))</x:f>
        <x:v>0</x:v>
      </x:c>
    </x:row>
    <x:row r="224" ht="22" customHeight="1">
      <x:c r="A224" s="12"/>
      <x:c r="B224" s="10"/>
      <x:c r="C224" s="10"/>
      <x:c r="D224" s="10"/>
      <x:c r="E224" s="10"/>
      <x:c r="F224" s="10"/>
      <x:c r="G224" s="15"/>
      <x:c r="H224" s="15"/>
      <x:c r="I224" s="19" t="str">
        <x:f>IF(OR(A224="",C224&lt;&gt;"pagada",NOT(ISNUMBER(G224)),NOT(ISNUMBER(H224))),"",G224-H224)</x:f>
      </x:c>
      <x:c r="J224" s="20" t="n">
        <x:f>IF(A224="",0,IF(AND(C224="pagada",NOT(ISNUMBER(H224))),1,0))</x:f>
        <x:v>0</x:v>
      </x:c>
    </x:row>
    <x:row r="225" ht="22" customHeight="1">
      <x:c r="A225" s="12"/>
      <x:c r="B225" s="10"/>
      <x:c r="C225" s="10"/>
      <x:c r="D225" s="10"/>
      <x:c r="E225" s="10"/>
      <x:c r="F225" s="10"/>
      <x:c r="G225" s="15"/>
      <x:c r="H225" s="15"/>
      <x:c r="I225" s="19" t="str">
        <x:f>IF(OR(A225="",C225&lt;&gt;"pagada",NOT(ISNUMBER(G225)),NOT(ISNUMBER(H225))),"",G225-H225)</x:f>
      </x:c>
      <x:c r="J225" s="20" t="n">
        <x:f>IF(A225="",0,IF(AND(C225="pagada",NOT(ISNUMBER(H225))),1,0))</x:f>
        <x:v>0</x:v>
      </x:c>
    </x:row>
    <x:row r="226" ht="22" customHeight="1">
      <x:c r="A226" s="12"/>
      <x:c r="B226" s="10"/>
      <x:c r="C226" s="10"/>
      <x:c r="D226" s="10"/>
      <x:c r="E226" s="10"/>
      <x:c r="F226" s="10"/>
      <x:c r="G226" s="15"/>
      <x:c r="H226" s="15"/>
      <x:c r="I226" s="19" t="str">
        <x:f>IF(OR(A226="",C226&lt;&gt;"pagada",NOT(ISNUMBER(G226)),NOT(ISNUMBER(H226))),"",G226-H226)</x:f>
      </x:c>
      <x:c r="J226" s="20" t="n">
        <x:f>IF(A226="",0,IF(AND(C226="pagada",NOT(ISNUMBER(H226))),1,0))</x:f>
        <x:v>0</x:v>
      </x:c>
    </x:row>
    <x:row r="227" ht="22" customHeight="1">
      <x:c r="A227" s="12"/>
      <x:c r="B227" s="10"/>
      <x:c r="C227" s="10"/>
      <x:c r="D227" s="10"/>
      <x:c r="E227" s="10"/>
      <x:c r="F227" s="10"/>
      <x:c r="G227" s="15"/>
      <x:c r="H227" s="15"/>
      <x:c r="I227" s="19" t="str">
        <x:f>IF(OR(A227="",C227&lt;&gt;"pagada",NOT(ISNUMBER(G227)),NOT(ISNUMBER(H227))),"",G227-H227)</x:f>
      </x:c>
      <x:c r="J227" s="20" t="n">
        <x:f>IF(A227="",0,IF(AND(C227="pagada",NOT(ISNUMBER(H227))),1,0))</x:f>
        <x:v>0</x:v>
      </x:c>
    </x:row>
    <x:row r="228" ht="22" customHeight="1">
      <x:c r="A228" s="12"/>
      <x:c r="B228" s="10"/>
      <x:c r="C228" s="10"/>
      <x:c r="D228" s="10"/>
      <x:c r="E228" s="10"/>
      <x:c r="F228" s="10"/>
      <x:c r="G228" s="15"/>
      <x:c r="H228" s="15"/>
      <x:c r="I228" s="19" t="str">
        <x:f>IF(OR(A228="",C228&lt;&gt;"pagada",NOT(ISNUMBER(G228)),NOT(ISNUMBER(H228))),"",G228-H228)</x:f>
      </x:c>
      <x:c r="J228" s="20" t="n">
        <x:f>IF(A228="",0,IF(AND(C228="pagada",NOT(ISNUMBER(H228))),1,0))</x:f>
        <x:v>0</x:v>
      </x:c>
    </x:row>
    <x:row r="229" ht="22" customHeight="1">
      <x:c r="A229" s="12"/>
      <x:c r="B229" s="10"/>
      <x:c r="C229" s="10"/>
      <x:c r="D229" s="10"/>
      <x:c r="E229" s="10"/>
      <x:c r="F229" s="10"/>
      <x:c r="G229" s="15"/>
      <x:c r="H229" s="15"/>
      <x:c r="I229" s="19" t="str">
        <x:f>IF(OR(A229="",C229&lt;&gt;"pagada",NOT(ISNUMBER(G229)),NOT(ISNUMBER(H229))),"",G229-H229)</x:f>
      </x:c>
      <x:c r="J229" s="20" t="n">
        <x:f>IF(A229="",0,IF(AND(C229="pagada",NOT(ISNUMBER(H229))),1,0))</x:f>
        <x:v>0</x:v>
      </x:c>
    </x:row>
    <x:row r="230" ht="22" customHeight="1">
      <x:c r="A230" s="12"/>
      <x:c r="B230" s="10"/>
      <x:c r="C230" s="10"/>
      <x:c r="D230" s="10"/>
      <x:c r="E230" s="10"/>
      <x:c r="F230" s="10"/>
      <x:c r="G230" s="15"/>
      <x:c r="H230" s="15"/>
      <x:c r="I230" s="19" t="str">
        <x:f>IF(OR(A230="",C230&lt;&gt;"pagada",NOT(ISNUMBER(G230)),NOT(ISNUMBER(H230))),"",G230-H230)</x:f>
      </x:c>
      <x:c r="J230" s="20" t="n">
        <x:f>IF(A230="",0,IF(AND(C230="pagada",NOT(ISNUMBER(H230))),1,0))</x:f>
        <x:v>0</x:v>
      </x:c>
    </x:row>
    <x:row r="231" ht="22" customHeight="1">
      <x:c r="A231" s="12"/>
      <x:c r="B231" s="10"/>
      <x:c r="C231" s="10"/>
      <x:c r="D231" s="10"/>
      <x:c r="E231" s="10"/>
      <x:c r="F231" s="10"/>
      <x:c r="G231" s="15"/>
      <x:c r="H231" s="15"/>
      <x:c r="I231" s="19" t="str">
        <x:f>IF(OR(A231="",C231&lt;&gt;"pagada",NOT(ISNUMBER(G231)),NOT(ISNUMBER(H231))),"",G231-H231)</x:f>
      </x:c>
      <x:c r="J231" s="20" t="n">
        <x:f>IF(A231="",0,IF(AND(C231="pagada",NOT(ISNUMBER(H231))),1,0))</x:f>
        <x:v>0</x:v>
      </x:c>
    </x:row>
    <x:row r="232" ht="22" customHeight="1">
      <x:c r="A232" s="12"/>
      <x:c r="B232" s="10"/>
      <x:c r="C232" s="10"/>
      <x:c r="D232" s="10"/>
      <x:c r="E232" s="10"/>
      <x:c r="F232" s="10"/>
      <x:c r="G232" s="15"/>
      <x:c r="H232" s="15"/>
      <x:c r="I232" s="19" t="str">
        <x:f>IF(OR(A232="",C232&lt;&gt;"pagada",NOT(ISNUMBER(G232)),NOT(ISNUMBER(H232))),"",G232-H232)</x:f>
      </x:c>
      <x:c r="J232" s="20" t="n">
        <x:f>IF(A232="",0,IF(AND(C232="pagada",NOT(ISNUMBER(H232))),1,0))</x:f>
        <x:v>0</x:v>
      </x:c>
    </x:row>
    <x:row r="233" ht="22" customHeight="1">
      <x:c r="A233" s="12"/>
      <x:c r="B233" s="10"/>
      <x:c r="C233" s="10"/>
      <x:c r="D233" s="10"/>
      <x:c r="E233" s="10"/>
      <x:c r="F233" s="10"/>
      <x:c r="G233" s="15"/>
      <x:c r="H233" s="15"/>
      <x:c r="I233" s="19" t="str">
        <x:f>IF(OR(A233="",C233&lt;&gt;"pagada",NOT(ISNUMBER(G233)),NOT(ISNUMBER(H233))),"",G233-H233)</x:f>
      </x:c>
      <x:c r="J233" s="20" t="n">
        <x:f>IF(A233="",0,IF(AND(C233="pagada",NOT(ISNUMBER(H233))),1,0))</x:f>
        <x:v>0</x:v>
      </x:c>
    </x:row>
    <x:row r="234" ht="22" customHeight="1">
      <x:c r="A234" s="12"/>
      <x:c r="B234" s="10"/>
      <x:c r="C234" s="10"/>
      <x:c r="D234" s="10"/>
      <x:c r="E234" s="10"/>
      <x:c r="F234" s="10"/>
      <x:c r="G234" s="15"/>
      <x:c r="H234" s="15"/>
      <x:c r="I234" s="19" t="str">
        <x:f>IF(OR(A234="",C234&lt;&gt;"pagada",NOT(ISNUMBER(G234)),NOT(ISNUMBER(H234))),"",G234-H234)</x:f>
      </x:c>
      <x:c r="J234" s="20" t="n">
        <x:f>IF(A234="",0,IF(AND(C234="pagada",NOT(ISNUMBER(H234))),1,0))</x:f>
        <x:v>0</x:v>
      </x:c>
    </x:row>
    <x:row r="235" ht="22" customHeight="1">
      <x:c r="A235" s="12"/>
      <x:c r="B235" s="10"/>
      <x:c r="C235" s="10"/>
      <x:c r="D235" s="10"/>
      <x:c r="E235" s="10"/>
      <x:c r="F235" s="10"/>
      <x:c r="G235" s="15"/>
      <x:c r="H235" s="15"/>
      <x:c r="I235" s="19" t="str">
        <x:f>IF(OR(A235="",C235&lt;&gt;"pagada",NOT(ISNUMBER(G235)),NOT(ISNUMBER(H235))),"",G235-H235)</x:f>
      </x:c>
      <x:c r="J235" s="20" t="n">
        <x:f>IF(A235="",0,IF(AND(C235="pagada",NOT(ISNUMBER(H235))),1,0))</x:f>
        <x:v>0</x:v>
      </x:c>
    </x:row>
    <x:row r="236" ht="22" customHeight="1">
      <x:c r="A236" s="12"/>
      <x:c r="B236" s="10"/>
      <x:c r="C236" s="10"/>
      <x:c r="D236" s="10"/>
      <x:c r="E236" s="10"/>
      <x:c r="F236" s="10"/>
      <x:c r="G236" s="15"/>
      <x:c r="H236" s="15"/>
      <x:c r="I236" s="19" t="str">
        <x:f>IF(OR(A236="",C236&lt;&gt;"pagada",NOT(ISNUMBER(G236)),NOT(ISNUMBER(H236))),"",G236-H236)</x:f>
      </x:c>
      <x:c r="J236" s="20" t="n">
        <x:f>IF(A236="",0,IF(AND(C236="pagada",NOT(ISNUMBER(H236))),1,0))</x:f>
        <x:v>0</x:v>
      </x:c>
    </x:row>
    <x:row r="237" ht="22" customHeight="1">
      <x:c r="A237" s="12"/>
      <x:c r="B237" s="10"/>
      <x:c r="C237" s="10"/>
      <x:c r="D237" s="10"/>
      <x:c r="E237" s="10"/>
      <x:c r="F237" s="10"/>
      <x:c r="G237" s="15"/>
      <x:c r="H237" s="15"/>
      <x:c r="I237" s="19" t="str">
        <x:f>IF(OR(A237="",C237&lt;&gt;"pagada",NOT(ISNUMBER(G237)),NOT(ISNUMBER(H237))),"",G237-H237)</x:f>
      </x:c>
      <x:c r="J237" s="20" t="n">
        <x:f>IF(A237="",0,IF(AND(C237="pagada",NOT(ISNUMBER(H237))),1,0))</x:f>
        <x:v>0</x:v>
      </x:c>
    </x:row>
    <x:row r="238" ht="22" customHeight="1">
      <x:c r="A238" s="12"/>
      <x:c r="B238" s="10"/>
      <x:c r="C238" s="10"/>
      <x:c r="D238" s="10"/>
      <x:c r="E238" s="10"/>
      <x:c r="F238" s="10"/>
      <x:c r="G238" s="15"/>
      <x:c r="H238" s="15"/>
      <x:c r="I238" s="19" t="str">
        <x:f>IF(OR(A238="",C238&lt;&gt;"pagada",NOT(ISNUMBER(G238)),NOT(ISNUMBER(H238))),"",G238-H238)</x:f>
      </x:c>
      <x:c r="J238" s="20" t="n">
        <x:f>IF(A238="",0,IF(AND(C238="pagada",NOT(ISNUMBER(H238))),1,0))</x:f>
        <x:v>0</x:v>
      </x:c>
    </x:row>
    <x:row r="239" ht="22" customHeight="1">
      <x:c r="A239" s="12"/>
      <x:c r="B239" s="10"/>
      <x:c r="C239" s="10"/>
      <x:c r="D239" s="10"/>
      <x:c r="E239" s="10"/>
      <x:c r="F239" s="10"/>
      <x:c r="G239" s="15"/>
      <x:c r="H239" s="15"/>
      <x:c r="I239" s="19" t="str">
        <x:f>IF(OR(A239="",C239&lt;&gt;"pagada",NOT(ISNUMBER(G239)),NOT(ISNUMBER(H239))),"",G239-H239)</x:f>
      </x:c>
      <x:c r="J239" s="20" t="n">
        <x:f>IF(A239="",0,IF(AND(C239="pagada",NOT(ISNUMBER(H239))),1,0))</x:f>
        <x:v>0</x:v>
      </x:c>
    </x:row>
    <x:row r="240" ht="22" customHeight="1">
      <x:c r="A240" s="12"/>
      <x:c r="B240" s="10"/>
      <x:c r="C240" s="10"/>
      <x:c r="D240" s="10"/>
      <x:c r="E240" s="10"/>
      <x:c r="F240" s="10"/>
      <x:c r="G240" s="15"/>
      <x:c r="H240" s="15"/>
      <x:c r="I240" s="19" t="str">
        <x:f>IF(OR(A240="",C240&lt;&gt;"pagada",NOT(ISNUMBER(G240)),NOT(ISNUMBER(H240))),"",G240-H240)</x:f>
      </x:c>
      <x:c r="J240" s="20" t="n">
        <x:f>IF(A240="",0,IF(AND(C240="pagada",NOT(ISNUMBER(H240))),1,0))</x:f>
        <x:v>0</x:v>
      </x:c>
    </x:row>
    <x:row r="241" ht="22" customHeight="1">
      <x:c r="A241" s="12"/>
      <x:c r="B241" s="10"/>
      <x:c r="C241" s="10"/>
      <x:c r="D241" s="10"/>
      <x:c r="E241" s="10"/>
      <x:c r="F241" s="10"/>
      <x:c r="G241" s="15"/>
      <x:c r="H241" s="15"/>
      <x:c r="I241" s="19" t="str">
        <x:f>IF(OR(A241="",C241&lt;&gt;"pagada",NOT(ISNUMBER(G241)),NOT(ISNUMBER(H241))),"",G241-H241)</x:f>
      </x:c>
      <x:c r="J241" s="20" t="n">
        <x:f>IF(A241="",0,IF(AND(C241="pagada",NOT(ISNUMBER(H241))),1,0))</x:f>
        <x:v>0</x:v>
      </x:c>
    </x:row>
    <x:row r="242" ht="22" customHeight="1">
      <x:c r="A242" s="12"/>
      <x:c r="B242" s="10"/>
      <x:c r="C242" s="10"/>
      <x:c r="D242" s="10"/>
      <x:c r="E242" s="10"/>
      <x:c r="F242" s="10"/>
      <x:c r="G242" s="15"/>
      <x:c r="H242" s="15"/>
      <x:c r="I242" s="19" t="str">
        <x:f>IF(OR(A242="",C242&lt;&gt;"pagada",NOT(ISNUMBER(G242)),NOT(ISNUMBER(H242))),"",G242-H242)</x:f>
      </x:c>
      <x:c r="J242" s="20" t="n">
        <x:f>IF(A242="",0,IF(AND(C242="pagada",NOT(ISNUMBER(H242))),1,0))</x:f>
        <x:v>0</x:v>
      </x:c>
    </x:row>
    <x:row r="243" ht="22" customHeight="1">
      <x:c r="A243" s="12"/>
      <x:c r="B243" s="10"/>
      <x:c r="C243" s="10"/>
      <x:c r="D243" s="10"/>
      <x:c r="E243" s="10"/>
      <x:c r="F243" s="10"/>
      <x:c r="G243" s="15"/>
      <x:c r="H243" s="15"/>
      <x:c r="I243" s="19" t="str">
        <x:f>IF(OR(A243="",C243&lt;&gt;"pagada",NOT(ISNUMBER(G243)),NOT(ISNUMBER(H243))),"",G243-H243)</x:f>
      </x:c>
      <x:c r="J243" s="20" t="n">
        <x:f>IF(A243="",0,IF(AND(C243="pagada",NOT(ISNUMBER(H243))),1,0))</x:f>
        <x:v>0</x:v>
      </x:c>
    </x:row>
    <x:row r="244" ht="22" customHeight="1">
      <x:c r="A244" s="12"/>
      <x:c r="B244" s="10"/>
      <x:c r="C244" s="10"/>
      <x:c r="D244" s="10"/>
      <x:c r="E244" s="10"/>
      <x:c r="F244" s="10"/>
      <x:c r="G244" s="15"/>
      <x:c r="H244" s="15"/>
      <x:c r="I244" s="19" t="str">
        <x:f>IF(OR(A244="",C244&lt;&gt;"pagada",NOT(ISNUMBER(G244)),NOT(ISNUMBER(H244))),"",G244-H244)</x:f>
      </x:c>
      <x:c r="J244" s="20" t="n">
        <x:f>IF(A244="",0,IF(AND(C244="pagada",NOT(ISNUMBER(H244))),1,0))</x:f>
        <x:v>0</x:v>
      </x:c>
    </x:row>
    <x:row r="245" ht="22" customHeight="1">
      <x:c r="A245" s="12"/>
      <x:c r="B245" s="10"/>
      <x:c r="C245" s="10"/>
      <x:c r="D245" s="10"/>
      <x:c r="E245" s="10"/>
      <x:c r="F245" s="10"/>
      <x:c r="G245" s="15"/>
      <x:c r="H245" s="15"/>
      <x:c r="I245" s="19" t="str">
        <x:f>IF(OR(A245="",C245&lt;&gt;"pagada",NOT(ISNUMBER(G245)),NOT(ISNUMBER(H245))),"",G245-H245)</x:f>
      </x:c>
      <x:c r="J245" s="20" t="n">
        <x:f>IF(A245="",0,IF(AND(C245="pagada",NOT(ISNUMBER(H245))),1,0))</x:f>
        <x:v>0</x:v>
      </x:c>
    </x:row>
    <x:row r="246" ht="22" customHeight="1">
      <x:c r="A246" s="12"/>
      <x:c r="B246" s="10"/>
      <x:c r="C246" s="10"/>
      <x:c r="D246" s="10"/>
      <x:c r="E246" s="10"/>
      <x:c r="F246" s="10"/>
      <x:c r="G246" s="15"/>
      <x:c r="H246" s="15"/>
      <x:c r="I246" s="19" t="str">
        <x:f>IF(OR(A246="",C246&lt;&gt;"pagada",NOT(ISNUMBER(G246)),NOT(ISNUMBER(H246))),"",G246-H246)</x:f>
      </x:c>
      <x:c r="J246" s="20" t="n">
        <x:f>IF(A246="",0,IF(AND(C246="pagada",NOT(ISNUMBER(H246))),1,0))</x:f>
        <x:v>0</x:v>
      </x:c>
    </x:row>
    <x:row r="247" ht="22" customHeight="1">
      <x:c r="A247" s="12"/>
      <x:c r="B247" s="10"/>
      <x:c r="C247" s="10"/>
      <x:c r="D247" s="10"/>
      <x:c r="E247" s="10"/>
      <x:c r="F247" s="10"/>
      <x:c r="G247" s="15"/>
      <x:c r="H247" s="15"/>
      <x:c r="I247" s="19" t="str">
        <x:f>IF(OR(A247="",C247&lt;&gt;"pagada",NOT(ISNUMBER(G247)),NOT(ISNUMBER(H247))),"",G247-H247)</x:f>
      </x:c>
      <x:c r="J247" s="20" t="n">
        <x:f>IF(A247="",0,IF(AND(C247="pagada",NOT(ISNUMBER(H247))),1,0))</x:f>
        <x:v>0</x:v>
      </x:c>
    </x:row>
    <x:row r="248" ht="22" customHeight="1">
      <x:c r="A248" s="12"/>
      <x:c r="B248" s="10"/>
      <x:c r="C248" s="10"/>
      <x:c r="D248" s="10"/>
      <x:c r="E248" s="10"/>
      <x:c r="F248" s="10"/>
      <x:c r="G248" s="15"/>
      <x:c r="H248" s="15"/>
      <x:c r="I248" s="19" t="str">
        <x:f>IF(OR(A248="",C248&lt;&gt;"pagada",NOT(ISNUMBER(G248)),NOT(ISNUMBER(H248))),"",G248-H248)</x:f>
      </x:c>
      <x:c r="J248" s="20" t="n">
        <x:f>IF(A248="",0,IF(AND(C248="pagada",NOT(ISNUMBER(H248))),1,0))</x:f>
        <x:v>0</x:v>
      </x:c>
    </x:row>
    <x:row r="249" ht="22" customHeight="1">
      <x:c r="A249" s="12"/>
      <x:c r="B249" s="10"/>
      <x:c r="C249" s="10"/>
      <x:c r="D249" s="10"/>
      <x:c r="E249" s="10"/>
      <x:c r="F249" s="10"/>
      <x:c r="G249" s="15"/>
      <x:c r="H249" s="15"/>
      <x:c r="I249" s="19" t="str">
        <x:f>IF(OR(A249="",C249&lt;&gt;"pagada",NOT(ISNUMBER(G249)),NOT(ISNUMBER(H249))),"",G249-H249)</x:f>
      </x:c>
      <x:c r="J249" s="20" t="n">
        <x:f>IF(A249="",0,IF(AND(C249="pagada",NOT(ISNUMBER(H249))),1,0))</x:f>
        <x:v>0</x:v>
      </x:c>
    </x:row>
    <x:row r="250" ht="22" customHeight="1">
      <x:c r="A250" s="12"/>
      <x:c r="B250" s="10"/>
      <x:c r="C250" s="10"/>
      <x:c r="D250" s="10"/>
      <x:c r="E250" s="10"/>
      <x:c r="F250" s="10"/>
      <x:c r="G250" s="15"/>
      <x:c r="H250" s="15"/>
      <x:c r="I250" s="19" t="str">
        <x:f>IF(OR(A250="",C250&lt;&gt;"pagada",NOT(ISNUMBER(G250)),NOT(ISNUMBER(H250))),"",G250-H250)</x:f>
      </x:c>
      <x:c r="J250" s="20" t="n">
        <x:f>IF(A250="",0,IF(AND(C250="pagada",NOT(ISNUMBER(H250))),1,0))</x:f>
        <x:v>0</x:v>
      </x:c>
    </x:row>
    <x:row r="251" ht="22" customHeight="1">
      <x:c r="A251" s="12"/>
      <x:c r="B251" s="10"/>
      <x:c r="C251" s="10"/>
      <x:c r="D251" s="10"/>
      <x:c r="E251" s="10"/>
      <x:c r="F251" s="10"/>
      <x:c r="G251" s="15"/>
      <x:c r="H251" s="15"/>
      <x:c r="I251" s="19" t="str">
        <x:f>IF(OR(A251="",C251&lt;&gt;"pagada",NOT(ISNUMBER(G251)),NOT(ISNUMBER(H251))),"",G251-H251)</x:f>
      </x:c>
      <x:c r="J251" s="20" t="n">
        <x:f>IF(A251="",0,IF(AND(C251="pagada",NOT(ISNUMBER(H251))),1,0))</x:f>
        <x:v>0</x:v>
      </x:c>
    </x:row>
    <x:row r="252" ht="22" customHeight="1">
      <x:c r="A252" s="12"/>
      <x:c r="B252" s="10"/>
      <x:c r="C252" s="10"/>
      <x:c r="D252" s="10"/>
      <x:c r="E252" s="10"/>
      <x:c r="F252" s="10"/>
      <x:c r="G252" s="15"/>
      <x:c r="H252" s="15"/>
      <x:c r="I252" s="19" t="str">
        <x:f>IF(OR(A252="",C252&lt;&gt;"pagada",NOT(ISNUMBER(G252)),NOT(ISNUMBER(H252))),"",G252-H252)</x:f>
      </x:c>
      <x:c r="J252" s="20" t="n">
        <x:f>IF(A252="",0,IF(AND(C252="pagada",NOT(ISNUMBER(H252))),1,0))</x:f>
        <x:v>0</x:v>
      </x:c>
    </x:row>
    <x:row r="253" ht="22" customHeight="1">
      <x:c r="A253" s="12"/>
      <x:c r="B253" s="10"/>
      <x:c r="C253" s="10"/>
      <x:c r="D253" s="10"/>
      <x:c r="E253" s="10"/>
      <x:c r="F253" s="10"/>
      <x:c r="G253" s="15"/>
      <x:c r="H253" s="15"/>
      <x:c r="I253" s="19" t="str">
        <x:f>IF(OR(A253="",C253&lt;&gt;"pagada",NOT(ISNUMBER(G253)),NOT(ISNUMBER(H253))),"",G253-H253)</x:f>
      </x:c>
      <x:c r="J253" s="20" t="n">
        <x:f>IF(A253="",0,IF(AND(C253="pagada",NOT(ISNUMBER(H253))),1,0))</x:f>
        <x:v>0</x:v>
      </x:c>
    </x:row>
    <x:row r="254" ht="22" customHeight="1">
      <x:c r="A254" s="12"/>
      <x:c r="B254" s="10"/>
      <x:c r="C254" s="10"/>
      <x:c r="D254" s="10"/>
      <x:c r="E254" s="10"/>
      <x:c r="F254" s="10"/>
      <x:c r="G254" s="15"/>
      <x:c r="H254" s="15"/>
      <x:c r="I254" s="19" t="str">
        <x:f>IF(OR(A254="",C254&lt;&gt;"pagada",NOT(ISNUMBER(G254)),NOT(ISNUMBER(H254))),"",G254-H254)</x:f>
      </x:c>
      <x:c r="J254" s="20" t="n">
        <x:f>IF(A254="",0,IF(AND(C254="pagada",NOT(ISNUMBER(H254))),1,0))</x:f>
        <x:v>0</x:v>
      </x:c>
    </x:row>
    <x:row r="255" ht="22" customHeight="1">
      <x:c r="A255" s="12"/>
      <x:c r="B255" s="10"/>
      <x:c r="C255" s="10"/>
      <x:c r="D255" s="10"/>
      <x:c r="E255" s="10"/>
      <x:c r="F255" s="10"/>
      <x:c r="G255" s="15"/>
      <x:c r="H255" s="15"/>
      <x:c r="I255" s="19" t="str">
        <x:f>IF(OR(A255="",C255&lt;&gt;"pagada",NOT(ISNUMBER(G255)),NOT(ISNUMBER(H255))),"",G255-H255)</x:f>
      </x:c>
      <x:c r="J255" s="20" t="n">
        <x:f>IF(A255="",0,IF(AND(C255="pagada",NOT(ISNUMBER(H255))),1,0))</x:f>
        <x:v>0</x:v>
      </x:c>
    </x:row>
    <x:row r="256" ht="22" customHeight="1">
      <x:c r="A256" s="12"/>
      <x:c r="B256" s="10"/>
      <x:c r="C256" s="10"/>
      <x:c r="D256" s="10"/>
      <x:c r="E256" s="10"/>
      <x:c r="F256" s="10"/>
      <x:c r="G256" s="15"/>
      <x:c r="H256" s="15"/>
      <x:c r="I256" s="19" t="str">
        <x:f>IF(OR(A256="",C256&lt;&gt;"pagada",NOT(ISNUMBER(G256)),NOT(ISNUMBER(H256))),"",G256-H256)</x:f>
      </x:c>
      <x:c r="J256" s="20" t="n">
        <x:f>IF(A256="",0,IF(AND(C256="pagada",NOT(ISNUMBER(H256))),1,0))</x:f>
        <x:v>0</x:v>
      </x:c>
    </x:row>
    <x:row r="257" ht="22" customHeight="1">
      <x:c r="A257" s="12"/>
      <x:c r="B257" s="10"/>
      <x:c r="C257" s="10"/>
      <x:c r="D257" s="10"/>
      <x:c r="E257" s="10"/>
      <x:c r="F257" s="10"/>
      <x:c r="G257" s="15"/>
      <x:c r="H257" s="15"/>
      <x:c r="I257" s="19" t="str">
        <x:f>IF(OR(A257="",C257&lt;&gt;"pagada",NOT(ISNUMBER(G257)),NOT(ISNUMBER(H257))),"",G257-H257)</x:f>
      </x:c>
      <x:c r="J257" s="20" t="n">
        <x:f>IF(A257="",0,IF(AND(C257="pagada",NOT(ISNUMBER(H257))),1,0))</x:f>
        <x:v>0</x:v>
      </x:c>
    </x:row>
    <x:row r="258" ht="22" customHeight="1">
      <x:c r="A258" s="12"/>
      <x:c r="B258" s="10"/>
      <x:c r="C258" s="10"/>
      <x:c r="D258" s="10"/>
      <x:c r="E258" s="10"/>
      <x:c r="F258" s="10"/>
      <x:c r="G258" s="15"/>
      <x:c r="H258" s="15"/>
      <x:c r="I258" s="19" t="str">
        <x:f>IF(OR(A258="",C258&lt;&gt;"pagada",NOT(ISNUMBER(G258)),NOT(ISNUMBER(H258))),"",G258-H258)</x:f>
      </x:c>
      <x:c r="J258" s="20" t="n">
        <x:f>IF(A258="",0,IF(AND(C258="pagada",NOT(ISNUMBER(H258))),1,0))</x:f>
        <x:v>0</x:v>
      </x:c>
    </x:row>
    <x:row r="259" ht="22" customHeight="1">
      <x:c r="A259" s="12"/>
      <x:c r="B259" s="10"/>
      <x:c r="C259" s="10"/>
      <x:c r="D259" s="10"/>
      <x:c r="E259" s="10"/>
      <x:c r="F259" s="10"/>
      <x:c r="G259" s="15"/>
      <x:c r="H259" s="15"/>
      <x:c r="I259" s="19" t="str">
        <x:f>IF(OR(A259="",C259&lt;&gt;"pagada",NOT(ISNUMBER(G259)),NOT(ISNUMBER(H259))),"",G259-H259)</x:f>
      </x:c>
      <x:c r="J259" s="20" t="n">
        <x:f>IF(A259="",0,IF(AND(C259="pagada",NOT(ISNUMBER(H259))),1,0))</x:f>
        <x:v>0</x:v>
      </x:c>
    </x:row>
    <x:row r="260" ht="22" customHeight="1">
      <x:c r="A260" s="12"/>
      <x:c r="B260" s="10"/>
      <x:c r="C260" s="10"/>
      <x:c r="D260" s="10"/>
      <x:c r="E260" s="10"/>
      <x:c r="F260" s="10"/>
      <x:c r="G260" s="15"/>
      <x:c r="H260" s="15"/>
      <x:c r="I260" s="19" t="str">
        <x:f>IF(OR(A260="",C260&lt;&gt;"pagada",NOT(ISNUMBER(G260)),NOT(ISNUMBER(H260))),"",G260-H260)</x:f>
      </x:c>
      <x:c r="J260" s="20" t="n">
        <x:f>IF(A260="",0,IF(AND(C260="pagada",NOT(ISNUMBER(H260))),1,0))</x:f>
        <x:v>0</x:v>
      </x:c>
    </x:row>
    <x:row r="261" ht="22" customHeight="1">
      <x:c r="A261" s="12"/>
      <x:c r="B261" s="10"/>
      <x:c r="C261" s="10"/>
      <x:c r="D261" s="10"/>
      <x:c r="E261" s="10"/>
      <x:c r="F261" s="10"/>
      <x:c r="G261" s="15"/>
      <x:c r="H261" s="15"/>
      <x:c r="I261" s="19" t="str">
        <x:f>IF(OR(A261="",C261&lt;&gt;"pagada",NOT(ISNUMBER(G261)),NOT(ISNUMBER(H261))),"",G261-H261)</x:f>
      </x:c>
      <x:c r="J261" s="20" t="n">
        <x:f>IF(A261="",0,IF(AND(C261="pagada",NOT(ISNUMBER(H261))),1,0))</x:f>
        <x:v>0</x:v>
      </x:c>
    </x:row>
    <x:row r="262" ht="22" customHeight="1">
      <x:c r="A262" s="12"/>
      <x:c r="B262" s="10"/>
      <x:c r="C262" s="10"/>
      <x:c r="D262" s="10"/>
      <x:c r="E262" s="10"/>
      <x:c r="F262" s="10"/>
      <x:c r="G262" s="15"/>
      <x:c r="H262" s="15"/>
      <x:c r="I262" s="19" t="str">
        <x:f>IF(OR(A262="",C262&lt;&gt;"pagada",NOT(ISNUMBER(G262)),NOT(ISNUMBER(H262))),"",G262-H262)</x:f>
      </x:c>
      <x:c r="J262" s="20" t="n">
        <x:f>IF(A262="",0,IF(AND(C262="pagada",NOT(ISNUMBER(H262))),1,0))</x:f>
        <x:v>0</x:v>
      </x:c>
    </x:row>
    <x:row r="263" ht="22" customHeight="1">
      <x:c r="A263" s="12"/>
      <x:c r="B263" s="10"/>
      <x:c r="C263" s="10"/>
      <x:c r="D263" s="10"/>
      <x:c r="E263" s="10"/>
      <x:c r="F263" s="10"/>
      <x:c r="G263" s="15"/>
      <x:c r="H263" s="15"/>
      <x:c r="I263" s="19" t="str">
        <x:f>IF(OR(A263="",C263&lt;&gt;"pagada",NOT(ISNUMBER(G263)),NOT(ISNUMBER(H263))),"",G263-H263)</x:f>
      </x:c>
      <x:c r="J263" s="20" t="n">
        <x:f>IF(A263="",0,IF(AND(C263="pagada",NOT(ISNUMBER(H263))),1,0))</x:f>
        <x:v>0</x:v>
      </x:c>
    </x:row>
    <x:row r="264" ht="22" customHeight="1">
      <x:c r="A264" s="12"/>
      <x:c r="B264" s="10"/>
      <x:c r="C264" s="10"/>
      <x:c r="D264" s="10"/>
      <x:c r="E264" s="10"/>
      <x:c r="F264" s="10"/>
      <x:c r="G264" s="15"/>
      <x:c r="H264" s="15"/>
      <x:c r="I264" s="19" t="str">
        <x:f>IF(OR(A264="",C264&lt;&gt;"pagada",NOT(ISNUMBER(G264)),NOT(ISNUMBER(H264))),"",G264-H264)</x:f>
      </x:c>
      <x:c r="J264" s="20" t="n">
        <x:f>IF(A264="",0,IF(AND(C264="pagada",NOT(ISNUMBER(H264))),1,0))</x:f>
        <x:v>0</x:v>
      </x:c>
    </x:row>
    <x:row r="265" ht="22" customHeight="1">
      <x:c r="A265" s="12"/>
      <x:c r="B265" s="10"/>
      <x:c r="C265" s="10"/>
      <x:c r="D265" s="10"/>
      <x:c r="E265" s="10"/>
      <x:c r="F265" s="10"/>
      <x:c r="G265" s="15"/>
      <x:c r="H265" s="15"/>
      <x:c r="I265" s="19" t="str">
        <x:f>IF(OR(A265="",C265&lt;&gt;"pagada",NOT(ISNUMBER(G265)),NOT(ISNUMBER(H265))),"",G265-H265)</x:f>
      </x:c>
      <x:c r="J265" s="20" t="n">
        <x:f>IF(A265="",0,IF(AND(C265="pagada",NOT(ISNUMBER(H265))),1,0))</x:f>
        <x:v>0</x:v>
      </x:c>
    </x:row>
    <x:row r="266" ht="22" customHeight="1">
      <x:c r="A266" s="12"/>
      <x:c r="B266" s="10"/>
      <x:c r="C266" s="10"/>
      <x:c r="D266" s="10"/>
      <x:c r="E266" s="10"/>
      <x:c r="F266" s="10"/>
      <x:c r="G266" s="15"/>
      <x:c r="H266" s="15"/>
      <x:c r="I266" s="19" t="str">
        <x:f>IF(OR(A266="",C266&lt;&gt;"pagada",NOT(ISNUMBER(G266)),NOT(ISNUMBER(H266))),"",G266-H266)</x:f>
      </x:c>
      <x:c r="J266" s="20" t="n">
        <x:f>IF(A266="",0,IF(AND(C266="pagada",NOT(ISNUMBER(H266))),1,0))</x:f>
        <x:v>0</x:v>
      </x:c>
    </x:row>
    <x:row r="267" ht="22" customHeight="1">
      <x:c r="A267" s="12"/>
      <x:c r="B267" s="10"/>
      <x:c r="C267" s="10"/>
      <x:c r="D267" s="10"/>
      <x:c r="E267" s="10"/>
      <x:c r="F267" s="10"/>
      <x:c r="G267" s="15"/>
      <x:c r="H267" s="15"/>
      <x:c r="I267" s="19" t="str">
        <x:f>IF(OR(A267="",C267&lt;&gt;"pagada",NOT(ISNUMBER(G267)),NOT(ISNUMBER(H267))),"",G267-H267)</x:f>
      </x:c>
      <x:c r="J267" s="20" t="n">
        <x:f>IF(A267="",0,IF(AND(C267="pagada",NOT(ISNUMBER(H267))),1,0))</x:f>
        <x:v>0</x:v>
      </x:c>
    </x:row>
    <x:row r="268" ht="22" customHeight="1">
      <x:c r="A268" s="12"/>
      <x:c r="B268" s="10"/>
      <x:c r="C268" s="10"/>
      <x:c r="D268" s="10"/>
      <x:c r="E268" s="10"/>
      <x:c r="F268" s="10"/>
      <x:c r="G268" s="15"/>
      <x:c r="H268" s="15"/>
      <x:c r="I268" s="19" t="str">
        <x:f>IF(OR(A268="",C268&lt;&gt;"pagada",NOT(ISNUMBER(G268)),NOT(ISNUMBER(H268))),"",G268-H268)</x:f>
      </x:c>
      <x:c r="J268" s="20" t="n">
        <x:f>IF(A268="",0,IF(AND(C268="pagada",NOT(ISNUMBER(H268))),1,0))</x:f>
        <x:v>0</x:v>
      </x:c>
    </x:row>
    <x:row r="269" ht="22" customHeight="1">
      <x:c r="A269" s="12"/>
      <x:c r="B269" s="10"/>
      <x:c r="C269" s="10"/>
      <x:c r="D269" s="10"/>
      <x:c r="E269" s="10"/>
      <x:c r="F269" s="10"/>
      <x:c r="G269" s="15"/>
      <x:c r="H269" s="15"/>
      <x:c r="I269" s="19" t="str">
        <x:f>IF(OR(A269="",C269&lt;&gt;"pagada",NOT(ISNUMBER(G269)),NOT(ISNUMBER(H269))),"",G269-H269)</x:f>
      </x:c>
      <x:c r="J269" s="20" t="n">
        <x:f>IF(A269="",0,IF(AND(C269="pagada",NOT(ISNUMBER(H269))),1,0))</x:f>
        <x:v>0</x:v>
      </x:c>
    </x:row>
    <x:row r="270" ht="22" customHeight="1">
      <x:c r="A270" s="12"/>
      <x:c r="B270" s="10"/>
      <x:c r="C270" s="10"/>
      <x:c r="D270" s="10"/>
      <x:c r="E270" s="10"/>
      <x:c r="F270" s="10"/>
      <x:c r="G270" s="15"/>
      <x:c r="H270" s="15"/>
      <x:c r="I270" s="19" t="str">
        <x:f>IF(OR(A270="",C270&lt;&gt;"pagada",NOT(ISNUMBER(G270)),NOT(ISNUMBER(H270))),"",G270-H270)</x:f>
      </x:c>
      <x:c r="J270" s="20" t="n">
        <x:f>IF(A270="",0,IF(AND(C270="pagada",NOT(ISNUMBER(H270))),1,0))</x:f>
        <x:v>0</x:v>
      </x:c>
    </x:row>
    <x:row r="271" ht="22" customHeight="1">
      <x:c r="A271" s="12"/>
      <x:c r="B271" s="10"/>
      <x:c r="C271" s="10"/>
      <x:c r="D271" s="10"/>
      <x:c r="E271" s="10"/>
      <x:c r="F271" s="10"/>
      <x:c r="G271" s="15"/>
      <x:c r="H271" s="15"/>
      <x:c r="I271" s="19" t="str">
        <x:f>IF(OR(A271="",C271&lt;&gt;"pagada",NOT(ISNUMBER(G271)),NOT(ISNUMBER(H271))),"",G271-H271)</x:f>
      </x:c>
      <x:c r="J271" s="20" t="n">
        <x:f>IF(A271="",0,IF(AND(C271="pagada",NOT(ISNUMBER(H271))),1,0))</x:f>
        <x:v>0</x:v>
      </x:c>
    </x:row>
    <x:row r="272" ht="22" customHeight="1">
      <x:c r="A272" s="12"/>
      <x:c r="B272" s="10"/>
      <x:c r="C272" s="10"/>
      <x:c r="D272" s="10"/>
      <x:c r="E272" s="10"/>
      <x:c r="F272" s="10"/>
      <x:c r="G272" s="15"/>
      <x:c r="H272" s="15"/>
      <x:c r="I272" s="19" t="str">
        <x:f>IF(OR(A272="",C272&lt;&gt;"pagada",NOT(ISNUMBER(G272)),NOT(ISNUMBER(H272))),"",G272-H272)</x:f>
      </x:c>
      <x:c r="J272" s="20" t="n">
        <x:f>IF(A272="",0,IF(AND(C272="pagada",NOT(ISNUMBER(H272))),1,0))</x:f>
        <x:v>0</x:v>
      </x:c>
    </x:row>
    <x:row r="273" ht="22" customHeight="1">
      <x:c r="A273" s="12"/>
      <x:c r="B273" s="10"/>
      <x:c r="C273" s="10"/>
      <x:c r="D273" s="10"/>
      <x:c r="E273" s="10"/>
      <x:c r="F273" s="10"/>
      <x:c r="G273" s="15"/>
      <x:c r="H273" s="15"/>
      <x:c r="I273" s="19" t="str">
        <x:f>IF(OR(A273="",C273&lt;&gt;"pagada",NOT(ISNUMBER(G273)),NOT(ISNUMBER(H273))),"",G273-H273)</x:f>
      </x:c>
      <x:c r="J273" s="20" t="n">
        <x:f>IF(A273="",0,IF(AND(C273="pagada",NOT(ISNUMBER(H273))),1,0))</x:f>
        <x:v>0</x:v>
      </x:c>
    </x:row>
    <x:row r="274" ht="22" customHeight="1">
      <x:c r="A274" s="12"/>
      <x:c r="B274" s="10"/>
      <x:c r="C274" s="10"/>
      <x:c r="D274" s="10"/>
      <x:c r="E274" s="10"/>
      <x:c r="F274" s="10"/>
      <x:c r="G274" s="15"/>
      <x:c r="H274" s="15"/>
      <x:c r="I274" s="19" t="str">
        <x:f>IF(OR(A274="",C274&lt;&gt;"pagada",NOT(ISNUMBER(G274)),NOT(ISNUMBER(H274))),"",G274-H274)</x:f>
      </x:c>
      <x:c r="J274" s="20" t="n">
        <x:f>IF(A274="",0,IF(AND(C274="pagada",NOT(ISNUMBER(H274))),1,0))</x:f>
        <x:v>0</x:v>
      </x:c>
    </x:row>
    <x:row r="275" ht="22" customHeight="1">
      <x:c r="A275" s="12"/>
      <x:c r="B275" s="10"/>
      <x:c r="C275" s="10"/>
      <x:c r="D275" s="10"/>
      <x:c r="E275" s="10"/>
      <x:c r="F275" s="10"/>
      <x:c r="G275" s="15"/>
      <x:c r="H275" s="15"/>
      <x:c r="I275" s="19" t="str">
        <x:f>IF(OR(A275="",C275&lt;&gt;"pagada",NOT(ISNUMBER(G275)),NOT(ISNUMBER(H275))),"",G275-H275)</x:f>
      </x:c>
      <x:c r="J275" s="20" t="n">
        <x:f>IF(A275="",0,IF(AND(C275="pagada",NOT(ISNUMBER(H275))),1,0))</x:f>
        <x:v>0</x:v>
      </x:c>
    </x:row>
    <x:row r="276" ht="22" customHeight="1">
      <x:c r="A276" s="12"/>
      <x:c r="B276" s="10"/>
      <x:c r="C276" s="10"/>
      <x:c r="D276" s="10"/>
      <x:c r="E276" s="10"/>
      <x:c r="F276" s="10"/>
      <x:c r="G276" s="15"/>
      <x:c r="H276" s="15"/>
      <x:c r="I276" s="19" t="str">
        <x:f>IF(OR(A276="",C276&lt;&gt;"pagada",NOT(ISNUMBER(G276)),NOT(ISNUMBER(H276))),"",G276-H276)</x:f>
      </x:c>
      <x:c r="J276" s="20" t="n">
        <x:f>IF(A276="",0,IF(AND(C276="pagada",NOT(ISNUMBER(H276))),1,0))</x:f>
        <x:v>0</x:v>
      </x:c>
    </x:row>
    <x:row r="277" ht="22" customHeight="1">
      <x:c r="A277" s="12"/>
      <x:c r="B277" s="10"/>
      <x:c r="C277" s="10"/>
      <x:c r="D277" s="10"/>
      <x:c r="E277" s="10"/>
      <x:c r="F277" s="10"/>
      <x:c r="G277" s="15"/>
      <x:c r="H277" s="15"/>
      <x:c r="I277" s="19" t="str">
        <x:f>IF(OR(A277="",C277&lt;&gt;"pagada",NOT(ISNUMBER(G277)),NOT(ISNUMBER(H277))),"",G277-H277)</x:f>
      </x:c>
      <x:c r="J277" s="20" t="n">
        <x:f>IF(A277="",0,IF(AND(C277="pagada",NOT(ISNUMBER(H277))),1,0))</x:f>
        <x:v>0</x:v>
      </x:c>
    </x:row>
    <x:row r="278" ht="22" customHeight="1">
      <x:c r="A278" s="12"/>
      <x:c r="B278" s="10"/>
      <x:c r="C278" s="10"/>
      <x:c r="D278" s="10"/>
      <x:c r="E278" s="10"/>
      <x:c r="F278" s="10"/>
      <x:c r="G278" s="15"/>
      <x:c r="H278" s="15"/>
      <x:c r="I278" s="19" t="str">
        <x:f>IF(OR(A278="",C278&lt;&gt;"pagada",NOT(ISNUMBER(G278)),NOT(ISNUMBER(H278))),"",G278-H278)</x:f>
      </x:c>
      <x:c r="J278" s="20" t="n">
        <x:f>IF(A278="",0,IF(AND(C278="pagada",NOT(ISNUMBER(H278))),1,0))</x:f>
        <x:v>0</x:v>
      </x:c>
    </x:row>
    <x:row r="279" ht="22" customHeight="1">
      <x:c r="A279" s="12"/>
      <x:c r="B279" s="10"/>
      <x:c r="C279" s="10"/>
      <x:c r="D279" s="10"/>
      <x:c r="E279" s="10"/>
      <x:c r="F279" s="10"/>
      <x:c r="G279" s="15"/>
      <x:c r="H279" s="15"/>
      <x:c r="I279" s="19" t="str">
        <x:f>IF(OR(A279="",C279&lt;&gt;"pagada",NOT(ISNUMBER(G279)),NOT(ISNUMBER(H279))),"",G279-H279)</x:f>
      </x:c>
      <x:c r="J279" s="20" t="n">
        <x:f>IF(A279="",0,IF(AND(C279="pagada",NOT(ISNUMBER(H279))),1,0))</x:f>
        <x:v>0</x:v>
      </x:c>
    </x:row>
    <x:row r="280" ht="22" customHeight="1">
      <x:c r="A280" s="12"/>
      <x:c r="B280" s="10"/>
      <x:c r="C280" s="10"/>
      <x:c r="D280" s="10"/>
      <x:c r="E280" s="10"/>
      <x:c r="F280" s="10"/>
      <x:c r="G280" s="15"/>
      <x:c r="H280" s="15"/>
      <x:c r="I280" s="19" t="str">
        <x:f>IF(OR(A280="",C280&lt;&gt;"pagada",NOT(ISNUMBER(G280)),NOT(ISNUMBER(H280))),"",G280-H280)</x:f>
      </x:c>
      <x:c r="J280" s="20" t="n">
        <x:f>IF(A280="",0,IF(AND(C280="pagada",NOT(ISNUMBER(H280))),1,0))</x:f>
        <x:v>0</x:v>
      </x:c>
    </x:row>
    <x:row r="281" ht="22" customHeight="1">
      <x:c r="A281" s="12"/>
      <x:c r="B281" s="10"/>
      <x:c r="C281" s="10"/>
      <x:c r="D281" s="10"/>
      <x:c r="E281" s="10"/>
      <x:c r="F281" s="10"/>
      <x:c r="G281" s="15"/>
      <x:c r="H281" s="15"/>
      <x:c r="I281" s="19" t="str">
        <x:f>IF(OR(A281="",C281&lt;&gt;"pagada",NOT(ISNUMBER(G281)),NOT(ISNUMBER(H281))),"",G281-H281)</x:f>
      </x:c>
      <x:c r="J281" s="20" t="n">
        <x:f>IF(A281="",0,IF(AND(C281="pagada",NOT(ISNUMBER(H281))),1,0))</x:f>
        <x:v>0</x:v>
      </x:c>
    </x:row>
    <x:row r="282" ht="22" customHeight="1">
      <x:c r="A282" s="12"/>
      <x:c r="B282" s="10"/>
      <x:c r="C282" s="10"/>
      <x:c r="D282" s="10"/>
      <x:c r="E282" s="10"/>
      <x:c r="F282" s="10"/>
      <x:c r="G282" s="15"/>
      <x:c r="H282" s="15"/>
      <x:c r="I282" s="19" t="str">
        <x:f>IF(OR(A282="",C282&lt;&gt;"pagada",NOT(ISNUMBER(G282)),NOT(ISNUMBER(H282))),"",G282-H282)</x:f>
      </x:c>
      <x:c r="J282" s="20" t="n">
        <x:f>IF(A282="",0,IF(AND(C282="pagada",NOT(ISNUMBER(H282))),1,0))</x:f>
        <x:v>0</x:v>
      </x:c>
    </x:row>
    <x:row r="283" ht="22" customHeight="1">
      <x:c r="A283" s="12"/>
      <x:c r="B283" s="10"/>
      <x:c r="C283" s="10"/>
      <x:c r="D283" s="10"/>
      <x:c r="E283" s="10"/>
      <x:c r="F283" s="10"/>
      <x:c r="G283" s="15"/>
      <x:c r="H283" s="15"/>
      <x:c r="I283" s="19" t="str">
        <x:f>IF(OR(A283="",C283&lt;&gt;"pagada",NOT(ISNUMBER(G283)),NOT(ISNUMBER(H283))),"",G283-H283)</x:f>
      </x:c>
      <x:c r="J283" s="20" t="n">
        <x:f>IF(A283="",0,IF(AND(C283="pagada",NOT(ISNUMBER(H283))),1,0))</x:f>
        <x:v>0</x:v>
      </x:c>
    </x:row>
    <x:row r="284" ht="22" customHeight="1">
      <x:c r="A284" s="12"/>
      <x:c r="B284" s="10"/>
      <x:c r="C284" s="10"/>
      <x:c r="D284" s="10"/>
      <x:c r="E284" s="10"/>
      <x:c r="F284" s="10"/>
      <x:c r="G284" s="15"/>
      <x:c r="H284" s="15"/>
      <x:c r="I284" s="19" t="str">
        <x:f>IF(OR(A284="",C284&lt;&gt;"pagada",NOT(ISNUMBER(G284)),NOT(ISNUMBER(H284))),"",G284-H284)</x:f>
      </x:c>
      <x:c r="J284" s="20" t="n">
        <x:f>IF(A284="",0,IF(AND(C284="pagada",NOT(ISNUMBER(H284))),1,0))</x:f>
        <x:v>0</x:v>
      </x:c>
    </x:row>
    <x:row r="285" ht="22" customHeight="1">
      <x:c r="A285" s="12"/>
      <x:c r="B285" s="10"/>
      <x:c r="C285" s="10"/>
      <x:c r="D285" s="10"/>
      <x:c r="E285" s="10"/>
      <x:c r="F285" s="10"/>
      <x:c r="G285" s="15"/>
      <x:c r="H285" s="15"/>
      <x:c r="I285" s="19" t="str">
        <x:f>IF(OR(A285="",C285&lt;&gt;"pagada",NOT(ISNUMBER(G285)),NOT(ISNUMBER(H285))),"",G285-H285)</x:f>
      </x:c>
      <x:c r="J285" s="20" t="n">
        <x:f>IF(A285="",0,IF(AND(C285="pagada",NOT(ISNUMBER(H285))),1,0))</x:f>
        <x:v>0</x:v>
      </x:c>
    </x:row>
    <x:row r="286" ht="22" customHeight="1">
      <x:c r="A286" s="12"/>
      <x:c r="B286" s="10"/>
      <x:c r="C286" s="10"/>
      <x:c r="D286" s="10"/>
      <x:c r="E286" s="10"/>
      <x:c r="F286" s="10"/>
      <x:c r="G286" s="15"/>
      <x:c r="H286" s="15"/>
      <x:c r="I286" s="19" t="str">
        <x:f>IF(OR(A286="",C286&lt;&gt;"pagada",NOT(ISNUMBER(G286)),NOT(ISNUMBER(H286))),"",G286-H286)</x:f>
      </x:c>
      <x:c r="J286" s="20" t="n">
        <x:f>IF(A286="",0,IF(AND(C286="pagada",NOT(ISNUMBER(H286))),1,0))</x:f>
        <x:v>0</x:v>
      </x:c>
    </x:row>
    <x:row r="287" ht="22" customHeight="1">
      <x:c r="A287" s="12"/>
      <x:c r="B287" s="10"/>
      <x:c r="C287" s="10"/>
      <x:c r="D287" s="10"/>
      <x:c r="E287" s="10"/>
      <x:c r="F287" s="10"/>
      <x:c r="G287" s="15"/>
      <x:c r="H287" s="15"/>
      <x:c r="I287" s="19" t="str">
        <x:f>IF(OR(A287="",C287&lt;&gt;"pagada",NOT(ISNUMBER(G287)),NOT(ISNUMBER(H287))),"",G287-H287)</x:f>
      </x:c>
      <x:c r="J287" s="20" t="n">
        <x:f>IF(A287="",0,IF(AND(C287="pagada",NOT(ISNUMBER(H287))),1,0))</x:f>
        <x:v>0</x:v>
      </x:c>
    </x:row>
    <x:row r="288" ht="22" customHeight="1">
      <x:c r="A288" s="12"/>
      <x:c r="B288" s="10"/>
      <x:c r="C288" s="10"/>
      <x:c r="D288" s="10"/>
      <x:c r="E288" s="10"/>
      <x:c r="F288" s="10"/>
      <x:c r="G288" s="15"/>
      <x:c r="H288" s="15"/>
      <x:c r="I288" s="19" t="str">
        <x:f>IF(OR(A288="",C288&lt;&gt;"pagada",NOT(ISNUMBER(G288)),NOT(ISNUMBER(H288))),"",G288-H288)</x:f>
      </x:c>
      <x:c r="J288" s="20" t="n">
        <x:f>IF(A288="",0,IF(AND(C288="pagada",NOT(ISNUMBER(H288))),1,0))</x:f>
        <x:v>0</x:v>
      </x:c>
    </x:row>
    <x:row r="289" ht="22" customHeight="1">
      <x:c r="A289" s="12"/>
      <x:c r="B289" s="10"/>
      <x:c r="C289" s="10"/>
      <x:c r="D289" s="10"/>
      <x:c r="E289" s="10"/>
      <x:c r="F289" s="10"/>
      <x:c r="G289" s="15"/>
      <x:c r="H289" s="15"/>
      <x:c r="I289" s="19" t="str">
        <x:f>IF(OR(A289="",C289&lt;&gt;"pagada",NOT(ISNUMBER(G289)),NOT(ISNUMBER(H289))),"",G289-H289)</x:f>
      </x:c>
      <x:c r="J289" s="20" t="n">
        <x:f>IF(A289="",0,IF(AND(C289="pagada",NOT(ISNUMBER(H289))),1,0))</x:f>
        <x:v>0</x:v>
      </x:c>
    </x:row>
    <x:row r="290" ht="22" customHeight="1">
      <x:c r="A290" s="12"/>
      <x:c r="B290" s="10"/>
      <x:c r="C290" s="10"/>
      <x:c r="D290" s="10"/>
      <x:c r="E290" s="10"/>
      <x:c r="F290" s="10"/>
      <x:c r="G290" s="15"/>
      <x:c r="H290" s="15"/>
      <x:c r="I290" s="19" t="str">
        <x:f>IF(OR(A290="",C290&lt;&gt;"pagada",NOT(ISNUMBER(G290)),NOT(ISNUMBER(H290))),"",G290-H290)</x:f>
      </x:c>
      <x:c r="J290" s="20" t="n">
        <x:f>IF(A290="",0,IF(AND(C290="pagada",NOT(ISNUMBER(H290))),1,0))</x:f>
        <x:v>0</x:v>
      </x:c>
    </x:row>
    <x:row r="291" ht="22" customHeight="1">
      <x:c r="A291" s="12"/>
      <x:c r="B291" s="10"/>
      <x:c r="C291" s="10"/>
      <x:c r="D291" s="10"/>
      <x:c r="E291" s="10"/>
      <x:c r="F291" s="10"/>
      <x:c r="G291" s="15"/>
      <x:c r="H291" s="15"/>
      <x:c r="I291" s="19" t="str">
        <x:f>IF(OR(A291="",C291&lt;&gt;"pagada",NOT(ISNUMBER(G291)),NOT(ISNUMBER(H291))),"",G291-H291)</x:f>
      </x:c>
      <x:c r="J291" s="20" t="n">
        <x:f>IF(A291="",0,IF(AND(C291="pagada",NOT(ISNUMBER(H291))),1,0))</x:f>
        <x:v>0</x:v>
      </x:c>
    </x:row>
    <x:row r="292" ht="22" customHeight="1">
      <x:c r="A292" s="12"/>
      <x:c r="B292" s="10"/>
      <x:c r="C292" s="10"/>
      <x:c r="D292" s="10"/>
      <x:c r="E292" s="10"/>
      <x:c r="F292" s="10"/>
      <x:c r="G292" s="15"/>
      <x:c r="H292" s="15"/>
      <x:c r="I292" s="19" t="str">
        <x:f>IF(OR(A292="",C292&lt;&gt;"pagada",NOT(ISNUMBER(G292)),NOT(ISNUMBER(H292))),"",G292-H292)</x:f>
      </x:c>
      <x:c r="J292" s="20" t="n">
        <x:f>IF(A292="",0,IF(AND(C292="pagada",NOT(ISNUMBER(H292))),1,0))</x:f>
        <x:v>0</x:v>
      </x:c>
    </x:row>
    <x:row r="293" ht="22" customHeight="1">
      <x:c r="A293" s="12"/>
      <x:c r="B293" s="10"/>
      <x:c r="C293" s="10"/>
      <x:c r="D293" s="10"/>
      <x:c r="E293" s="10"/>
      <x:c r="F293" s="10"/>
      <x:c r="G293" s="15"/>
      <x:c r="H293" s="15"/>
      <x:c r="I293" s="19" t="str">
        <x:f>IF(OR(A293="",C293&lt;&gt;"pagada",NOT(ISNUMBER(G293)),NOT(ISNUMBER(H293))),"",G293-H293)</x:f>
      </x:c>
      <x:c r="J293" s="20" t="n">
        <x:f>IF(A293="",0,IF(AND(C293="pagada",NOT(ISNUMBER(H293))),1,0))</x:f>
        <x:v>0</x:v>
      </x:c>
    </x:row>
    <x:row r="294" ht="22" customHeight="1">
      <x:c r="A294" s="12"/>
      <x:c r="B294" s="10"/>
      <x:c r="C294" s="10"/>
      <x:c r="D294" s="10"/>
      <x:c r="E294" s="10"/>
      <x:c r="F294" s="10"/>
      <x:c r="G294" s="15"/>
      <x:c r="H294" s="15"/>
      <x:c r="I294" s="19" t="str">
        <x:f>IF(OR(A294="",C294&lt;&gt;"pagada",NOT(ISNUMBER(G294)),NOT(ISNUMBER(H294))),"",G294-H294)</x:f>
      </x:c>
      <x:c r="J294" s="20" t="n">
        <x:f>IF(A294="",0,IF(AND(C294="pagada",NOT(ISNUMBER(H294))),1,0))</x:f>
        <x:v>0</x:v>
      </x:c>
    </x:row>
    <x:row r="295" ht="22" customHeight="1">
      <x:c r="A295" s="12"/>
      <x:c r="B295" s="10"/>
      <x:c r="C295" s="10"/>
      <x:c r="D295" s="10"/>
      <x:c r="E295" s="10"/>
      <x:c r="F295" s="10"/>
      <x:c r="G295" s="15"/>
      <x:c r="H295" s="15"/>
      <x:c r="I295" s="19" t="str">
        <x:f>IF(OR(A295="",C295&lt;&gt;"pagada",NOT(ISNUMBER(G295)),NOT(ISNUMBER(H295))),"",G295-H295)</x:f>
      </x:c>
      <x:c r="J295" s="20" t="n">
        <x:f>IF(A295="",0,IF(AND(C295="pagada",NOT(ISNUMBER(H295))),1,0))</x:f>
        <x:v>0</x:v>
      </x:c>
    </x:row>
    <x:row r="296" ht="22" customHeight="1">
      <x:c r="A296" s="12"/>
      <x:c r="B296" s="10"/>
      <x:c r="C296" s="10"/>
      <x:c r="D296" s="10"/>
      <x:c r="E296" s="10"/>
      <x:c r="F296" s="10"/>
      <x:c r="G296" s="15"/>
      <x:c r="H296" s="15"/>
      <x:c r="I296" s="19" t="str">
        <x:f>IF(OR(A296="",C296&lt;&gt;"pagada",NOT(ISNUMBER(G296)),NOT(ISNUMBER(H296))),"",G296-H296)</x:f>
      </x:c>
      <x:c r="J296" s="20" t="n">
        <x:f>IF(A296="",0,IF(AND(C296="pagada",NOT(ISNUMBER(H296))),1,0))</x:f>
        <x:v>0</x:v>
      </x:c>
    </x:row>
    <x:row r="297" ht="22" customHeight="1">
      <x:c r="A297" s="12"/>
      <x:c r="B297" s="10"/>
      <x:c r="C297" s="10"/>
      <x:c r="D297" s="10"/>
      <x:c r="E297" s="10"/>
      <x:c r="F297" s="10"/>
      <x:c r="G297" s="15"/>
      <x:c r="H297" s="15"/>
      <x:c r="I297" s="19" t="str">
        <x:f>IF(OR(A297="",C297&lt;&gt;"pagada",NOT(ISNUMBER(G297)),NOT(ISNUMBER(H297))),"",G297-H297)</x:f>
      </x:c>
      <x:c r="J297" s="20" t="n">
        <x:f>IF(A297="",0,IF(AND(C297="pagada",NOT(ISNUMBER(H297))),1,0))</x:f>
        <x:v>0</x:v>
      </x:c>
    </x:row>
    <x:row r="298" ht="22" customHeight="1">
      <x:c r="A298" s="12"/>
      <x:c r="B298" s="10"/>
      <x:c r="C298" s="10"/>
      <x:c r="D298" s="10"/>
      <x:c r="E298" s="10"/>
      <x:c r="F298" s="10"/>
      <x:c r="G298" s="15"/>
      <x:c r="H298" s="15"/>
      <x:c r="I298" s="19" t="str">
        <x:f>IF(OR(A298="",C298&lt;&gt;"pagada",NOT(ISNUMBER(G298)),NOT(ISNUMBER(H298))),"",G298-H298)</x:f>
      </x:c>
      <x:c r="J298" s="20" t="n">
        <x:f>IF(A298="",0,IF(AND(C298="pagada",NOT(ISNUMBER(H298))),1,0))</x:f>
        <x:v>0</x:v>
      </x:c>
    </x:row>
    <x:row r="299" ht="22" customHeight="1">
      <x:c r="A299" s="12"/>
      <x:c r="B299" s="10"/>
      <x:c r="C299" s="10"/>
      <x:c r="D299" s="10"/>
      <x:c r="E299" s="10"/>
      <x:c r="F299" s="10"/>
      <x:c r="G299" s="15"/>
      <x:c r="H299" s="15"/>
      <x:c r="I299" s="19" t="str">
        <x:f>IF(OR(A299="",C299&lt;&gt;"pagada",NOT(ISNUMBER(G299)),NOT(ISNUMBER(H299))),"",G299-H299)</x:f>
      </x:c>
      <x:c r="J299" s="20" t="n">
        <x:f>IF(A299="",0,IF(AND(C299="pagada",NOT(ISNUMBER(H299))),1,0))</x:f>
        <x:v>0</x:v>
      </x:c>
    </x:row>
    <x:row r="300" ht="22" customHeight="1">
      <x:c r="A300" s="12"/>
      <x:c r="B300" s="10"/>
      <x:c r="C300" s="10"/>
      <x:c r="D300" s="10"/>
      <x:c r="E300" s="10"/>
      <x:c r="F300" s="10"/>
      <x:c r="G300" s="15"/>
      <x:c r="H300" s="15"/>
      <x:c r="I300" s="19" t="str">
        <x:f>IF(OR(A300="",C300&lt;&gt;"pagada",NOT(ISNUMBER(G300)),NOT(ISNUMBER(H300))),"",G300-H300)</x:f>
      </x:c>
      <x:c r="J300" s="20" t="n">
        <x:f>IF(A300="",0,IF(AND(C300="pagada",NOT(ISNUMBER(H300))),1,0))</x:f>
        <x:v>0</x:v>
      </x:c>
    </x:row>
    <x:row r="301" ht="22" customHeight="1">
      <x:c r="A301" s="12"/>
      <x:c r="B301" s="10"/>
      <x:c r="C301" s="10"/>
      <x:c r="D301" s="10"/>
      <x:c r="E301" s="10"/>
      <x:c r="F301" s="10"/>
      <x:c r="G301" s="15"/>
      <x:c r="H301" s="15"/>
      <x:c r="I301" s="19" t="str">
        <x:f>IF(OR(A301="",C301&lt;&gt;"pagada",NOT(ISNUMBER(G301)),NOT(ISNUMBER(H301))),"",G301-H301)</x:f>
      </x:c>
      <x:c r="J301" s="20" t="n">
        <x:f>IF(A301="",0,IF(AND(C301="pagada",NOT(ISNUMBER(H301))),1,0))</x:f>
        <x:v>0</x:v>
      </x:c>
    </x:row>
    <x:row r="302" ht="22" customHeight="1">
      <x:c r="A302" s="12"/>
      <x:c r="B302" s="10"/>
      <x:c r="C302" s="10"/>
      <x:c r="D302" s="10"/>
      <x:c r="E302" s="10"/>
      <x:c r="F302" s="10"/>
      <x:c r="G302" s="15"/>
      <x:c r="H302" s="15"/>
      <x:c r="I302" s="19" t="str">
        <x:f>IF(OR(A302="",C302&lt;&gt;"pagada",NOT(ISNUMBER(G302)),NOT(ISNUMBER(H302))),"",G302-H302)</x:f>
      </x:c>
      <x:c r="J302" s="20" t="n">
        <x:f>IF(A302="",0,IF(AND(C302="pagada",NOT(ISNUMBER(H302))),1,0))</x:f>
        <x:v>0</x:v>
      </x:c>
    </x:row>
    <x:row r="303" ht="22" customHeight="1">
      <x:c r="A303" s="12"/>
      <x:c r="B303" s="10"/>
      <x:c r="C303" s="10"/>
      <x:c r="D303" s="10"/>
      <x:c r="E303" s="10"/>
      <x:c r="F303" s="10"/>
      <x:c r="G303" s="15"/>
      <x:c r="H303" s="15"/>
      <x:c r="I303" s="19" t="str">
        <x:f>IF(OR(A303="",C303&lt;&gt;"pagada",NOT(ISNUMBER(G303)),NOT(ISNUMBER(H303))),"",G303-H303)</x:f>
      </x:c>
      <x:c r="J303" s="20" t="n">
        <x:f>IF(A303="",0,IF(AND(C303="pagada",NOT(ISNUMBER(H303))),1,0))</x:f>
        <x:v>0</x:v>
      </x:c>
    </x:row>
    <x:row r="304" ht="22" customHeight="1">
      <x:c r="A304" s="12"/>
      <x:c r="B304" s="10"/>
      <x:c r="C304" s="10"/>
      <x:c r="D304" s="10"/>
      <x:c r="E304" s="10"/>
      <x:c r="F304" s="10"/>
      <x:c r="G304" s="15"/>
      <x:c r="H304" s="15"/>
      <x:c r="I304" s="19" t="str">
        <x:f>IF(OR(A304="",C304&lt;&gt;"pagada",NOT(ISNUMBER(G304)),NOT(ISNUMBER(H304))),"",G304-H304)</x:f>
      </x:c>
      <x:c r="J304" s="20" t="n">
        <x:f>IF(A304="",0,IF(AND(C304="pagada",NOT(ISNUMBER(H304))),1,0))</x:f>
        <x:v>0</x:v>
      </x:c>
    </x:row>
    <x:row r="305" ht="22" customHeight="1">
      <x:c r="A305" s="12"/>
      <x:c r="B305" s="10"/>
      <x:c r="C305" s="10"/>
      <x:c r="D305" s="10"/>
      <x:c r="E305" s="10"/>
      <x:c r="F305" s="10"/>
      <x:c r="G305" s="15"/>
      <x:c r="H305" s="15"/>
      <x:c r="I305" s="19" t="str">
        <x:f>IF(OR(A305="",C305&lt;&gt;"pagada",NOT(ISNUMBER(G305)),NOT(ISNUMBER(H305))),"",G305-H305)</x:f>
      </x:c>
      <x:c r="J305" s="20" t="n">
        <x:f>IF(A305="",0,IF(AND(C305="pagada",NOT(ISNUMBER(H305))),1,0))</x:f>
        <x:v>0</x:v>
      </x:c>
    </x:row>
    <x:row r="306" ht="22" customHeight="1">
      <x:c r="A306" s="12"/>
      <x:c r="B306" s="10"/>
      <x:c r="C306" s="10"/>
      <x:c r="D306" s="10"/>
      <x:c r="E306" s="10"/>
      <x:c r="F306" s="10"/>
      <x:c r="G306" s="15"/>
      <x:c r="H306" s="15"/>
      <x:c r="I306" s="19" t="str">
        <x:f>IF(OR(A306="",C306&lt;&gt;"pagada",NOT(ISNUMBER(G306)),NOT(ISNUMBER(H306))),"",G306-H306)</x:f>
      </x:c>
      <x:c r="J306" s="20" t="n">
        <x:f>IF(A306="",0,IF(AND(C306="pagada",NOT(ISNUMBER(H306))),1,0))</x:f>
        <x:v>0</x:v>
      </x:c>
    </x:row>
    <x:row r="307" ht="22" customHeight="1">
      <x:c r="A307" s="12"/>
      <x:c r="B307" s="10"/>
      <x:c r="C307" s="10"/>
      <x:c r="D307" s="10"/>
      <x:c r="E307" s="10"/>
      <x:c r="F307" s="10"/>
      <x:c r="G307" s="15"/>
      <x:c r="H307" s="15"/>
      <x:c r="I307" s="19" t="str">
        <x:f>IF(OR(A307="",C307&lt;&gt;"pagada",NOT(ISNUMBER(G307)),NOT(ISNUMBER(H307))),"",G307-H307)</x:f>
      </x:c>
      <x:c r="J307" s="20" t="n">
        <x:f>IF(A307="",0,IF(AND(C307="pagada",NOT(ISNUMBER(H307))),1,0))</x:f>
        <x:v>0</x:v>
      </x:c>
    </x:row>
    <x:row r="308" ht="22" customHeight="1">
      <x:c r="A308" s="12"/>
      <x:c r="B308" s="10"/>
      <x:c r="C308" s="10"/>
      <x:c r="D308" s="10"/>
      <x:c r="E308" s="10"/>
      <x:c r="F308" s="10"/>
      <x:c r="G308" s="15"/>
      <x:c r="H308" s="15"/>
      <x:c r="I308" s="19" t="str">
        <x:f>IF(OR(A308="",C308&lt;&gt;"pagada",NOT(ISNUMBER(G308)),NOT(ISNUMBER(H308))),"",G308-H308)</x:f>
      </x:c>
      <x:c r="J308" s="20" t="n">
        <x:f>IF(A308="",0,IF(AND(C308="pagada",NOT(ISNUMBER(H308))),1,0))</x:f>
        <x:v>0</x:v>
      </x:c>
    </x:row>
    <x:row r="309" ht="22" customHeight="1">
      <x:c r="A309" s="12"/>
      <x:c r="B309" s="10"/>
      <x:c r="C309" s="10"/>
      <x:c r="D309" s="10"/>
      <x:c r="E309" s="10"/>
      <x:c r="F309" s="10"/>
      <x:c r="G309" s="15"/>
      <x:c r="H309" s="15"/>
      <x:c r="I309" s="19" t="str">
        <x:f>IF(OR(A309="",C309&lt;&gt;"pagada",NOT(ISNUMBER(G309)),NOT(ISNUMBER(H309))),"",G309-H309)</x:f>
      </x:c>
      <x:c r="J309" s="20" t="n">
        <x:f>IF(A309="",0,IF(AND(C309="pagada",NOT(ISNUMBER(H309))),1,0))</x:f>
        <x:v>0</x:v>
      </x:c>
    </x:row>
    <x:row r="310" ht="22" customHeight="1">
      <x:c r="A310" s="12"/>
      <x:c r="B310" s="10"/>
      <x:c r="C310" s="10"/>
      <x:c r="D310" s="10"/>
      <x:c r="E310" s="10"/>
      <x:c r="F310" s="10"/>
      <x:c r="G310" s="15"/>
      <x:c r="H310" s="15"/>
      <x:c r="I310" s="19" t="str">
        <x:f>IF(OR(A310="",C310&lt;&gt;"pagada",NOT(ISNUMBER(G310)),NOT(ISNUMBER(H310))),"",G310-H310)</x:f>
      </x:c>
      <x:c r="J310" s="20" t="n">
        <x:f>IF(A310="",0,IF(AND(C310="pagada",NOT(ISNUMBER(H310))),1,0))</x:f>
        <x:v>0</x:v>
      </x:c>
    </x:row>
    <x:row r="311" ht="22" customHeight="1">
      <x:c r="A311" s="12"/>
      <x:c r="B311" s="10"/>
      <x:c r="C311" s="10"/>
      <x:c r="D311" s="10"/>
      <x:c r="E311" s="10"/>
      <x:c r="F311" s="10"/>
      <x:c r="G311" s="15"/>
      <x:c r="H311" s="15"/>
      <x:c r="I311" s="19" t="str">
        <x:f>IF(OR(A311="",C311&lt;&gt;"pagada",NOT(ISNUMBER(G311)),NOT(ISNUMBER(H311))),"",G311-H311)</x:f>
      </x:c>
      <x:c r="J311" s="20" t="n">
        <x:f>IF(A311="",0,IF(AND(C311="pagada",NOT(ISNUMBER(H311))),1,0))</x:f>
        <x:v>0</x:v>
      </x:c>
    </x:row>
    <x:row r="312" ht="22" customHeight="1">
      <x:c r="A312" s="12"/>
      <x:c r="B312" s="10"/>
      <x:c r="C312" s="10"/>
      <x:c r="D312" s="10"/>
      <x:c r="E312" s="10"/>
      <x:c r="F312" s="10"/>
      <x:c r="G312" s="15"/>
      <x:c r="H312" s="15"/>
      <x:c r="I312" s="19" t="str">
        <x:f>IF(OR(A312="",C312&lt;&gt;"pagada",NOT(ISNUMBER(G312)),NOT(ISNUMBER(H312))),"",G312-H312)</x:f>
      </x:c>
      <x:c r="J312" s="20" t="n">
        <x:f>IF(A312="",0,IF(AND(C312="pagada",NOT(ISNUMBER(H312))),1,0))</x:f>
        <x:v>0</x:v>
      </x:c>
    </x:row>
    <x:row r="313" ht="22" customHeight="1">
      <x:c r="A313" s="12"/>
      <x:c r="B313" s="10"/>
      <x:c r="C313" s="10"/>
      <x:c r="D313" s="10"/>
      <x:c r="E313" s="10"/>
      <x:c r="F313" s="10"/>
      <x:c r="G313" s="15"/>
      <x:c r="H313" s="15"/>
      <x:c r="I313" s="19" t="str">
        <x:f>IF(OR(A313="",C313&lt;&gt;"pagada",NOT(ISNUMBER(G313)),NOT(ISNUMBER(H313))),"",G313-H313)</x:f>
      </x:c>
      <x:c r="J313" s="20" t="n">
        <x:f>IF(A313="",0,IF(AND(C313="pagada",NOT(ISNUMBER(H313))),1,0))</x:f>
        <x:v>0</x:v>
      </x:c>
    </x:row>
    <x:row r="314" ht="22" customHeight="1">
      <x:c r="A314" s="12"/>
      <x:c r="B314" s="10"/>
      <x:c r="C314" s="10"/>
      <x:c r="D314" s="10"/>
      <x:c r="E314" s="10"/>
      <x:c r="F314" s="10"/>
      <x:c r="G314" s="15"/>
      <x:c r="H314" s="15"/>
      <x:c r="I314" s="19" t="str">
        <x:f>IF(OR(A314="",C314&lt;&gt;"pagada",NOT(ISNUMBER(G314)),NOT(ISNUMBER(H314))),"",G314-H314)</x:f>
      </x:c>
      <x:c r="J314" s="20" t="n">
        <x:f>IF(A314="",0,IF(AND(C314="pagada",NOT(ISNUMBER(H314))),1,0))</x:f>
        <x:v>0</x:v>
      </x:c>
    </x:row>
    <x:row r="315" ht="22" customHeight="1">
      <x:c r="A315" s="12"/>
      <x:c r="B315" s="10"/>
      <x:c r="C315" s="10"/>
      <x:c r="D315" s="10"/>
      <x:c r="E315" s="10"/>
      <x:c r="F315" s="10"/>
      <x:c r="G315" s="15"/>
      <x:c r="H315" s="15"/>
      <x:c r="I315" s="19" t="str">
        <x:f>IF(OR(A315="",C315&lt;&gt;"pagada",NOT(ISNUMBER(G315)),NOT(ISNUMBER(H315))),"",G315-H315)</x:f>
      </x:c>
      <x:c r="J315" s="20" t="n">
        <x:f>IF(A315="",0,IF(AND(C315="pagada",NOT(ISNUMBER(H315))),1,0))</x:f>
        <x:v>0</x:v>
      </x:c>
    </x:row>
    <x:row r="316" ht="22" customHeight="1">
      <x:c r="A316" s="12"/>
      <x:c r="B316" s="10"/>
      <x:c r="C316" s="10"/>
      <x:c r="D316" s="10"/>
      <x:c r="E316" s="10"/>
      <x:c r="F316" s="10"/>
      <x:c r="G316" s="15"/>
      <x:c r="H316" s="15"/>
      <x:c r="I316" s="19" t="str">
        <x:f>IF(OR(A316="",C316&lt;&gt;"pagada",NOT(ISNUMBER(G316)),NOT(ISNUMBER(H316))),"",G316-H316)</x:f>
      </x:c>
      <x:c r="J316" s="20" t="n">
        <x:f>IF(A316="",0,IF(AND(C316="pagada",NOT(ISNUMBER(H316))),1,0))</x:f>
        <x:v>0</x:v>
      </x:c>
    </x:row>
    <x:row r="317" ht="22" customHeight="1">
      <x:c r="A317" s="12"/>
      <x:c r="B317" s="10"/>
      <x:c r="C317" s="10"/>
      <x:c r="D317" s="10"/>
      <x:c r="E317" s="10"/>
      <x:c r="F317" s="10"/>
      <x:c r="G317" s="15"/>
      <x:c r="H317" s="15"/>
      <x:c r="I317" s="19" t="str">
        <x:f>IF(OR(A317="",C317&lt;&gt;"pagada",NOT(ISNUMBER(G317)),NOT(ISNUMBER(H317))),"",G317-H317)</x:f>
      </x:c>
      <x:c r="J317" s="20" t="n">
        <x:f>IF(A317="",0,IF(AND(C317="pagada",NOT(ISNUMBER(H317))),1,0))</x:f>
        <x:v>0</x:v>
      </x:c>
    </x:row>
    <x:row r="318" ht="22" customHeight="1">
      <x:c r="A318" s="12"/>
      <x:c r="B318" s="10"/>
      <x:c r="C318" s="10"/>
      <x:c r="D318" s="10"/>
      <x:c r="E318" s="10"/>
      <x:c r="F318" s="10"/>
      <x:c r="G318" s="15"/>
      <x:c r="H318" s="15"/>
      <x:c r="I318" s="19" t="str">
        <x:f>IF(OR(A318="",C318&lt;&gt;"pagada",NOT(ISNUMBER(G318)),NOT(ISNUMBER(H318))),"",G318-H318)</x:f>
      </x:c>
      <x:c r="J318" s="20" t="n">
        <x:f>IF(A318="",0,IF(AND(C318="pagada",NOT(ISNUMBER(H318))),1,0))</x:f>
        <x:v>0</x:v>
      </x:c>
    </x:row>
    <x:row r="319" ht="22" customHeight="1">
      <x:c r="A319" s="12"/>
      <x:c r="B319" s="10"/>
      <x:c r="C319" s="10"/>
      <x:c r="D319" s="10"/>
      <x:c r="E319" s="10"/>
      <x:c r="F319" s="10"/>
      <x:c r="G319" s="15"/>
      <x:c r="H319" s="15"/>
      <x:c r="I319" s="19" t="str">
        <x:f>IF(OR(A319="",C319&lt;&gt;"pagada",NOT(ISNUMBER(G319)),NOT(ISNUMBER(H319))),"",G319-H319)</x:f>
      </x:c>
      <x:c r="J319" s="20" t="n">
        <x:f>IF(A319="",0,IF(AND(C319="pagada",NOT(ISNUMBER(H319))),1,0))</x:f>
        <x:v>0</x:v>
      </x:c>
    </x:row>
    <x:row r="320" ht="22" customHeight="1">
      <x:c r="A320" s="12"/>
      <x:c r="B320" s="10"/>
      <x:c r="C320" s="10"/>
      <x:c r="D320" s="10"/>
      <x:c r="E320" s="10"/>
      <x:c r="F320" s="10"/>
      <x:c r="G320" s="15"/>
      <x:c r="H320" s="15"/>
      <x:c r="I320" s="19" t="str">
        <x:f>IF(OR(A320="",C320&lt;&gt;"pagada",NOT(ISNUMBER(G320)),NOT(ISNUMBER(H320))),"",G320-H320)</x:f>
      </x:c>
      <x:c r="J320" s="20" t="n">
        <x:f>IF(A320="",0,IF(AND(C320="pagada",NOT(ISNUMBER(H320))),1,0))</x:f>
        <x:v>0</x:v>
      </x:c>
    </x:row>
    <x:row r="321" ht="22" customHeight="1">
      <x:c r="A321" s="12"/>
      <x:c r="B321" s="10"/>
      <x:c r="C321" s="10"/>
      <x:c r="D321" s="10"/>
      <x:c r="E321" s="10"/>
      <x:c r="F321" s="10"/>
      <x:c r="G321" s="15"/>
      <x:c r="H321" s="15"/>
      <x:c r="I321" s="19" t="str">
        <x:f>IF(OR(A321="",C321&lt;&gt;"pagada",NOT(ISNUMBER(G321)),NOT(ISNUMBER(H321))),"",G321-H321)</x:f>
      </x:c>
      <x:c r="J321" s="20" t="n">
        <x:f>IF(A321="",0,IF(AND(C321="pagada",NOT(ISNUMBER(H321))),1,0))</x:f>
        <x:v>0</x:v>
      </x:c>
    </x:row>
    <x:row r="322" ht="22" customHeight="1">
      <x:c r="A322" s="12"/>
      <x:c r="B322" s="10"/>
      <x:c r="C322" s="10"/>
      <x:c r="D322" s="10"/>
      <x:c r="E322" s="10"/>
      <x:c r="F322" s="10"/>
      <x:c r="G322" s="15"/>
      <x:c r="H322" s="15"/>
      <x:c r="I322" s="19" t="str">
        <x:f>IF(OR(A322="",C322&lt;&gt;"pagada",NOT(ISNUMBER(G322)),NOT(ISNUMBER(H322))),"",G322-H322)</x:f>
      </x:c>
      <x:c r="J322" s="20" t="n">
        <x:f>IF(A322="",0,IF(AND(C322="pagada",NOT(ISNUMBER(H322))),1,0))</x:f>
        <x:v>0</x:v>
      </x:c>
    </x:row>
    <x:row r="323" ht="22" customHeight="1">
      <x:c r="A323" s="12"/>
      <x:c r="B323" s="10"/>
      <x:c r="C323" s="10"/>
      <x:c r="D323" s="10"/>
      <x:c r="E323" s="10"/>
      <x:c r="F323" s="10"/>
      <x:c r="G323" s="15"/>
      <x:c r="H323" s="15"/>
      <x:c r="I323" s="19" t="str">
        <x:f>IF(OR(A323="",C323&lt;&gt;"pagada",NOT(ISNUMBER(G323)),NOT(ISNUMBER(H323))),"",G323-H323)</x:f>
      </x:c>
      <x:c r="J323" s="20" t="n">
        <x:f>IF(A323="",0,IF(AND(C323="pagada",NOT(ISNUMBER(H323))),1,0))</x:f>
        <x:v>0</x:v>
      </x:c>
    </x:row>
    <x:row r="324" ht="22" customHeight="1">
      <x:c r="A324" s="12"/>
      <x:c r="B324" s="10"/>
      <x:c r="C324" s="10"/>
      <x:c r="D324" s="10"/>
      <x:c r="E324" s="10"/>
      <x:c r="F324" s="10"/>
      <x:c r="G324" s="15"/>
      <x:c r="H324" s="15"/>
      <x:c r="I324" s="19" t="str">
        <x:f>IF(OR(A324="",C324&lt;&gt;"pagada",NOT(ISNUMBER(G324)),NOT(ISNUMBER(H324))),"",G324-H324)</x:f>
      </x:c>
      <x:c r="J324" s="20" t="n">
        <x:f>IF(A324="",0,IF(AND(C324="pagada",NOT(ISNUMBER(H324))),1,0))</x:f>
        <x:v>0</x:v>
      </x:c>
    </x:row>
    <x:row r="325" ht="22" customHeight="1">
      <x:c r="A325" s="12"/>
      <x:c r="B325" s="10"/>
      <x:c r="C325" s="10"/>
      <x:c r="D325" s="10"/>
      <x:c r="E325" s="10"/>
      <x:c r="F325" s="10"/>
      <x:c r="G325" s="15"/>
      <x:c r="H325" s="15"/>
      <x:c r="I325" s="19" t="str">
        <x:f>IF(OR(A325="",C325&lt;&gt;"pagada",NOT(ISNUMBER(G325)),NOT(ISNUMBER(H325))),"",G325-H325)</x:f>
      </x:c>
      <x:c r="J325" s="20" t="n">
        <x:f>IF(A325="",0,IF(AND(C325="pagada",NOT(ISNUMBER(H325))),1,0))</x:f>
        <x:v>0</x:v>
      </x:c>
    </x:row>
    <x:row r="326" ht="22" customHeight="1">
      <x:c r="A326" s="12"/>
      <x:c r="B326" s="10"/>
      <x:c r="C326" s="10"/>
      <x:c r="D326" s="10"/>
      <x:c r="E326" s="10"/>
      <x:c r="F326" s="10"/>
      <x:c r="G326" s="15"/>
      <x:c r="H326" s="15"/>
      <x:c r="I326" s="19" t="str">
        <x:f>IF(OR(A326="",C326&lt;&gt;"pagada",NOT(ISNUMBER(G326)),NOT(ISNUMBER(H326))),"",G326-H326)</x:f>
      </x:c>
      <x:c r="J326" s="20" t="n">
        <x:f>IF(A326="",0,IF(AND(C326="pagada",NOT(ISNUMBER(H326))),1,0))</x:f>
        <x:v>0</x:v>
      </x:c>
    </x:row>
    <x:row r="327" ht="22" customHeight="1">
      <x:c r="A327" s="12"/>
      <x:c r="B327" s="10"/>
      <x:c r="C327" s="10"/>
      <x:c r="D327" s="10"/>
      <x:c r="E327" s="10"/>
      <x:c r="F327" s="10"/>
      <x:c r="G327" s="15"/>
      <x:c r="H327" s="15"/>
      <x:c r="I327" s="19" t="str">
        <x:f>IF(OR(A327="",C327&lt;&gt;"pagada",NOT(ISNUMBER(G327)),NOT(ISNUMBER(H327))),"",G327-H327)</x:f>
      </x:c>
      <x:c r="J327" s="20" t="n">
        <x:f>IF(A327="",0,IF(AND(C327="pagada",NOT(ISNUMBER(H327))),1,0))</x:f>
        <x:v>0</x:v>
      </x:c>
    </x:row>
    <x:row r="328" ht="22" customHeight="1">
      <x:c r="A328" s="12"/>
      <x:c r="B328" s="10"/>
      <x:c r="C328" s="10"/>
      <x:c r="D328" s="10"/>
      <x:c r="E328" s="10"/>
      <x:c r="F328" s="10"/>
      <x:c r="G328" s="15"/>
      <x:c r="H328" s="15"/>
      <x:c r="I328" s="19" t="str">
        <x:f>IF(OR(A328="",C328&lt;&gt;"pagada",NOT(ISNUMBER(G328)),NOT(ISNUMBER(H328))),"",G328-H328)</x:f>
      </x:c>
      <x:c r="J328" s="20" t="n">
        <x:f>IF(A328="",0,IF(AND(C328="pagada",NOT(ISNUMBER(H328))),1,0))</x:f>
        <x:v>0</x:v>
      </x:c>
    </x:row>
    <x:row r="329" ht="22" customHeight="1">
      <x:c r="A329" s="12"/>
      <x:c r="B329" s="10"/>
      <x:c r="C329" s="10"/>
      <x:c r="D329" s="10"/>
      <x:c r="E329" s="10"/>
      <x:c r="F329" s="10"/>
      <x:c r="G329" s="15"/>
      <x:c r="H329" s="15"/>
      <x:c r="I329" s="19" t="str">
        <x:f>IF(OR(A329="",C329&lt;&gt;"pagada",NOT(ISNUMBER(G329)),NOT(ISNUMBER(H329))),"",G329-H329)</x:f>
      </x:c>
      <x:c r="J329" s="20" t="n">
        <x:f>IF(A329="",0,IF(AND(C329="pagada",NOT(ISNUMBER(H329))),1,0))</x:f>
        <x:v>0</x:v>
      </x:c>
    </x:row>
    <x:row r="330" ht="22" customHeight="1">
      <x:c r="A330" s="12"/>
      <x:c r="B330" s="10"/>
      <x:c r="C330" s="10"/>
      <x:c r="D330" s="10"/>
      <x:c r="E330" s="10"/>
      <x:c r="F330" s="10"/>
      <x:c r="G330" s="15"/>
      <x:c r="H330" s="15"/>
      <x:c r="I330" s="19" t="str">
        <x:f>IF(OR(A330="",C330&lt;&gt;"pagada",NOT(ISNUMBER(G330)),NOT(ISNUMBER(H330))),"",G330-H330)</x:f>
      </x:c>
      <x:c r="J330" s="20" t="n">
        <x:f>IF(A330="",0,IF(AND(C330="pagada",NOT(ISNUMBER(H330))),1,0))</x:f>
        <x:v>0</x:v>
      </x:c>
    </x:row>
    <x:row r="331" ht="22" customHeight="1">
      <x:c r="A331" s="12"/>
      <x:c r="B331" s="10"/>
      <x:c r="C331" s="10"/>
      <x:c r="D331" s="10"/>
      <x:c r="E331" s="10"/>
      <x:c r="F331" s="10"/>
      <x:c r="G331" s="15"/>
      <x:c r="H331" s="15"/>
      <x:c r="I331" s="19" t="str">
        <x:f>IF(OR(A331="",C331&lt;&gt;"pagada",NOT(ISNUMBER(G331)),NOT(ISNUMBER(H331))),"",G331-H331)</x:f>
      </x:c>
      <x:c r="J331" s="20" t="n">
        <x:f>IF(A331="",0,IF(AND(C331="pagada",NOT(ISNUMBER(H331))),1,0))</x:f>
        <x:v>0</x:v>
      </x:c>
    </x:row>
    <x:row r="332" ht="22" customHeight="1">
      <x:c r="A332" s="12"/>
      <x:c r="B332" s="10"/>
      <x:c r="C332" s="10"/>
      <x:c r="D332" s="10"/>
      <x:c r="E332" s="10"/>
      <x:c r="F332" s="10"/>
      <x:c r="G332" s="15"/>
      <x:c r="H332" s="15"/>
      <x:c r="I332" s="19" t="str">
        <x:f>IF(OR(A332="",C332&lt;&gt;"pagada",NOT(ISNUMBER(G332)),NOT(ISNUMBER(H332))),"",G332-H332)</x:f>
      </x:c>
      <x:c r="J332" s="20" t="n">
        <x:f>IF(A332="",0,IF(AND(C332="pagada",NOT(ISNUMBER(H332))),1,0))</x:f>
        <x:v>0</x:v>
      </x:c>
    </x:row>
    <x:row r="333" ht="22" customHeight="1">
      <x:c r="A333" s="12"/>
      <x:c r="B333" s="10"/>
      <x:c r="C333" s="10"/>
      <x:c r="D333" s="10"/>
      <x:c r="E333" s="10"/>
      <x:c r="F333" s="10"/>
      <x:c r="G333" s="15"/>
      <x:c r="H333" s="15"/>
      <x:c r="I333" s="19" t="str">
        <x:f>IF(OR(A333="",C333&lt;&gt;"pagada",NOT(ISNUMBER(G333)),NOT(ISNUMBER(H333))),"",G333-H333)</x:f>
      </x:c>
      <x:c r="J333" s="20" t="n">
        <x:f>IF(A333="",0,IF(AND(C333="pagada",NOT(ISNUMBER(H333))),1,0))</x:f>
        <x:v>0</x:v>
      </x:c>
    </x:row>
    <x:row r="334" ht="22" customHeight="1">
      <x:c r="A334" s="12"/>
      <x:c r="B334" s="10"/>
      <x:c r="C334" s="10"/>
      <x:c r="D334" s="10"/>
      <x:c r="E334" s="10"/>
      <x:c r="F334" s="10"/>
      <x:c r="G334" s="15"/>
      <x:c r="H334" s="15"/>
      <x:c r="I334" s="19" t="str">
        <x:f>IF(OR(A334="",C334&lt;&gt;"pagada",NOT(ISNUMBER(G334)),NOT(ISNUMBER(H334))),"",G334-H334)</x:f>
      </x:c>
      <x:c r="J334" s="20" t="n">
        <x:f>IF(A334="",0,IF(AND(C334="pagada",NOT(ISNUMBER(H334))),1,0))</x:f>
        <x:v>0</x:v>
      </x:c>
    </x:row>
    <x:row r="335" ht="22" customHeight="1">
      <x:c r="A335" s="12"/>
      <x:c r="B335" s="10"/>
      <x:c r="C335" s="10"/>
      <x:c r="D335" s="10"/>
      <x:c r="E335" s="10"/>
      <x:c r="F335" s="10"/>
      <x:c r="G335" s="15"/>
      <x:c r="H335" s="15"/>
      <x:c r="I335" s="19" t="str">
        <x:f>IF(OR(A335="",C335&lt;&gt;"pagada",NOT(ISNUMBER(G335)),NOT(ISNUMBER(H335))),"",G335-H335)</x:f>
      </x:c>
      <x:c r="J335" s="20" t="n">
        <x:f>IF(A335="",0,IF(AND(C335="pagada",NOT(ISNUMBER(H335))),1,0))</x:f>
        <x:v>0</x:v>
      </x:c>
    </x:row>
    <x:row r="336" ht="22" customHeight="1">
      <x:c r="A336" s="12"/>
      <x:c r="B336" s="10"/>
      <x:c r="C336" s="10"/>
      <x:c r="D336" s="10"/>
      <x:c r="E336" s="10"/>
      <x:c r="F336" s="10"/>
      <x:c r="G336" s="15"/>
      <x:c r="H336" s="15"/>
      <x:c r="I336" s="19" t="str">
        <x:f>IF(OR(A336="",C336&lt;&gt;"pagada",NOT(ISNUMBER(G336)),NOT(ISNUMBER(H336))),"",G336-H336)</x:f>
      </x:c>
      <x:c r="J336" s="20" t="n">
        <x:f>IF(A336="",0,IF(AND(C336="pagada",NOT(ISNUMBER(H336))),1,0))</x:f>
        <x:v>0</x:v>
      </x:c>
    </x:row>
    <x:row r="337" ht="22" customHeight="1">
      <x:c r="A337" s="12"/>
      <x:c r="B337" s="10"/>
      <x:c r="C337" s="10"/>
      <x:c r="D337" s="10"/>
      <x:c r="E337" s="10"/>
      <x:c r="F337" s="10"/>
      <x:c r="G337" s="15"/>
      <x:c r="H337" s="15"/>
      <x:c r="I337" s="19" t="str">
        <x:f>IF(OR(A337="",C337&lt;&gt;"pagada",NOT(ISNUMBER(G337)),NOT(ISNUMBER(H337))),"",G337-H337)</x:f>
      </x:c>
      <x:c r="J337" s="20" t="n">
        <x:f>IF(A337="",0,IF(AND(C337="pagada",NOT(ISNUMBER(H337))),1,0))</x:f>
        <x:v>0</x:v>
      </x:c>
    </x:row>
    <x:row r="338" ht="22" customHeight="1">
      <x:c r="A338" s="12"/>
      <x:c r="B338" s="10"/>
      <x:c r="C338" s="10"/>
      <x:c r="D338" s="10"/>
      <x:c r="E338" s="10"/>
      <x:c r="F338" s="10"/>
      <x:c r="G338" s="15"/>
      <x:c r="H338" s="15"/>
      <x:c r="I338" s="19" t="str">
        <x:f>IF(OR(A338="",C338&lt;&gt;"pagada",NOT(ISNUMBER(G338)),NOT(ISNUMBER(H338))),"",G338-H338)</x:f>
      </x:c>
      <x:c r="J338" s="20" t="n">
        <x:f>IF(A338="",0,IF(AND(C338="pagada",NOT(ISNUMBER(H338))),1,0))</x:f>
        <x:v>0</x:v>
      </x:c>
    </x:row>
    <x:row r="339" ht="22" customHeight="1">
      <x:c r="A339" s="12"/>
      <x:c r="B339" s="10"/>
      <x:c r="C339" s="10"/>
      <x:c r="D339" s="10"/>
      <x:c r="E339" s="10"/>
      <x:c r="F339" s="10"/>
      <x:c r="G339" s="15"/>
      <x:c r="H339" s="15"/>
      <x:c r="I339" s="19" t="str">
        <x:f>IF(OR(A339="",C339&lt;&gt;"pagada",NOT(ISNUMBER(G339)),NOT(ISNUMBER(H339))),"",G339-H339)</x:f>
      </x:c>
      <x:c r="J339" s="20" t="n">
        <x:f>IF(A339="",0,IF(AND(C339="pagada",NOT(ISNUMBER(H339))),1,0))</x:f>
        <x:v>0</x:v>
      </x:c>
    </x:row>
    <x:row r="340" ht="22" customHeight="1">
      <x:c r="A340" s="12"/>
      <x:c r="B340" s="10"/>
      <x:c r="C340" s="10"/>
      <x:c r="D340" s="10"/>
      <x:c r="E340" s="10"/>
      <x:c r="F340" s="10"/>
      <x:c r="G340" s="15"/>
      <x:c r="H340" s="15"/>
      <x:c r="I340" s="19" t="str">
        <x:f>IF(OR(A340="",C340&lt;&gt;"pagada",NOT(ISNUMBER(G340)),NOT(ISNUMBER(H340))),"",G340-H340)</x:f>
      </x:c>
      <x:c r="J340" s="20" t="n">
        <x:f>IF(A340="",0,IF(AND(C340="pagada",NOT(ISNUMBER(H340))),1,0))</x:f>
        <x:v>0</x:v>
      </x:c>
    </x:row>
    <x:row r="341" ht="22" customHeight="1">
      <x:c r="A341" s="12"/>
      <x:c r="B341" s="10"/>
      <x:c r="C341" s="10"/>
      <x:c r="D341" s="10"/>
      <x:c r="E341" s="10"/>
      <x:c r="F341" s="10"/>
      <x:c r="G341" s="15"/>
      <x:c r="H341" s="15"/>
      <x:c r="I341" s="19" t="str">
        <x:f>IF(OR(A341="",C341&lt;&gt;"pagada",NOT(ISNUMBER(G341)),NOT(ISNUMBER(H341))),"",G341-H341)</x:f>
      </x:c>
      <x:c r="J341" s="20" t="n">
        <x:f>IF(A341="",0,IF(AND(C341="pagada",NOT(ISNUMBER(H341))),1,0))</x:f>
        <x:v>0</x:v>
      </x:c>
    </x:row>
    <x:row r="342" ht="22" customHeight="1">
      <x:c r="A342" s="12"/>
      <x:c r="B342" s="10"/>
      <x:c r="C342" s="10"/>
      <x:c r="D342" s="10"/>
      <x:c r="E342" s="10"/>
      <x:c r="F342" s="10"/>
      <x:c r="G342" s="15"/>
      <x:c r="H342" s="15"/>
      <x:c r="I342" s="19" t="str">
        <x:f>IF(OR(A342="",C342&lt;&gt;"pagada",NOT(ISNUMBER(G342)),NOT(ISNUMBER(H342))),"",G342-H342)</x:f>
      </x:c>
      <x:c r="J342" s="20" t="n">
        <x:f>IF(A342="",0,IF(AND(C342="pagada",NOT(ISNUMBER(H342))),1,0))</x:f>
        <x:v>0</x:v>
      </x:c>
    </x:row>
    <x:row r="343" ht="22" customHeight="1">
      <x:c r="A343" s="12"/>
      <x:c r="B343" s="10"/>
      <x:c r="C343" s="10"/>
      <x:c r="D343" s="10"/>
      <x:c r="E343" s="10"/>
      <x:c r="F343" s="10"/>
      <x:c r="G343" s="15"/>
      <x:c r="H343" s="15"/>
      <x:c r="I343" s="19" t="str">
        <x:f>IF(OR(A343="",C343&lt;&gt;"pagada",NOT(ISNUMBER(G343)),NOT(ISNUMBER(H343))),"",G343-H343)</x:f>
      </x:c>
      <x:c r="J343" s="20" t="n">
        <x:f>IF(A343="",0,IF(AND(C343="pagada",NOT(ISNUMBER(H343))),1,0))</x:f>
        <x:v>0</x:v>
      </x:c>
    </x:row>
    <x:row r="344" ht="22" customHeight="1">
      <x:c r="A344" s="12"/>
      <x:c r="B344" s="10"/>
      <x:c r="C344" s="10"/>
      <x:c r="D344" s="10"/>
      <x:c r="E344" s="10"/>
      <x:c r="F344" s="10"/>
      <x:c r="G344" s="15"/>
      <x:c r="H344" s="15"/>
      <x:c r="I344" s="19" t="str">
        <x:f>IF(OR(A344="",C344&lt;&gt;"pagada",NOT(ISNUMBER(G344)),NOT(ISNUMBER(H344))),"",G344-H344)</x:f>
      </x:c>
      <x:c r="J344" s="20" t="n">
        <x:f>IF(A344="",0,IF(AND(C344="pagada",NOT(ISNUMBER(H344))),1,0))</x:f>
        <x:v>0</x:v>
      </x:c>
    </x:row>
    <x:row r="345" ht="22" customHeight="1">
      <x:c r="A345" s="12"/>
      <x:c r="B345" s="10"/>
      <x:c r="C345" s="10"/>
      <x:c r="D345" s="10"/>
      <x:c r="E345" s="10"/>
      <x:c r="F345" s="10"/>
      <x:c r="G345" s="15"/>
      <x:c r="H345" s="15"/>
      <x:c r="I345" s="19" t="str">
        <x:f>IF(OR(A345="",C345&lt;&gt;"pagada",NOT(ISNUMBER(G345)),NOT(ISNUMBER(H345))),"",G345-H345)</x:f>
      </x:c>
      <x:c r="J345" s="20" t="n">
        <x:f>IF(A345="",0,IF(AND(C345="pagada",NOT(ISNUMBER(H345))),1,0))</x:f>
        <x:v>0</x:v>
      </x:c>
    </x:row>
    <x:row r="346" ht="22" customHeight="1">
      <x:c r="A346" s="12"/>
      <x:c r="B346" s="10"/>
      <x:c r="C346" s="10"/>
      <x:c r="D346" s="10"/>
      <x:c r="E346" s="10"/>
      <x:c r="F346" s="10"/>
      <x:c r="G346" s="15"/>
      <x:c r="H346" s="15"/>
      <x:c r="I346" s="19" t="str">
        <x:f>IF(OR(A346="",C346&lt;&gt;"pagada",NOT(ISNUMBER(G346)),NOT(ISNUMBER(H346))),"",G346-H346)</x:f>
      </x:c>
      <x:c r="J346" s="20" t="n">
        <x:f>IF(A346="",0,IF(AND(C346="pagada",NOT(ISNUMBER(H346))),1,0))</x:f>
        <x:v>0</x:v>
      </x:c>
    </x:row>
    <x:row r="347" ht="22" customHeight="1">
      <x:c r="A347" s="12"/>
      <x:c r="B347" s="10"/>
      <x:c r="C347" s="10"/>
      <x:c r="D347" s="10"/>
      <x:c r="E347" s="10"/>
      <x:c r="F347" s="10"/>
      <x:c r="G347" s="15"/>
      <x:c r="H347" s="15"/>
      <x:c r="I347" s="19" t="str">
        <x:f>IF(OR(A347="",C347&lt;&gt;"pagada",NOT(ISNUMBER(G347)),NOT(ISNUMBER(H347))),"",G347-H347)</x:f>
      </x:c>
      <x:c r="J347" s="20" t="n">
        <x:f>IF(A347="",0,IF(AND(C347="pagada",NOT(ISNUMBER(H347))),1,0))</x:f>
        <x:v>0</x:v>
      </x:c>
    </x:row>
    <x:row r="348" ht="22" customHeight="1">
      <x:c r="A348" s="12"/>
      <x:c r="B348" s="10"/>
      <x:c r="C348" s="10"/>
      <x:c r="D348" s="10"/>
      <x:c r="E348" s="10"/>
      <x:c r="F348" s="10"/>
      <x:c r="G348" s="15"/>
      <x:c r="H348" s="15"/>
      <x:c r="I348" s="19" t="str">
        <x:f>IF(OR(A348="",C348&lt;&gt;"pagada",NOT(ISNUMBER(G348)),NOT(ISNUMBER(H348))),"",G348-H348)</x:f>
      </x:c>
      <x:c r="J348" s="20" t="n">
        <x:f>IF(A348="",0,IF(AND(C348="pagada",NOT(ISNUMBER(H348))),1,0))</x:f>
        <x:v>0</x:v>
      </x:c>
    </x:row>
    <x:row r="349" ht="22" customHeight="1">
      <x:c r="A349" s="12"/>
      <x:c r="B349" s="10"/>
      <x:c r="C349" s="10"/>
      <x:c r="D349" s="10"/>
      <x:c r="E349" s="10"/>
      <x:c r="F349" s="10"/>
      <x:c r="G349" s="15"/>
      <x:c r="H349" s="15"/>
      <x:c r="I349" s="19" t="str">
        <x:f>IF(OR(A349="",C349&lt;&gt;"pagada",NOT(ISNUMBER(G349)),NOT(ISNUMBER(H349))),"",G349-H349)</x:f>
      </x:c>
      <x:c r="J349" s="20" t="n">
        <x:f>IF(A349="",0,IF(AND(C349="pagada",NOT(ISNUMBER(H349))),1,0))</x:f>
        <x:v>0</x:v>
      </x:c>
    </x:row>
    <x:row r="350" ht="22" customHeight="1">
      <x:c r="A350" s="12"/>
      <x:c r="B350" s="10"/>
      <x:c r="C350" s="10"/>
      <x:c r="D350" s="10"/>
      <x:c r="E350" s="10"/>
      <x:c r="F350" s="10"/>
      <x:c r="G350" s="15"/>
      <x:c r="H350" s="15"/>
      <x:c r="I350" s="19" t="str">
        <x:f>IF(OR(A350="",C350&lt;&gt;"pagada",NOT(ISNUMBER(G350)),NOT(ISNUMBER(H350))),"",G350-H350)</x:f>
      </x:c>
      <x:c r="J350" s="20" t="n">
        <x:f>IF(A350="",0,IF(AND(C350="pagada",NOT(ISNUMBER(H350))),1,0))</x:f>
        <x:v>0</x:v>
      </x:c>
    </x:row>
    <x:row r="351" ht="22" customHeight="1">
      <x:c r="A351" s="12"/>
      <x:c r="B351" s="10"/>
      <x:c r="C351" s="10"/>
      <x:c r="D351" s="10"/>
      <x:c r="E351" s="10"/>
      <x:c r="F351" s="10"/>
      <x:c r="G351" s="15"/>
      <x:c r="H351" s="15"/>
      <x:c r="I351" s="19" t="str">
        <x:f>IF(OR(A351="",C351&lt;&gt;"pagada",NOT(ISNUMBER(G351)),NOT(ISNUMBER(H351))),"",G351-H351)</x:f>
      </x:c>
      <x:c r="J351" s="20" t="n">
        <x:f>IF(A351="",0,IF(AND(C351="pagada",NOT(ISNUMBER(H351))),1,0))</x:f>
        <x:v>0</x:v>
      </x:c>
    </x:row>
    <x:row r="352" ht="22" customHeight="1">
      <x:c r="A352" s="12"/>
      <x:c r="B352" s="10"/>
      <x:c r="C352" s="10"/>
      <x:c r="D352" s="10"/>
      <x:c r="E352" s="10"/>
      <x:c r="F352" s="10"/>
      <x:c r="G352" s="15"/>
      <x:c r="H352" s="15"/>
      <x:c r="I352" s="19" t="str">
        <x:f>IF(OR(A352="",C352&lt;&gt;"pagada",NOT(ISNUMBER(G352)),NOT(ISNUMBER(H352))),"",G352-H352)</x:f>
      </x:c>
      <x:c r="J352" s="20" t="n">
        <x:f>IF(A352="",0,IF(AND(C352="pagada",NOT(ISNUMBER(H352))),1,0))</x:f>
        <x:v>0</x:v>
      </x:c>
    </x:row>
    <x:row r="353" ht="22" customHeight="1">
      <x:c r="A353" s="12"/>
      <x:c r="B353" s="10"/>
      <x:c r="C353" s="10"/>
      <x:c r="D353" s="10"/>
      <x:c r="E353" s="10"/>
      <x:c r="F353" s="10"/>
      <x:c r="G353" s="15"/>
      <x:c r="H353" s="15"/>
      <x:c r="I353" s="19" t="str">
        <x:f>IF(OR(A353="",C353&lt;&gt;"pagada",NOT(ISNUMBER(G353)),NOT(ISNUMBER(H353))),"",G353-H353)</x:f>
      </x:c>
      <x:c r="J353" s="20" t="n">
        <x:f>IF(A353="",0,IF(AND(C353="pagada",NOT(ISNUMBER(H353))),1,0))</x:f>
        <x:v>0</x:v>
      </x:c>
    </x:row>
    <x:row r="354" ht="22" customHeight="1">
      <x:c r="A354" s="12"/>
      <x:c r="B354" s="10"/>
      <x:c r="C354" s="10"/>
      <x:c r="D354" s="10"/>
      <x:c r="E354" s="10"/>
      <x:c r="F354" s="10"/>
      <x:c r="G354" s="15"/>
      <x:c r="H354" s="15"/>
      <x:c r="I354" s="19" t="str">
        <x:f>IF(OR(A354="",C354&lt;&gt;"pagada",NOT(ISNUMBER(G354)),NOT(ISNUMBER(H354))),"",G354-H354)</x:f>
      </x:c>
      <x:c r="J354" s="20" t="n">
        <x:f>IF(A354="",0,IF(AND(C354="pagada",NOT(ISNUMBER(H354))),1,0))</x:f>
        <x:v>0</x:v>
      </x:c>
    </x:row>
    <x:row r="355" ht="22" customHeight="1">
      <x:c r="A355" s="12"/>
      <x:c r="B355" s="10"/>
      <x:c r="C355" s="10"/>
      <x:c r="D355" s="10"/>
      <x:c r="E355" s="10"/>
      <x:c r="F355" s="10"/>
      <x:c r="G355" s="15"/>
      <x:c r="H355" s="15"/>
      <x:c r="I355" s="19" t="str">
        <x:f>IF(OR(A355="",C355&lt;&gt;"pagada",NOT(ISNUMBER(G355)),NOT(ISNUMBER(H355))),"",G355-H355)</x:f>
      </x:c>
      <x:c r="J355" s="20" t="n">
        <x:f>IF(A355="",0,IF(AND(C355="pagada",NOT(ISNUMBER(H355))),1,0))</x:f>
        <x:v>0</x:v>
      </x:c>
    </x:row>
    <x:row r="356" ht="22" customHeight="1">
      <x:c r="A356" s="12"/>
      <x:c r="B356" s="10"/>
      <x:c r="C356" s="10"/>
      <x:c r="D356" s="10"/>
      <x:c r="E356" s="10"/>
      <x:c r="F356" s="10"/>
      <x:c r="G356" s="15"/>
      <x:c r="H356" s="15"/>
      <x:c r="I356" s="19" t="str">
        <x:f>IF(OR(A356="",C356&lt;&gt;"pagada",NOT(ISNUMBER(G356)),NOT(ISNUMBER(H356))),"",G356-H356)</x:f>
      </x:c>
      <x:c r="J356" s="20" t="n">
        <x:f>IF(A356="",0,IF(AND(C356="pagada",NOT(ISNUMBER(H356))),1,0))</x:f>
        <x:v>0</x:v>
      </x:c>
    </x:row>
    <x:row r="357" ht="22" customHeight="1">
      <x:c r="A357" s="12"/>
      <x:c r="B357" s="10"/>
      <x:c r="C357" s="10"/>
      <x:c r="D357" s="10"/>
      <x:c r="E357" s="10"/>
      <x:c r="F357" s="10"/>
      <x:c r="G357" s="15"/>
      <x:c r="H357" s="15"/>
      <x:c r="I357" s="19" t="str">
        <x:f>IF(OR(A357="",C357&lt;&gt;"pagada",NOT(ISNUMBER(G357)),NOT(ISNUMBER(H357))),"",G357-H357)</x:f>
      </x:c>
      <x:c r="J357" s="20" t="n">
        <x:f>IF(A357="",0,IF(AND(C357="pagada",NOT(ISNUMBER(H357))),1,0))</x:f>
        <x:v>0</x:v>
      </x:c>
    </x:row>
    <x:row r="358" ht="22" customHeight="1">
      <x:c r="A358" s="12"/>
      <x:c r="B358" s="10"/>
      <x:c r="C358" s="10"/>
      <x:c r="D358" s="10"/>
      <x:c r="E358" s="10"/>
      <x:c r="F358" s="10"/>
      <x:c r="G358" s="15"/>
      <x:c r="H358" s="15"/>
      <x:c r="I358" s="19" t="str">
        <x:f>IF(OR(A358="",C358&lt;&gt;"pagada",NOT(ISNUMBER(G358)),NOT(ISNUMBER(H358))),"",G358-H358)</x:f>
      </x:c>
      <x:c r="J358" s="20" t="n">
        <x:f>IF(A358="",0,IF(AND(C358="pagada",NOT(ISNUMBER(H358))),1,0))</x:f>
        <x:v>0</x:v>
      </x:c>
    </x:row>
    <x:row r="359" ht="22" customHeight="1">
      <x:c r="A359" s="12"/>
      <x:c r="B359" s="10"/>
      <x:c r="C359" s="10"/>
      <x:c r="D359" s="10"/>
      <x:c r="E359" s="10"/>
      <x:c r="F359" s="10"/>
      <x:c r="G359" s="15"/>
      <x:c r="H359" s="15"/>
      <x:c r="I359" s="19" t="str">
        <x:f>IF(OR(A359="",C359&lt;&gt;"pagada",NOT(ISNUMBER(G359)),NOT(ISNUMBER(H359))),"",G359-H359)</x:f>
      </x:c>
      <x:c r="J359" s="20" t="n">
        <x:f>IF(A359="",0,IF(AND(C359="pagada",NOT(ISNUMBER(H359))),1,0))</x:f>
        <x:v>0</x:v>
      </x:c>
    </x:row>
    <x:row r="360" ht="22" customHeight="1">
      <x:c r="A360" s="12"/>
      <x:c r="B360" s="10"/>
      <x:c r="C360" s="10"/>
      <x:c r="D360" s="10"/>
      <x:c r="E360" s="10"/>
      <x:c r="F360" s="10"/>
      <x:c r="G360" s="15"/>
      <x:c r="H360" s="15"/>
      <x:c r="I360" s="19" t="str">
        <x:f>IF(OR(A360="",C360&lt;&gt;"pagada",NOT(ISNUMBER(G360)),NOT(ISNUMBER(H360))),"",G360-H360)</x:f>
      </x:c>
      <x:c r="J360" s="20" t="n">
        <x:f>IF(A360="",0,IF(AND(C360="pagada",NOT(ISNUMBER(H360))),1,0))</x:f>
        <x:v>0</x:v>
      </x:c>
    </x:row>
    <x:row r="361" ht="22" customHeight="1">
      <x:c r="A361" s="12"/>
      <x:c r="B361" s="10"/>
      <x:c r="C361" s="10"/>
      <x:c r="D361" s="10"/>
      <x:c r="E361" s="10"/>
      <x:c r="F361" s="10"/>
      <x:c r="G361" s="15"/>
      <x:c r="H361" s="15"/>
      <x:c r="I361" s="19" t="str">
        <x:f>IF(OR(A361="",C361&lt;&gt;"pagada",NOT(ISNUMBER(G361)),NOT(ISNUMBER(H361))),"",G361-H361)</x:f>
      </x:c>
      <x:c r="J361" s="20" t="n">
        <x:f>IF(A361="",0,IF(AND(C361="pagada",NOT(ISNUMBER(H361))),1,0))</x:f>
        <x:v>0</x:v>
      </x:c>
    </x:row>
    <x:row r="362" ht="22" customHeight="1">
      <x:c r="A362" s="12"/>
      <x:c r="B362" s="10"/>
      <x:c r="C362" s="10"/>
      <x:c r="D362" s="10"/>
      <x:c r="E362" s="10"/>
      <x:c r="F362" s="10"/>
      <x:c r="G362" s="15"/>
      <x:c r="H362" s="15"/>
      <x:c r="I362" s="19" t="str">
        <x:f>IF(OR(A362="",C362&lt;&gt;"pagada",NOT(ISNUMBER(G362)),NOT(ISNUMBER(H362))),"",G362-H362)</x:f>
      </x:c>
      <x:c r="J362" s="20" t="n">
        <x:f>IF(A362="",0,IF(AND(C362="pagada",NOT(ISNUMBER(H362))),1,0))</x:f>
        <x:v>0</x:v>
      </x:c>
    </x:row>
    <x:row r="363" ht="22" customHeight="1">
      <x:c r="A363" s="12"/>
      <x:c r="B363" s="10"/>
      <x:c r="C363" s="10"/>
      <x:c r="D363" s="10"/>
      <x:c r="E363" s="10"/>
      <x:c r="F363" s="10"/>
      <x:c r="G363" s="15"/>
      <x:c r="H363" s="15"/>
      <x:c r="I363" s="19" t="str">
        <x:f>IF(OR(A363="",C363&lt;&gt;"pagada",NOT(ISNUMBER(G363)),NOT(ISNUMBER(H363))),"",G363-H363)</x:f>
      </x:c>
      <x:c r="J363" s="20" t="n">
        <x:f>IF(A363="",0,IF(AND(C363="pagada",NOT(ISNUMBER(H363))),1,0))</x:f>
        <x:v>0</x:v>
      </x:c>
    </x:row>
    <x:row r="364" ht="22" customHeight="1">
      <x:c r="A364" s="12"/>
      <x:c r="B364" s="10"/>
      <x:c r="C364" s="10"/>
      <x:c r="D364" s="10"/>
      <x:c r="E364" s="10"/>
      <x:c r="F364" s="10"/>
      <x:c r="G364" s="15"/>
      <x:c r="H364" s="15"/>
      <x:c r="I364" s="19" t="str">
        <x:f>IF(OR(A364="",C364&lt;&gt;"pagada",NOT(ISNUMBER(G364)),NOT(ISNUMBER(H364))),"",G364-H364)</x:f>
      </x:c>
      <x:c r="J364" s="20" t="n">
        <x:f>IF(A364="",0,IF(AND(C364="pagada",NOT(ISNUMBER(H364))),1,0))</x:f>
        <x:v>0</x:v>
      </x:c>
    </x:row>
    <x:row r="365" ht="22" customHeight="1">
      <x:c r="A365" s="12"/>
      <x:c r="B365" s="10"/>
      <x:c r="C365" s="10"/>
      <x:c r="D365" s="10"/>
      <x:c r="E365" s="10"/>
      <x:c r="F365" s="10"/>
      <x:c r="G365" s="15"/>
      <x:c r="H365" s="15"/>
      <x:c r="I365" s="19" t="str">
        <x:f>IF(OR(A365="",C365&lt;&gt;"pagada",NOT(ISNUMBER(G365)),NOT(ISNUMBER(H365))),"",G365-H365)</x:f>
      </x:c>
      <x:c r="J365" s="20" t="n">
        <x:f>IF(A365="",0,IF(AND(C365="pagada",NOT(ISNUMBER(H365))),1,0))</x:f>
        <x:v>0</x:v>
      </x:c>
    </x:row>
    <x:row r="366" ht="22" customHeight="1">
      <x:c r="A366" s="12"/>
      <x:c r="B366" s="10"/>
      <x:c r="C366" s="10"/>
      <x:c r="D366" s="10"/>
      <x:c r="E366" s="10"/>
      <x:c r="F366" s="10"/>
      <x:c r="G366" s="15"/>
      <x:c r="H366" s="15"/>
      <x:c r="I366" s="19" t="str">
        <x:f>IF(OR(A366="",C366&lt;&gt;"pagada",NOT(ISNUMBER(G366)),NOT(ISNUMBER(H366))),"",G366-H366)</x:f>
      </x:c>
      <x:c r="J366" s="20" t="n">
        <x:f>IF(A366="",0,IF(AND(C366="pagada",NOT(ISNUMBER(H366))),1,0))</x:f>
        <x:v>0</x:v>
      </x:c>
    </x:row>
    <x:row r="367" ht="22" customHeight="1">
      <x:c r="A367" s="12"/>
      <x:c r="B367" s="10"/>
      <x:c r="C367" s="10"/>
      <x:c r="D367" s="10"/>
      <x:c r="E367" s="10"/>
      <x:c r="F367" s="10"/>
      <x:c r="G367" s="15"/>
      <x:c r="H367" s="15"/>
      <x:c r="I367" s="19" t="str">
        <x:f>IF(OR(A367="",C367&lt;&gt;"pagada",NOT(ISNUMBER(G367)),NOT(ISNUMBER(H367))),"",G367-H367)</x:f>
      </x:c>
      <x:c r="J367" s="20" t="n">
        <x:f>IF(A367="",0,IF(AND(C367="pagada",NOT(ISNUMBER(H367))),1,0))</x:f>
        <x:v>0</x:v>
      </x:c>
    </x:row>
    <x:row r="368" ht="22" customHeight="1">
      <x:c r="A368" s="12"/>
      <x:c r="B368" s="10"/>
      <x:c r="C368" s="10"/>
      <x:c r="D368" s="10"/>
      <x:c r="E368" s="10"/>
      <x:c r="F368" s="10"/>
      <x:c r="G368" s="15"/>
      <x:c r="H368" s="15"/>
      <x:c r="I368" s="19" t="str">
        <x:f>IF(OR(A368="",C368&lt;&gt;"pagada",NOT(ISNUMBER(G368)),NOT(ISNUMBER(H368))),"",G368-H368)</x:f>
      </x:c>
      <x:c r="J368" s="20" t="n">
        <x:f>IF(A368="",0,IF(AND(C368="pagada",NOT(ISNUMBER(H368))),1,0))</x:f>
        <x:v>0</x:v>
      </x:c>
    </x:row>
    <x:row r="369" ht="22" customHeight="1">
      <x:c r="A369" s="12"/>
      <x:c r="B369" s="10"/>
      <x:c r="C369" s="10"/>
      <x:c r="D369" s="10"/>
      <x:c r="E369" s="10"/>
      <x:c r="F369" s="10"/>
      <x:c r="G369" s="15"/>
      <x:c r="H369" s="15"/>
      <x:c r="I369" s="19" t="str">
        <x:f>IF(OR(A369="",C369&lt;&gt;"pagada",NOT(ISNUMBER(G369)),NOT(ISNUMBER(H369))),"",G369-H369)</x:f>
      </x:c>
      <x:c r="J369" s="20" t="n">
        <x:f>IF(A369="",0,IF(AND(C369="pagada",NOT(ISNUMBER(H369))),1,0))</x:f>
        <x:v>0</x:v>
      </x:c>
    </x:row>
    <x:row r="370" ht="22" customHeight="1">
      <x:c r="A370" s="12"/>
      <x:c r="B370" s="10"/>
      <x:c r="C370" s="10"/>
      <x:c r="D370" s="10"/>
      <x:c r="E370" s="10"/>
      <x:c r="F370" s="10"/>
      <x:c r="G370" s="15"/>
      <x:c r="H370" s="15"/>
      <x:c r="I370" s="19" t="str">
        <x:f>IF(OR(A370="",C370&lt;&gt;"pagada",NOT(ISNUMBER(G370)),NOT(ISNUMBER(H370))),"",G370-H370)</x:f>
      </x:c>
      <x:c r="J370" s="20" t="n">
        <x:f>IF(A370="",0,IF(AND(C370="pagada",NOT(ISNUMBER(H370))),1,0))</x:f>
        <x:v>0</x:v>
      </x:c>
    </x:row>
    <x:row r="371" ht="22" customHeight="1">
      <x:c r="A371" s="12"/>
      <x:c r="B371" s="10"/>
      <x:c r="C371" s="10"/>
      <x:c r="D371" s="10"/>
      <x:c r="E371" s="10"/>
      <x:c r="F371" s="10"/>
      <x:c r="G371" s="15"/>
      <x:c r="H371" s="15"/>
      <x:c r="I371" s="19" t="str">
        <x:f>IF(OR(A371="",C371&lt;&gt;"pagada",NOT(ISNUMBER(G371)),NOT(ISNUMBER(H371))),"",G371-H371)</x:f>
      </x:c>
      <x:c r="J371" s="20" t="n">
        <x:f>IF(A371="",0,IF(AND(C371="pagada",NOT(ISNUMBER(H371))),1,0))</x:f>
        <x:v>0</x:v>
      </x:c>
    </x:row>
    <x:row r="372" ht="22" customHeight="1">
      <x:c r="A372" s="12"/>
      <x:c r="B372" s="10"/>
      <x:c r="C372" s="10"/>
      <x:c r="D372" s="10"/>
      <x:c r="E372" s="10"/>
      <x:c r="F372" s="10"/>
      <x:c r="G372" s="15"/>
      <x:c r="H372" s="15"/>
      <x:c r="I372" s="19" t="str">
        <x:f>IF(OR(A372="",C372&lt;&gt;"pagada",NOT(ISNUMBER(G372)),NOT(ISNUMBER(H372))),"",G372-H372)</x:f>
      </x:c>
      <x:c r="J372" s="20" t="n">
        <x:f>IF(A372="",0,IF(AND(C372="pagada",NOT(ISNUMBER(H372))),1,0))</x:f>
        <x:v>0</x:v>
      </x:c>
    </x:row>
    <x:row r="373" ht="22" customHeight="1">
      <x:c r="A373" s="12"/>
      <x:c r="B373" s="10"/>
      <x:c r="C373" s="10"/>
      <x:c r="D373" s="10"/>
      <x:c r="E373" s="10"/>
      <x:c r="F373" s="10"/>
      <x:c r="G373" s="15"/>
      <x:c r="H373" s="15"/>
      <x:c r="I373" s="19" t="str">
        <x:f>IF(OR(A373="",C373&lt;&gt;"pagada",NOT(ISNUMBER(G373)),NOT(ISNUMBER(H373))),"",G373-H373)</x:f>
      </x:c>
      <x:c r="J373" s="20" t="n">
        <x:f>IF(A373="",0,IF(AND(C373="pagada",NOT(ISNUMBER(H373))),1,0))</x:f>
        <x:v>0</x:v>
      </x:c>
    </x:row>
    <x:row r="374" ht="22" customHeight="1">
      <x:c r="A374" s="12"/>
      <x:c r="B374" s="10"/>
      <x:c r="C374" s="10"/>
      <x:c r="D374" s="10"/>
      <x:c r="E374" s="10"/>
      <x:c r="F374" s="10"/>
      <x:c r="G374" s="15"/>
      <x:c r="H374" s="15"/>
      <x:c r="I374" s="19" t="str">
        <x:f>IF(OR(A374="",C374&lt;&gt;"pagada",NOT(ISNUMBER(G374)),NOT(ISNUMBER(H374))),"",G374-H374)</x:f>
      </x:c>
      <x:c r="J374" s="20" t="n">
        <x:f>IF(A374="",0,IF(AND(C374="pagada",NOT(ISNUMBER(H374))),1,0))</x:f>
        <x:v>0</x:v>
      </x:c>
    </x:row>
    <x:row r="375" ht="22" customHeight="1">
      <x:c r="A375" s="12"/>
      <x:c r="B375" s="10"/>
      <x:c r="C375" s="10"/>
      <x:c r="D375" s="10"/>
      <x:c r="E375" s="10"/>
      <x:c r="F375" s="10"/>
      <x:c r="G375" s="15"/>
      <x:c r="H375" s="15"/>
      <x:c r="I375" s="19" t="str">
        <x:f>IF(OR(A375="",C375&lt;&gt;"pagada",NOT(ISNUMBER(G375)),NOT(ISNUMBER(H375))),"",G375-H375)</x:f>
      </x:c>
      <x:c r="J375" s="20" t="n">
        <x:f>IF(A375="",0,IF(AND(C375="pagada",NOT(ISNUMBER(H375))),1,0))</x:f>
        <x:v>0</x:v>
      </x:c>
    </x:row>
    <x:row r="376" ht="22" customHeight="1">
      <x:c r="A376" s="12"/>
      <x:c r="B376" s="10"/>
      <x:c r="C376" s="10"/>
      <x:c r="D376" s="10"/>
      <x:c r="E376" s="10"/>
      <x:c r="F376" s="10"/>
      <x:c r="G376" s="15"/>
      <x:c r="H376" s="15"/>
      <x:c r="I376" s="19" t="str">
        <x:f>IF(OR(A376="",C376&lt;&gt;"pagada",NOT(ISNUMBER(G376)),NOT(ISNUMBER(H376))),"",G376-H376)</x:f>
      </x:c>
      <x:c r="J376" s="20" t="n">
        <x:f>IF(A376="",0,IF(AND(C376="pagada",NOT(ISNUMBER(H376))),1,0))</x:f>
        <x:v>0</x:v>
      </x:c>
    </x:row>
    <x:row r="377" ht="22" customHeight="1">
      <x:c r="A377" s="12"/>
      <x:c r="B377" s="10"/>
      <x:c r="C377" s="10"/>
      <x:c r="D377" s="10"/>
      <x:c r="E377" s="10"/>
      <x:c r="F377" s="10"/>
      <x:c r="G377" s="15"/>
      <x:c r="H377" s="15"/>
      <x:c r="I377" s="19" t="str">
        <x:f>IF(OR(A377="",C377&lt;&gt;"pagada",NOT(ISNUMBER(G377)),NOT(ISNUMBER(H377))),"",G377-H377)</x:f>
      </x:c>
      <x:c r="J377" s="20" t="n">
        <x:f>IF(A377="",0,IF(AND(C377="pagada",NOT(ISNUMBER(H377))),1,0))</x:f>
        <x:v>0</x:v>
      </x:c>
    </x:row>
    <x:row r="378" ht="22" customHeight="1">
      <x:c r="A378" s="12"/>
      <x:c r="B378" s="10"/>
      <x:c r="C378" s="10"/>
      <x:c r="D378" s="10"/>
      <x:c r="E378" s="10"/>
      <x:c r="F378" s="10"/>
      <x:c r="G378" s="15"/>
      <x:c r="H378" s="15"/>
      <x:c r="I378" s="19" t="str">
        <x:f>IF(OR(A378="",C378&lt;&gt;"pagada",NOT(ISNUMBER(G378)),NOT(ISNUMBER(H378))),"",G378-H378)</x:f>
      </x:c>
      <x:c r="J378" s="20" t="n">
        <x:f>IF(A378="",0,IF(AND(C378="pagada",NOT(ISNUMBER(H378))),1,0))</x:f>
        <x:v>0</x:v>
      </x:c>
    </x:row>
    <x:row r="379" ht="22" customHeight="1">
      <x:c r="A379" s="12"/>
      <x:c r="B379" s="10"/>
      <x:c r="C379" s="10"/>
      <x:c r="D379" s="10"/>
      <x:c r="E379" s="10"/>
      <x:c r="F379" s="10"/>
      <x:c r="G379" s="15"/>
      <x:c r="H379" s="15"/>
      <x:c r="I379" s="19" t="str">
        <x:f>IF(OR(A379="",C379&lt;&gt;"pagada",NOT(ISNUMBER(G379)),NOT(ISNUMBER(H379))),"",G379-H379)</x:f>
      </x:c>
      <x:c r="J379" s="20" t="n">
        <x:f>IF(A379="",0,IF(AND(C379="pagada",NOT(ISNUMBER(H379))),1,0))</x:f>
        <x:v>0</x:v>
      </x:c>
    </x:row>
    <x:row r="380" ht="22" customHeight="1">
      <x:c r="A380" s="12"/>
      <x:c r="B380" s="10"/>
      <x:c r="C380" s="10"/>
      <x:c r="D380" s="10"/>
      <x:c r="E380" s="10"/>
      <x:c r="F380" s="10"/>
      <x:c r="G380" s="15"/>
      <x:c r="H380" s="15"/>
      <x:c r="I380" s="19" t="str">
        <x:f>IF(OR(A380="",C380&lt;&gt;"pagada",NOT(ISNUMBER(G380)),NOT(ISNUMBER(H380))),"",G380-H380)</x:f>
      </x:c>
      <x:c r="J380" s="20" t="n">
        <x:f>IF(A380="",0,IF(AND(C380="pagada",NOT(ISNUMBER(H380))),1,0))</x:f>
        <x:v>0</x:v>
      </x:c>
    </x:row>
    <x:row r="381" ht="22" customHeight="1">
      <x:c r="A381" s="12"/>
      <x:c r="B381" s="10"/>
      <x:c r="C381" s="10"/>
      <x:c r="D381" s="10"/>
      <x:c r="E381" s="10"/>
      <x:c r="F381" s="10"/>
      <x:c r="G381" s="15"/>
      <x:c r="H381" s="15"/>
      <x:c r="I381" s="19" t="str">
        <x:f>IF(OR(A381="",C381&lt;&gt;"pagada",NOT(ISNUMBER(G381)),NOT(ISNUMBER(H381))),"",G381-H381)</x:f>
      </x:c>
      <x:c r="J381" s="20" t="n">
        <x:f>IF(A381="",0,IF(AND(C381="pagada",NOT(ISNUMBER(H381))),1,0))</x:f>
        <x:v>0</x:v>
      </x:c>
    </x:row>
    <x:row r="382" ht="22" customHeight="1">
      <x:c r="A382" s="12"/>
      <x:c r="B382" s="10"/>
      <x:c r="C382" s="10"/>
      <x:c r="D382" s="10"/>
      <x:c r="E382" s="10"/>
      <x:c r="F382" s="10"/>
      <x:c r="G382" s="15"/>
      <x:c r="H382" s="15"/>
      <x:c r="I382" s="19" t="str">
        <x:f>IF(OR(A382="",C382&lt;&gt;"pagada",NOT(ISNUMBER(G382)),NOT(ISNUMBER(H382))),"",G382-H382)</x:f>
      </x:c>
      <x:c r="J382" s="20" t="n">
        <x:f>IF(A382="",0,IF(AND(C382="pagada",NOT(ISNUMBER(H382))),1,0))</x:f>
        <x:v>0</x:v>
      </x:c>
    </x:row>
    <x:row r="383" ht="22" customHeight="1">
      <x:c r="A383" s="12"/>
      <x:c r="B383" s="10"/>
      <x:c r="C383" s="10"/>
      <x:c r="D383" s="10"/>
      <x:c r="E383" s="10"/>
      <x:c r="F383" s="10"/>
      <x:c r="G383" s="15"/>
      <x:c r="H383" s="15"/>
      <x:c r="I383" s="19" t="str">
        <x:f>IF(OR(A383="",C383&lt;&gt;"pagada",NOT(ISNUMBER(G383)),NOT(ISNUMBER(H383))),"",G383-H383)</x:f>
      </x:c>
      <x:c r="J383" s="20" t="n">
        <x:f>IF(A383="",0,IF(AND(C383="pagada",NOT(ISNUMBER(H383))),1,0))</x:f>
        <x:v>0</x:v>
      </x:c>
    </x:row>
    <x:row r="384" ht="22" customHeight="1">
      <x:c r="A384" s="12"/>
      <x:c r="B384" s="10"/>
      <x:c r="C384" s="10"/>
      <x:c r="D384" s="10"/>
      <x:c r="E384" s="10"/>
      <x:c r="F384" s="10"/>
      <x:c r="G384" s="15"/>
      <x:c r="H384" s="15"/>
      <x:c r="I384" s="19" t="str">
        <x:f>IF(OR(A384="",C384&lt;&gt;"pagada",NOT(ISNUMBER(G384)),NOT(ISNUMBER(H384))),"",G384-H384)</x:f>
      </x:c>
      <x:c r="J384" s="20" t="n">
        <x:f>IF(A384="",0,IF(AND(C384="pagada",NOT(ISNUMBER(H384))),1,0))</x:f>
        <x:v>0</x:v>
      </x:c>
    </x:row>
    <x:row r="385" ht="22" customHeight="1">
      <x:c r="A385" s="12"/>
      <x:c r="B385" s="10"/>
      <x:c r="C385" s="10"/>
      <x:c r="D385" s="10"/>
      <x:c r="E385" s="10"/>
      <x:c r="F385" s="10"/>
      <x:c r="G385" s="15"/>
      <x:c r="H385" s="15"/>
      <x:c r="I385" s="19" t="str">
        <x:f>IF(OR(A385="",C385&lt;&gt;"pagada",NOT(ISNUMBER(G385)),NOT(ISNUMBER(H385))),"",G385-H385)</x:f>
      </x:c>
      <x:c r="J385" s="20" t="n">
        <x:f>IF(A385="",0,IF(AND(C385="pagada",NOT(ISNUMBER(H385))),1,0))</x:f>
        <x:v>0</x:v>
      </x:c>
    </x:row>
    <x:row r="386" ht="22" customHeight="1">
      <x:c r="A386" s="12"/>
      <x:c r="B386" s="10"/>
      <x:c r="C386" s="10"/>
      <x:c r="D386" s="10"/>
      <x:c r="E386" s="10"/>
      <x:c r="F386" s="10"/>
      <x:c r="G386" s="15"/>
      <x:c r="H386" s="15"/>
      <x:c r="I386" s="19" t="str">
        <x:f>IF(OR(A386="",C386&lt;&gt;"pagada",NOT(ISNUMBER(G386)),NOT(ISNUMBER(H386))),"",G386-H386)</x:f>
      </x:c>
      <x:c r="J386" s="20" t="n">
        <x:f>IF(A386="",0,IF(AND(C386="pagada",NOT(ISNUMBER(H386))),1,0))</x:f>
        <x:v>0</x:v>
      </x:c>
    </x:row>
    <x:row r="387" ht="22" customHeight="1">
      <x:c r="A387" s="12"/>
      <x:c r="B387" s="10"/>
      <x:c r="C387" s="10"/>
      <x:c r="D387" s="10"/>
      <x:c r="E387" s="10"/>
      <x:c r="F387" s="10"/>
      <x:c r="G387" s="15"/>
      <x:c r="H387" s="15"/>
      <x:c r="I387" s="19" t="str">
        <x:f>IF(OR(A387="",C387&lt;&gt;"pagada",NOT(ISNUMBER(G387)),NOT(ISNUMBER(H387))),"",G387-H387)</x:f>
      </x:c>
      <x:c r="J387" s="20" t="n">
        <x:f>IF(A387="",0,IF(AND(C387="pagada",NOT(ISNUMBER(H387))),1,0))</x:f>
        <x:v>0</x:v>
      </x:c>
    </x:row>
    <x:row r="388" ht="22" customHeight="1">
      <x:c r="A388" s="12"/>
      <x:c r="B388" s="10"/>
      <x:c r="C388" s="10"/>
      <x:c r="D388" s="10"/>
      <x:c r="E388" s="10"/>
      <x:c r="F388" s="10"/>
      <x:c r="G388" s="15"/>
      <x:c r="H388" s="15"/>
      <x:c r="I388" s="19" t="str">
        <x:f>IF(OR(A388="",C388&lt;&gt;"pagada",NOT(ISNUMBER(G388)),NOT(ISNUMBER(H388))),"",G388-H388)</x:f>
      </x:c>
      <x:c r="J388" s="20" t="n">
        <x:f>IF(A388="",0,IF(AND(C388="pagada",NOT(ISNUMBER(H388))),1,0))</x:f>
        <x:v>0</x:v>
      </x:c>
    </x:row>
    <x:row r="389" ht="22" customHeight="1">
      <x:c r="A389" s="12"/>
      <x:c r="B389" s="10"/>
      <x:c r="C389" s="10"/>
      <x:c r="D389" s="10"/>
      <x:c r="E389" s="10"/>
      <x:c r="F389" s="10"/>
      <x:c r="G389" s="15"/>
      <x:c r="H389" s="15"/>
      <x:c r="I389" s="19" t="str">
        <x:f>IF(OR(A389="",C389&lt;&gt;"pagada",NOT(ISNUMBER(G389)),NOT(ISNUMBER(H389))),"",G389-H389)</x:f>
      </x:c>
      <x:c r="J389" s="20" t="n">
        <x:f>IF(A389="",0,IF(AND(C389="pagada",NOT(ISNUMBER(H389))),1,0))</x:f>
        <x:v>0</x:v>
      </x:c>
    </x:row>
    <x:row r="390" ht="22" customHeight="1">
      <x:c r="A390" s="12"/>
      <x:c r="B390" s="10"/>
      <x:c r="C390" s="10"/>
      <x:c r="D390" s="10"/>
      <x:c r="E390" s="10"/>
      <x:c r="F390" s="10"/>
      <x:c r="G390" s="15"/>
      <x:c r="H390" s="15"/>
      <x:c r="I390" s="19" t="str">
        <x:f>IF(OR(A390="",C390&lt;&gt;"pagada",NOT(ISNUMBER(G390)),NOT(ISNUMBER(H390))),"",G390-H390)</x:f>
      </x:c>
      <x:c r="J390" s="20" t="n">
        <x:f>IF(A390="",0,IF(AND(C390="pagada",NOT(ISNUMBER(H390))),1,0))</x:f>
        <x:v>0</x:v>
      </x:c>
    </x:row>
    <x:row r="391" ht="22" customHeight="1">
      <x:c r="A391" s="12"/>
      <x:c r="B391" s="10"/>
      <x:c r="C391" s="10"/>
      <x:c r="D391" s="10"/>
      <x:c r="E391" s="10"/>
      <x:c r="F391" s="10"/>
      <x:c r="G391" s="15"/>
      <x:c r="H391" s="15"/>
      <x:c r="I391" s="19" t="str">
        <x:f>IF(OR(A391="",C391&lt;&gt;"pagada",NOT(ISNUMBER(G391)),NOT(ISNUMBER(H391))),"",G391-H391)</x:f>
      </x:c>
      <x:c r="J391" s="20" t="n">
        <x:f>IF(A391="",0,IF(AND(C391="pagada",NOT(ISNUMBER(H391))),1,0))</x:f>
        <x:v>0</x:v>
      </x:c>
    </x:row>
    <x:row r="392" ht="22" customHeight="1">
      <x:c r="A392" s="12"/>
      <x:c r="B392" s="10"/>
      <x:c r="C392" s="10"/>
      <x:c r="D392" s="10"/>
      <x:c r="E392" s="10"/>
      <x:c r="F392" s="10"/>
      <x:c r="G392" s="15"/>
      <x:c r="H392" s="15"/>
      <x:c r="I392" s="19" t="str">
        <x:f>IF(OR(A392="",C392&lt;&gt;"pagada",NOT(ISNUMBER(G392)),NOT(ISNUMBER(H392))),"",G392-H392)</x:f>
      </x:c>
      <x:c r="J392" s="20" t="n">
        <x:f>IF(A392="",0,IF(AND(C392="pagada",NOT(ISNUMBER(H392))),1,0))</x:f>
        <x:v>0</x:v>
      </x:c>
    </x:row>
    <x:row r="393" ht="22" customHeight="1">
      <x:c r="A393" s="12"/>
      <x:c r="B393" s="10"/>
      <x:c r="C393" s="10"/>
      <x:c r="D393" s="10"/>
      <x:c r="E393" s="10"/>
      <x:c r="F393" s="10"/>
      <x:c r="G393" s="15"/>
      <x:c r="H393" s="15"/>
      <x:c r="I393" s="19" t="str">
        <x:f>IF(OR(A393="",C393&lt;&gt;"pagada",NOT(ISNUMBER(G393)),NOT(ISNUMBER(H393))),"",G393-H393)</x:f>
      </x:c>
      <x:c r="J393" s="20" t="n">
        <x:f>IF(A393="",0,IF(AND(C393="pagada",NOT(ISNUMBER(H393))),1,0))</x:f>
        <x:v>0</x:v>
      </x:c>
    </x:row>
    <x:row r="394" ht="22" customHeight="1">
      <x:c r="A394" s="12"/>
      <x:c r="B394" s="10"/>
      <x:c r="C394" s="10"/>
      <x:c r="D394" s="10"/>
      <x:c r="E394" s="10"/>
      <x:c r="F394" s="10"/>
      <x:c r="G394" s="15"/>
      <x:c r="H394" s="15"/>
      <x:c r="I394" s="19" t="str">
        <x:f>IF(OR(A394="",C394&lt;&gt;"pagada",NOT(ISNUMBER(G394)),NOT(ISNUMBER(H394))),"",G394-H394)</x:f>
      </x:c>
      <x:c r="J394" s="20" t="n">
        <x:f>IF(A394="",0,IF(AND(C394="pagada",NOT(ISNUMBER(H394))),1,0))</x:f>
        <x:v>0</x:v>
      </x:c>
    </x:row>
    <x:row r="395" ht="22" customHeight="1">
      <x:c r="A395" s="12"/>
      <x:c r="B395" s="10"/>
      <x:c r="C395" s="10"/>
      <x:c r="D395" s="10"/>
      <x:c r="E395" s="10"/>
      <x:c r="F395" s="10"/>
      <x:c r="G395" s="15"/>
      <x:c r="H395" s="15"/>
      <x:c r="I395" s="19" t="str">
        <x:f>IF(OR(A395="",C395&lt;&gt;"pagada",NOT(ISNUMBER(G395)),NOT(ISNUMBER(H395))),"",G395-H395)</x:f>
      </x:c>
      <x:c r="J395" s="20" t="n">
        <x:f>IF(A395="",0,IF(AND(C395="pagada",NOT(ISNUMBER(H395))),1,0))</x:f>
        <x:v>0</x:v>
      </x:c>
    </x:row>
    <x:row r="396" ht="22" customHeight="1">
      <x:c r="A396" s="12"/>
      <x:c r="B396" s="10"/>
      <x:c r="C396" s="10"/>
      <x:c r="D396" s="10"/>
      <x:c r="E396" s="10"/>
      <x:c r="F396" s="10"/>
      <x:c r="G396" s="15"/>
      <x:c r="H396" s="15"/>
      <x:c r="I396" s="19" t="str">
        <x:f>IF(OR(A396="",C396&lt;&gt;"pagada",NOT(ISNUMBER(G396)),NOT(ISNUMBER(H396))),"",G396-H396)</x:f>
      </x:c>
      <x:c r="J396" s="20" t="n">
        <x:f>IF(A396="",0,IF(AND(C396="pagada",NOT(ISNUMBER(H396))),1,0))</x:f>
        <x:v>0</x:v>
      </x:c>
    </x:row>
    <x:row r="397" ht="22" customHeight="1">
      <x:c r="A397" s="12"/>
      <x:c r="B397" s="10"/>
      <x:c r="C397" s="10"/>
      <x:c r="D397" s="10"/>
      <x:c r="E397" s="10"/>
      <x:c r="F397" s="10"/>
      <x:c r="G397" s="15"/>
      <x:c r="H397" s="15"/>
      <x:c r="I397" s="19" t="str">
        <x:f>IF(OR(A397="",C397&lt;&gt;"pagada",NOT(ISNUMBER(G397)),NOT(ISNUMBER(H397))),"",G397-H397)</x:f>
      </x:c>
      <x:c r="J397" s="20" t="n">
        <x:f>IF(A397="",0,IF(AND(C397="pagada",NOT(ISNUMBER(H397))),1,0))</x:f>
        <x:v>0</x:v>
      </x:c>
    </x:row>
    <x:row r="398" ht="22" customHeight="1">
      <x:c r="A398" s="12"/>
      <x:c r="B398" s="10"/>
      <x:c r="C398" s="10"/>
      <x:c r="D398" s="10"/>
      <x:c r="E398" s="10"/>
      <x:c r="F398" s="10"/>
      <x:c r="G398" s="15"/>
      <x:c r="H398" s="15"/>
      <x:c r="I398" s="19" t="str">
        <x:f>IF(OR(A398="",C398&lt;&gt;"pagada",NOT(ISNUMBER(G398)),NOT(ISNUMBER(H398))),"",G398-H398)</x:f>
      </x:c>
      <x:c r="J398" s="20" t="n">
        <x:f>IF(A398="",0,IF(AND(C398="pagada",NOT(ISNUMBER(H398))),1,0))</x:f>
        <x:v>0</x:v>
      </x:c>
    </x:row>
    <x:row r="399" ht="22" customHeight="1">
      <x:c r="A399" s="12"/>
      <x:c r="B399" s="10"/>
      <x:c r="C399" s="10"/>
      <x:c r="D399" s="10"/>
      <x:c r="E399" s="10"/>
      <x:c r="F399" s="10"/>
      <x:c r="G399" s="15"/>
      <x:c r="H399" s="15"/>
      <x:c r="I399" s="19" t="str">
        <x:f>IF(OR(A399="",C399&lt;&gt;"pagada",NOT(ISNUMBER(G399)),NOT(ISNUMBER(H399))),"",G399-H399)</x:f>
      </x:c>
      <x:c r="J399" s="20" t="n">
        <x:f>IF(A399="",0,IF(AND(C399="pagada",NOT(ISNUMBER(H399))),1,0))</x:f>
        <x:v>0</x:v>
      </x:c>
    </x:row>
    <x:row r="400" ht="22" customHeight="1">
      <x:c r="A400" s="12"/>
      <x:c r="B400" s="10"/>
      <x:c r="C400" s="10"/>
      <x:c r="D400" s="10"/>
      <x:c r="E400" s="10"/>
      <x:c r="F400" s="10"/>
      <x:c r="G400" s="15"/>
      <x:c r="H400" s="15"/>
      <x:c r="I400" s="19" t="str">
        <x:f>IF(OR(A400="",C400&lt;&gt;"pagada",NOT(ISNUMBER(G400)),NOT(ISNUMBER(H400))),"",G400-H400)</x:f>
      </x:c>
      <x:c r="J400" s="20" t="n">
        <x:f>IF(A400="",0,IF(AND(C400="pagada",NOT(ISNUMBER(H400))),1,0))</x:f>
        <x:v>0</x:v>
      </x:c>
    </x:row>
    <x:row r="401" ht="22" customHeight="1">
      <x:c r="A401" s="12"/>
      <x:c r="B401" s="10"/>
      <x:c r="C401" s="10"/>
      <x:c r="D401" s="10"/>
      <x:c r="E401" s="10"/>
      <x:c r="F401" s="10"/>
      <x:c r="G401" s="15"/>
      <x:c r="H401" s="15"/>
      <x:c r="I401" s="19" t="str">
        <x:f>IF(OR(A401="",C401&lt;&gt;"pagada",NOT(ISNUMBER(G401)),NOT(ISNUMBER(H401))),"",G401-H401)</x:f>
      </x:c>
      <x:c r="J401" s="20" t="n">
        <x:f>IF(A401="",0,IF(AND(C401="pagada",NOT(ISNUMBER(H401))),1,0))</x:f>
        <x:v>0</x:v>
      </x:c>
    </x:row>
    <x:row r="402" ht="22" customHeight="1">
      <x:c r="A402" s="12"/>
      <x:c r="B402" s="10"/>
      <x:c r="C402" s="10"/>
      <x:c r="D402" s="10"/>
      <x:c r="E402" s="10"/>
      <x:c r="F402" s="10"/>
      <x:c r="G402" s="15"/>
      <x:c r="H402" s="15"/>
      <x:c r="I402" s="19" t="str">
        <x:f>IF(OR(A402="",C402&lt;&gt;"pagada",NOT(ISNUMBER(G402)),NOT(ISNUMBER(H402))),"",G402-H402)</x:f>
      </x:c>
      <x:c r="J402" s="20" t="n">
        <x:f>IF(A402="",0,IF(AND(C402="pagada",NOT(ISNUMBER(H402))),1,0))</x:f>
        <x:v>0</x:v>
      </x:c>
    </x:row>
    <x:row r="403" ht="22" customHeight="1">
      <x:c r="A403" s="12"/>
      <x:c r="B403" s="10"/>
      <x:c r="C403" s="10"/>
      <x:c r="D403" s="10"/>
      <x:c r="E403" s="10"/>
      <x:c r="F403" s="10"/>
      <x:c r="G403" s="15"/>
      <x:c r="H403" s="15"/>
      <x:c r="I403" s="19" t="str">
        <x:f>IF(OR(A403="",C403&lt;&gt;"pagada",NOT(ISNUMBER(G403)),NOT(ISNUMBER(H403))),"",G403-H403)</x:f>
      </x:c>
      <x:c r="J403" s="20" t="n">
        <x:f>IF(A403="",0,IF(AND(C403="pagada",NOT(ISNUMBER(H403))),1,0))</x:f>
        <x:v>0</x:v>
      </x:c>
    </x:row>
    <x:row r="404" ht="22" customHeight="1">
      <x:c r="A404" s="12"/>
      <x:c r="B404" s="10"/>
      <x:c r="C404" s="10"/>
      <x:c r="D404" s="10"/>
      <x:c r="E404" s="10"/>
      <x:c r="F404" s="10"/>
      <x:c r="G404" s="15"/>
      <x:c r="H404" s="15"/>
      <x:c r="I404" s="19" t="str">
        <x:f>IF(OR(A404="",C404&lt;&gt;"pagada",NOT(ISNUMBER(G404)),NOT(ISNUMBER(H404))),"",G404-H404)</x:f>
      </x:c>
      <x:c r="J404" s="20" t="n">
        <x:f>IF(A404="",0,IF(AND(C404="pagada",NOT(ISNUMBER(H404))),1,0))</x:f>
        <x:v>0</x:v>
      </x:c>
    </x:row>
    <x:row r="405" ht="22" customHeight="1">
      <x:c r="A405" s="12"/>
      <x:c r="B405" s="10"/>
      <x:c r="C405" s="10"/>
      <x:c r="D405" s="10"/>
      <x:c r="E405" s="10"/>
      <x:c r="F405" s="10"/>
      <x:c r="G405" s="15"/>
      <x:c r="H405" s="15"/>
      <x:c r="I405" s="19" t="str">
        <x:f>IF(OR(A405="",C405&lt;&gt;"pagada",NOT(ISNUMBER(G405)),NOT(ISNUMBER(H405))),"",G405-H405)</x:f>
      </x:c>
      <x:c r="J405" s="20" t="n">
        <x:f>IF(A405="",0,IF(AND(C405="pagada",NOT(ISNUMBER(H405))),1,0))</x:f>
        <x:v>0</x:v>
      </x:c>
    </x:row>
    <x:row r="406" ht="22" customHeight="1">
      <x:c r="A406" s="12"/>
      <x:c r="B406" s="10"/>
      <x:c r="C406" s="10"/>
      <x:c r="D406" s="10"/>
      <x:c r="E406" s="10"/>
      <x:c r="F406" s="10"/>
      <x:c r="G406" s="15"/>
      <x:c r="H406" s="15"/>
      <x:c r="I406" s="19" t="str">
        <x:f>IF(OR(A406="",C406&lt;&gt;"pagada",NOT(ISNUMBER(G406)),NOT(ISNUMBER(H406))),"",G406-H406)</x:f>
      </x:c>
      <x:c r="J406" s="20" t="n">
        <x:f>IF(A406="",0,IF(AND(C406="pagada",NOT(ISNUMBER(H406))),1,0))</x:f>
        <x:v>0</x:v>
      </x:c>
    </x:row>
    <x:row r="407" ht="22" customHeight="1">
      <x:c r="A407" s="12"/>
      <x:c r="B407" s="10"/>
      <x:c r="C407" s="10"/>
      <x:c r="D407" s="10"/>
      <x:c r="E407" s="10"/>
      <x:c r="F407" s="10"/>
      <x:c r="G407" s="15"/>
      <x:c r="H407" s="15"/>
      <x:c r="I407" s="19" t="str">
        <x:f>IF(OR(A407="",C407&lt;&gt;"pagada",NOT(ISNUMBER(G407)),NOT(ISNUMBER(H407))),"",G407-H407)</x:f>
      </x:c>
      <x:c r="J407" s="20" t="n">
        <x:f>IF(A407="",0,IF(AND(C407="pagada",NOT(ISNUMBER(H407))),1,0))</x:f>
        <x:v>0</x:v>
      </x:c>
    </x:row>
    <x:row r="408" ht="22" customHeight="1">
      <x:c r="A408" s="12"/>
      <x:c r="B408" s="10"/>
      <x:c r="C408" s="10"/>
      <x:c r="D408" s="10"/>
      <x:c r="E408" s="10"/>
      <x:c r="F408" s="10"/>
      <x:c r="G408" s="15"/>
      <x:c r="H408" s="15"/>
      <x:c r="I408" s="19" t="str">
        <x:f>IF(OR(A408="",C408&lt;&gt;"pagada",NOT(ISNUMBER(G408)),NOT(ISNUMBER(H408))),"",G408-H408)</x:f>
      </x:c>
      <x:c r="J408" s="20" t="n">
        <x:f>IF(A408="",0,IF(AND(C408="pagada",NOT(ISNUMBER(H408))),1,0))</x:f>
        <x:v>0</x:v>
      </x:c>
    </x:row>
    <x:row r="409" ht="22" customHeight="1">
      <x:c r="A409" s="12"/>
      <x:c r="B409" s="10"/>
      <x:c r="C409" s="10"/>
      <x:c r="D409" s="10"/>
      <x:c r="E409" s="10"/>
      <x:c r="F409" s="10"/>
      <x:c r="G409" s="15"/>
      <x:c r="H409" s="15"/>
      <x:c r="I409" s="19" t="str">
        <x:f>IF(OR(A409="",C409&lt;&gt;"pagada",NOT(ISNUMBER(G409)),NOT(ISNUMBER(H409))),"",G409-H409)</x:f>
      </x:c>
      <x:c r="J409" s="20" t="n">
        <x:f>IF(A409="",0,IF(AND(C409="pagada",NOT(ISNUMBER(H409))),1,0))</x:f>
        <x:v>0</x:v>
      </x:c>
    </x:row>
    <x:row r="410" ht="22" customHeight="1">
      <x:c r="A410" s="12"/>
      <x:c r="B410" s="10"/>
      <x:c r="C410" s="10"/>
      <x:c r="D410" s="10"/>
      <x:c r="E410" s="10"/>
      <x:c r="F410" s="10"/>
      <x:c r="G410" s="15"/>
      <x:c r="H410" s="15"/>
      <x:c r="I410" s="19" t="str">
        <x:f>IF(OR(A410="",C410&lt;&gt;"pagada",NOT(ISNUMBER(G410)),NOT(ISNUMBER(H410))),"",G410-H410)</x:f>
      </x:c>
      <x:c r="J410" s="20" t="n">
        <x:f>IF(A410="",0,IF(AND(C410="pagada",NOT(ISNUMBER(H410))),1,0))</x:f>
        <x:v>0</x:v>
      </x:c>
    </x:row>
    <x:row r="411" ht="22" customHeight="1">
      <x:c r="A411" s="12"/>
      <x:c r="B411" s="10"/>
      <x:c r="C411" s="10"/>
      <x:c r="D411" s="10"/>
      <x:c r="E411" s="10"/>
      <x:c r="F411" s="10"/>
      <x:c r="G411" s="15"/>
      <x:c r="H411" s="15"/>
      <x:c r="I411" s="19" t="str">
        <x:f>IF(OR(A411="",C411&lt;&gt;"pagada",NOT(ISNUMBER(G411)),NOT(ISNUMBER(H411))),"",G411-H411)</x:f>
      </x:c>
      <x:c r="J411" s="20" t="n">
        <x:f>IF(A411="",0,IF(AND(C411="pagada",NOT(ISNUMBER(H411))),1,0))</x:f>
        <x:v>0</x:v>
      </x:c>
    </x:row>
    <x:row r="412" ht="22" customHeight="1">
      <x:c r="A412" s="12"/>
      <x:c r="B412" s="10"/>
      <x:c r="C412" s="10"/>
      <x:c r="D412" s="10"/>
      <x:c r="E412" s="10"/>
      <x:c r="F412" s="10"/>
      <x:c r="G412" s="15"/>
      <x:c r="H412" s="15"/>
      <x:c r="I412" s="19" t="str">
        <x:f>IF(OR(A412="",C412&lt;&gt;"pagada",NOT(ISNUMBER(G412)),NOT(ISNUMBER(H412))),"",G412-H412)</x:f>
      </x:c>
      <x:c r="J412" s="20" t="n">
        <x:f>IF(A412="",0,IF(AND(C412="pagada",NOT(ISNUMBER(H412))),1,0))</x:f>
        <x:v>0</x:v>
      </x:c>
    </x:row>
    <x:row r="413" ht="22" customHeight="1">
      <x:c r="A413" s="12"/>
      <x:c r="B413" s="10"/>
      <x:c r="C413" s="10"/>
      <x:c r="D413" s="10"/>
      <x:c r="E413" s="10"/>
      <x:c r="F413" s="10"/>
      <x:c r="G413" s="15"/>
      <x:c r="H413" s="15"/>
      <x:c r="I413" s="19" t="str">
        <x:f>IF(OR(A413="",C413&lt;&gt;"pagada",NOT(ISNUMBER(G413)),NOT(ISNUMBER(H413))),"",G413-H413)</x:f>
      </x:c>
      <x:c r="J413" s="20" t="n">
        <x:f>IF(A413="",0,IF(AND(C413="pagada",NOT(ISNUMBER(H413))),1,0))</x:f>
        <x:v>0</x:v>
      </x:c>
    </x:row>
    <x:row r="414" ht="22" customHeight="1">
      <x:c r="A414" s="12"/>
      <x:c r="B414" s="10"/>
      <x:c r="C414" s="10"/>
      <x:c r="D414" s="10"/>
      <x:c r="E414" s="10"/>
      <x:c r="F414" s="10"/>
      <x:c r="G414" s="15"/>
      <x:c r="H414" s="15"/>
      <x:c r="I414" s="19" t="str">
        <x:f>IF(OR(A414="",C414&lt;&gt;"pagada",NOT(ISNUMBER(G414)),NOT(ISNUMBER(H414))),"",G414-H414)</x:f>
      </x:c>
      <x:c r="J414" s="20" t="n">
        <x:f>IF(A414="",0,IF(AND(C414="pagada",NOT(ISNUMBER(H414))),1,0))</x:f>
        <x:v>0</x:v>
      </x:c>
    </x:row>
    <x:row r="415" ht="22" customHeight="1">
      <x:c r="A415" s="12"/>
      <x:c r="B415" s="10"/>
      <x:c r="C415" s="10"/>
      <x:c r="D415" s="10"/>
      <x:c r="E415" s="10"/>
      <x:c r="F415" s="10"/>
      <x:c r="G415" s="15"/>
      <x:c r="H415" s="15"/>
      <x:c r="I415" s="19" t="str">
        <x:f>IF(OR(A415="",C415&lt;&gt;"pagada",NOT(ISNUMBER(G415)),NOT(ISNUMBER(H415))),"",G415-H415)</x:f>
      </x:c>
      <x:c r="J415" s="20" t="n">
        <x:f>IF(A415="",0,IF(AND(C415="pagada",NOT(ISNUMBER(H415))),1,0))</x:f>
        <x:v>0</x:v>
      </x:c>
    </x:row>
    <x:row r="416" ht="22" customHeight="1">
      <x:c r="A416" s="12"/>
      <x:c r="B416" s="10"/>
      <x:c r="C416" s="10"/>
      <x:c r="D416" s="10"/>
      <x:c r="E416" s="10"/>
      <x:c r="F416" s="10"/>
      <x:c r="G416" s="15"/>
      <x:c r="H416" s="15"/>
      <x:c r="I416" s="19" t="str">
        <x:f>IF(OR(A416="",C416&lt;&gt;"pagada",NOT(ISNUMBER(G416)),NOT(ISNUMBER(H416))),"",G416-H416)</x:f>
      </x:c>
      <x:c r="J416" s="20" t="n">
        <x:f>IF(A416="",0,IF(AND(C416="pagada",NOT(ISNUMBER(H416))),1,0))</x:f>
        <x:v>0</x:v>
      </x:c>
    </x:row>
    <x:row r="417" ht="22" customHeight="1">
      <x:c r="A417" s="12"/>
      <x:c r="B417" s="10"/>
      <x:c r="C417" s="10"/>
      <x:c r="D417" s="10"/>
      <x:c r="E417" s="10"/>
      <x:c r="F417" s="10"/>
      <x:c r="G417" s="15"/>
      <x:c r="H417" s="15"/>
      <x:c r="I417" s="19" t="str">
        <x:f>IF(OR(A417="",C417&lt;&gt;"pagada",NOT(ISNUMBER(G417)),NOT(ISNUMBER(H417))),"",G417-H417)</x:f>
      </x:c>
      <x:c r="J417" s="20" t="n">
        <x:f>IF(A417="",0,IF(AND(C417="pagada",NOT(ISNUMBER(H417))),1,0))</x:f>
        <x:v>0</x:v>
      </x:c>
    </x:row>
    <x:row r="418" ht="22" customHeight="1">
      <x:c r="A418" s="12"/>
      <x:c r="B418" s="10"/>
      <x:c r="C418" s="10"/>
      <x:c r="D418" s="10"/>
      <x:c r="E418" s="10"/>
      <x:c r="F418" s="10"/>
      <x:c r="G418" s="15"/>
      <x:c r="H418" s="15"/>
      <x:c r="I418" s="19" t="str">
        <x:f>IF(OR(A418="",C418&lt;&gt;"pagada",NOT(ISNUMBER(G418)),NOT(ISNUMBER(H418))),"",G418-H418)</x:f>
      </x:c>
      <x:c r="J418" s="20" t="n">
        <x:f>IF(A418="",0,IF(AND(C418="pagada",NOT(ISNUMBER(H418))),1,0))</x:f>
        <x:v>0</x:v>
      </x:c>
    </x:row>
    <x:row r="419" ht="22" customHeight="1">
      <x:c r="A419" s="12"/>
      <x:c r="B419" s="10"/>
      <x:c r="C419" s="10"/>
      <x:c r="D419" s="10"/>
      <x:c r="E419" s="10"/>
      <x:c r="F419" s="10"/>
      <x:c r="G419" s="15"/>
      <x:c r="H419" s="15"/>
      <x:c r="I419" s="19" t="str">
        <x:f>IF(OR(A419="",C419&lt;&gt;"pagada",NOT(ISNUMBER(G419)),NOT(ISNUMBER(H419))),"",G419-H419)</x:f>
      </x:c>
      <x:c r="J419" s="20" t="n">
        <x:f>IF(A419="",0,IF(AND(C419="pagada",NOT(ISNUMBER(H419))),1,0))</x:f>
        <x:v>0</x:v>
      </x:c>
    </x:row>
    <x:row r="420" ht="22" customHeight="1">
      <x:c r="A420" s="12"/>
      <x:c r="B420" s="10"/>
      <x:c r="C420" s="10"/>
      <x:c r="D420" s="10"/>
      <x:c r="E420" s="10"/>
      <x:c r="F420" s="10"/>
      <x:c r="G420" s="15"/>
      <x:c r="H420" s="15"/>
      <x:c r="I420" s="19" t="str">
        <x:f>IF(OR(A420="",C420&lt;&gt;"pagada",NOT(ISNUMBER(G420)),NOT(ISNUMBER(H420))),"",G420-H420)</x:f>
      </x:c>
      <x:c r="J420" s="20" t="n">
        <x:f>IF(A420="",0,IF(AND(C420="pagada",NOT(ISNUMBER(H420))),1,0))</x:f>
        <x:v>0</x:v>
      </x:c>
    </x:row>
    <x:row r="421" ht="22" customHeight="1">
      <x:c r="A421" s="12"/>
      <x:c r="B421" s="10"/>
      <x:c r="C421" s="10"/>
      <x:c r="D421" s="10"/>
      <x:c r="E421" s="10"/>
      <x:c r="F421" s="10"/>
      <x:c r="G421" s="15"/>
      <x:c r="H421" s="15"/>
      <x:c r="I421" s="19" t="str">
        <x:f>IF(OR(A421="",C421&lt;&gt;"pagada",NOT(ISNUMBER(G421)),NOT(ISNUMBER(H421))),"",G421-H421)</x:f>
      </x:c>
      <x:c r="J421" s="20" t="n">
        <x:f>IF(A421="",0,IF(AND(C421="pagada",NOT(ISNUMBER(H421))),1,0))</x:f>
        <x:v>0</x:v>
      </x:c>
    </x:row>
    <x:row r="422" ht="22" customHeight="1">
      <x:c r="A422" s="12"/>
      <x:c r="B422" s="10"/>
      <x:c r="C422" s="10"/>
      <x:c r="D422" s="10"/>
      <x:c r="E422" s="10"/>
      <x:c r="F422" s="10"/>
      <x:c r="G422" s="15"/>
      <x:c r="H422" s="15"/>
      <x:c r="I422" s="19" t="str">
        <x:f>IF(OR(A422="",C422&lt;&gt;"pagada",NOT(ISNUMBER(G422)),NOT(ISNUMBER(H422))),"",G422-H422)</x:f>
      </x:c>
      <x:c r="J422" s="20" t="n">
        <x:f>IF(A422="",0,IF(AND(C422="pagada",NOT(ISNUMBER(H422))),1,0))</x:f>
        <x:v>0</x:v>
      </x:c>
    </x:row>
    <x:row r="423" ht="22" customHeight="1">
      <x:c r="A423" s="12"/>
      <x:c r="B423" s="10"/>
      <x:c r="C423" s="10"/>
      <x:c r="D423" s="10"/>
      <x:c r="E423" s="10"/>
      <x:c r="F423" s="10"/>
      <x:c r="G423" s="15"/>
      <x:c r="H423" s="15"/>
      <x:c r="I423" s="19" t="str">
        <x:f>IF(OR(A423="",C423&lt;&gt;"pagada",NOT(ISNUMBER(G423)),NOT(ISNUMBER(H423))),"",G423-H423)</x:f>
      </x:c>
      <x:c r="J423" s="20" t="n">
        <x:f>IF(A423="",0,IF(AND(C423="pagada",NOT(ISNUMBER(H423))),1,0))</x:f>
        <x:v>0</x:v>
      </x:c>
    </x:row>
    <x:row r="424" ht="22" customHeight="1">
      <x:c r="A424" s="12"/>
      <x:c r="B424" s="10"/>
      <x:c r="C424" s="10"/>
      <x:c r="D424" s="10"/>
      <x:c r="E424" s="10"/>
      <x:c r="F424" s="10"/>
      <x:c r="G424" s="15"/>
      <x:c r="H424" s="15"/>
      <x:c r="I424" s="19" t="str">
        <x:f>IF(OR(A424="",C424&lt;&gt;"pagada",NOT(ISNUMBER(G424)),NOT(ISNUMBER(H424))),"",G424-H424)</x:f>
      </x:c>
      <x:c r="J424" s="20" t="n">
        <x:f>IF(A424="",0,IF(AND(C424="pagada",NOT(ISNUMBER(H424))),1,0))</x:f>
        <x:v>0</x:v>
      </x:c>
    </x:row>
    <x:row r="425" ht="22" customHeight="1">
      <x:c r="A425" s="12"/>
      <x:c r="B425" s="10"/>
      <x:c r="C425" s="10"/>
      <x:c r="D425" s="10"/>
      <x:c r="E425" s="10"/>
      <x:c r="F425" s="10"/>
      <x:c r="G425" s="15"/>
      <x:c r="H425" s="15"/>
      <x:c r="I425" s="19" t="str">
        <x:f>IF(OR(A425="",C425&lt;&gt;"pagada",NOT(ISNUMBER(G425)),NOT(ISNUMBER(H425))),"",G425-H425)</x:f>
      </x:c>
      <x:c r="J425" s="20" t="n">
        <x:f>IF(A425="",0,IF(AND(C425="pagada",NOT(ISNUMBER(H425))),1,0))</x:f>
        <x:v>0</x:v>
      </x:c>
    </x:row>
    <x:row r="426" ht="22" customHeight="1">
      <x:c r="A426" s="12"/>
      <x:c r="B426" s="10"/>
      <x:c r="C426" s="10"/>
      <x:c r="D426" s="10"/>
      <x:c r="E426" s="10"/>
      <x:c r="F426" s="10"/>
      <x:c r="G426" s="15"/>
      <x:c r="H426" s="15"/>
      <x:c r="I426" s="19" t="str">
        <x:f>IF(OR(A426="",C426&lt;&gt;"pagada",NOT(ISNUMBER(G426)),NOT(ISNUMBER(H426))),"",G426-H426)</x:f>
      </x:c>
      <x:c r="J426" s="20" t="n">
        <x:f>IF(A426="",0,IF(AND(C426="pagada",NOT(ISNUMBER(H426))),1,0))</x:f>
        <x:v>0</x:v>
      </x:c>
    </x:row>
    <x:row r="427" ht="22" customHeight="1">
      <x:c r="A427" s="12"/>
      <x:c r="B427" s="10"/>
      <x:c r="C427" s="10"/>
      <x:c r="D427" s="10"/>
      <x:c r="E427" s="10"/>
      <x:c r="F427" s="10"/>
      <x:c r="G427" s="15"/>
      <x:c r="H427" s="15"/>
      <x:c r="I427" s="19" t="str">
        <x:f>IF(OR(A427="",C427&lt;&gt;"pagada",NOT(ISNUMBER(G427)),NOT(ISNUMBER(H427))),"",G427-H427)</x:f>
      </x:c>
      <x:c r="J427" s="20" t="n">
        <x:f>IF(A427="",0,IF(AND(C427="pagada",NOT(ISNUMBER(H427))),1,0))</x:f>
        <x:v>0</x:v>
      </x:c>
    </x:row>
    <x:row r="428" ht="22" customHeight="1">
      <x:c r="A428" s="12"/>
      <x:c r="B428" s="10"/>
      <x:c r="C428" s="10"/>
      <x:c r="D428" s="10"/>
      <x:c r="E428" s="10"/>
      <x:c r="F428" s="10"/>
      <x:c r="G428" s="15"/>
      <x:c r="H428" s="15"/>
      <x:c r="I428" s="19" t="str">
        <x:f>IF(OR(A428="",C428&lt;&gt;"pagada",NOT(ISNUMBER(G428)),NOT(ISNUMBER(H428))),"",G428-H428)</x:f>
      </x:c>
      <x:c r="J428" s="20" t="n">
        <x:f>IF(A428="",0,IF(AND(C428="pagada",NOT(ISNUMBER(H428))),1,0))</x:f>
        <x:v>0</x:v>
      </x:c>
    </x:row>
    <x:row r="429" ht="22" customHeight="1">
      <x:c r="A429" s="12"/>
      <x:c r="B429" s="10"/>
      <x:c r="C429" s="10"/>
      <x:c r="D429" s="10"/>
      <x:c r="E429" s="10"/>
      <x:c r="F429" s="10"/>
      <x:c r="G429" s="15"/>
      <x:c r="H429" s="15"/>
      <x:c r="I429" s="19" t="str">
        <x:f>IF(OR(A429="",C429&lt;&gt;"pagada",NOT(ISNUMBER(G429)),NOT(ISNUMBER(H429))),"",G429-H429)</x:f>
      </x:c>
      <x:c r="J429" s="20" t="n">
        <x:f>IF(A429="",0,IF(AND(C429="pagada",NOT(ISNUMBER(H429))),1,0))</x:f>
        <x:v>0</x:v>
      </x:c>
    </x:row>
    <x:row r="430" ht="22" customHeight="1">
      <x:c r="A430" s="12"/>
      <x:c r="B430" s="10"/>
      <x:c r="C430" s="10"/>
      <x:c r="D430" s="10"/>
      <x:c r="E430" s="10"/>
      <x:c r="F430" s="10"/>
      <x:c r="G430" s="15"/>
      <x:c r="H430" s="15"/>
      <x:c r="I430" s="19" t="str">
        <x:f>IF(OR(A430="",C430&lt;&gt;"pagada",NOT(ISNUMBER(G430)),NOT(ISNUMBER(H430))),"",G430-H430)</x:f>
      </x:c>
      <x:c r="J430" s="20" t="n">
        <x:f>IF(A430="",0,IF(AND(C430="pagada",NOT(ISNUMBER(H430))),1,0))</x:f>
        <x:v>0</x:v>
      </x:c>
    </x:row>
    <x:row r="431" ht="22" customHeight="1">
      <x:c r="A431" s="12"/>
      <x:c r="B431" s="10"/>
      <x:c r="C431" s="10"/>
      <x:c r="D431" s="10"/>
      <x:c r="E431" s="10"/>
      <x:c r="F431" s="10"/>
      <x:c r="G431" s="15"/>
      <x:c r="H431" s="15"/>
      <x:c r="I431" s="19" t="str">
        <x:f>IF(OR(A431="",C431&lt;&gt;"pagada",NOT(ISNUMBER(G431)),NOT(ISNUMBER(H431))),"",G431-H431)</x:f>
      </x:c>
      <x:c r="J431" s="20" t="n">
        <x:f>IF(A431="",0,IF(AND(C431="pagada",NOT(ISNUMBER(H431))),1,0))</x:f>
        <x:v>0</x:v>
      </x:c>
    </x:row>
    <x:row r="432" ht="22" customHeight="1">
      <x:c r="A432" s="12"/>
      <x:c r="B432" s="10"/>
      <x:c r="C432" s="10"/>
      <x:c r="D432" s="10"/>
      <x:c r="E432" s="10"/>
      <x:c r="F432" s="10"/>
      <x:c r="G432" s="15"/>
      <x:c r="H432" s="15"/>
      <x:c r="I432" s="19" t="str">
        <x:f>IF(OR(A432="",C432&lt;&gt;"pagada",NOT(ISNUMBER(G432)),NOT(ISNUMBER(H432))),"",G432-H432)</x:f>
      </x:c>
      <x:c r="J432" s="20" t="n">
        <x:f>IF(A432="",0,IF(AND(C432="pagada",NOT(ISNUMBER(H432))),1,0))</x:f>
        <x:v>0</x:v>
      </x:c>
    </x:row>
    <x:row r="433" ht="22" customHeight="1">
      <x:c r="A433" s="12"/>
      <x:c r="B433" s="10"/>
      <x:c r="C433" s="10"/>
      <x:c r="D433" s="10"/>
      <x:c r="E433" s="10"/>
      <x:c r="F433" s="10"/>
      <x:c r="G433" s="15"/>
      <x:c r="H433" s="15"/>
      <x:c r="I433" s="19" t="str">
        <x:f>IF(OR(A433="",C433&lt;&gt;"pagada",NOT(ISNUMBER(G433)),NOT(ISNUMBER(H433))),"",G433-H433)</x:f>
      </x:c>
      <x:c r="J433" s="20" t="n">
        <x:f>IF(A433="",0,IF(AND(C433="pagada",NOT(ISNUMBER(H433))),1,0))</x:f>
        <x:v>0</x:v>
      </x:c>
    </x:row>
    <x:row r="434" ht="22" customHeight="1">
      <x:c r="A434" s="12"/>
      <x:c r="B434" s="10"/>
      <x:c r="C434" s="10"/>
      <x:c r="D434" s="10"/>
      <x:c r="E434" s="10"/>
      <x:c r="F434" s="10"/>
      <x:c r="G434" s="15"/>
      <x:c r="H434" s="15"/>
      <x:c r="I434" s="19" t="str">
        <x:f>IF(OR(A434="",C434&lt;&gt;"pagada",NOT(ISNUMBER(G434)),NOT(ISNUMBER(H434))),"",G434-H434)</x:f>
      </x:c>
      <x:c r="J434" s="20" t="n">
        <x:f>IF(A434="",0,IF(AND(C434="pagada",NOT(ISNUMBER(H434))),1,0))</x:f>
        <x:v>0</x:v>
      </x:c>
    </x:row>
    <x:row r="435" ht="22" customHeight="1">
      <x:c r="A435" s="12"/>
      <x:c r="B435" s="10"/>
      <x:c r="C435" s="10"/>
      <x:c r="D435" s="10"/>
      <x:c r="E435" s="10"/>
      <x:c r="F435" s="10"/>
      <x:c r="G435" s="15"/>
      <x:c r="H435" s="15"/>
      <x:c r="I435" s="19" t="str">
        <x:f>IF(OR(A435="",C435&lt;&gt;"pagada",NOT(ISNUMBER(G435)),NOT(ISNUMBER(H435))),"",G435-H435)</x:f>
      </x:c>
      <x:c r="J435" s="20" t="n">
        <x:f>IF(A435="",0,IF(AND(C435="pagada",NOT(ISNUMBER(H435))),1,0))</x:f>
        <x:v>0</x:v>
      </x:c>
    </x:row>
    <x:row r="436" ht="22" customHeight="1">
      <x:c r="A436" s="12"/>
      <x:c r="B436" s="10"/>
      <x:c r="C436" s="10"/>
      <x:c r="D436" s="10"/>
      <x:c r="E436" s="10"/>
      <x:c r="F436" s="10"/>
      <x:c r="G436" s="15"/>
      <x:c r="H436" s="15"/>
      <x:c r="I436" s="19" t="str">
        <x:f>IF(OR(A436="",C436&lt;&gt;"pagada",NOT(ISNUMBER(G436)),NOT(ISNUMBER(H436))),"",G436-H436)</x:f>
      </x:c>
      <x:c r="J436" s="20" t="n">
        <x:f>IF(A436="",0,IF(AND(C436="pagada",NOT(ISNUMBER(H436))),1,0))</x:f>
        <x:v>0</x:v>
      </x:c>
    </x:row>
    <x:row r="437" ht="22" customHeight="1">
      <x:c r="A437" s="12"/>
      <x:c r="B437" s="10"/>
      <x:c r="C437" s="10"/>
      <x:c r="D437" s="10"/>
      <x:c r="E437" s="10"/>
      <x:c r="F437" s="10"/>
      <x:c r="G437" s="15"/>
      <x:c r="H437" s="15"/>
      <x:c r="I437" s="19" t="str">
        <x:f>IF(OR(A437="",C437&lt;&gt;"pagada",NOT(ISNUMBER(G437)),NOT(ISNUMBER(H437))),"",G437-H437)</x:f>
      </x:c>
      <x:c r="J437" s="20" t="n">
        <x:f>IF(A437="",0,IF(AND(C437="pagada",NOT(ISNUMBER(H437))),1,0))</x:f>
        <x:v>0</x:v>
      </x:c>
    </x:row>
    <x:row r="438" ht="22" customHeight="1">
      <x:c r="A438" s="12"/>
      <x:c r="B438" s="10"/>
      <x:c r="C438" s="10"/>
      <x:c r="D438" s="10"/>
      <x:c r="E438" s="10"/>
      <x:c r="F438" s="10"/>
      <x:c r="G438" s="15"/>
      <x:c r="H438" s="15"/>
      <x:c r="I438" s="19" t="str">
        <x:f>IF(OR(A438="",C438&lt;&gt;"pagada",NOT(ISNUMBER(G438)),NOT(ISNUMBER(H438))),"",G438-H438)</x:f>
      </x:c>
      <x:c r="J438" s="20" t="n">
        <x:f>IF(A438="",0,IF(AND(C438="pagada",NOT(ISNUMBER(H438))),1,0))</x:f>
        <x:v>0</x:v>
      </x:c>
    </x:row>
    <x:row r="439" ht="22" customHeight="1">
      <x:c r="A439" s="12"/>
      <x:c r="B439" s="10"/>
      <x:c r="C439" s="10"/>
      <x:c r="D439" s="10"/>
      <x:c r="E439" s="10"/>
      <x:c r="F439" s="10"/>
      <x:c r="G439" s="15"/>
      <x:c r="H439" s="15"/>
      <x:c r="I439" s="19" t="str">
        <x:f>IF(OR(A439="",C439&lt;&gt;"pagada",NOT(ISNUMBER(G439)),NOT(ISNUMBER(H439))),"",G439-H439)</x:f>
      </x:c>
      <x:c r="J439" s="20" t="n">
        <x:f>IF(A439="",0,IF(AND(C439="pagada",NOT(ISNUMBER(H439))),1,0))</x:f>
        <x:v>0</x:v>
      </x:c>
    </x:row>
    <x:row r="440" ht="22" customHeight="1">
      <x:c r="A440" s="12"/>
      <x:c r="B440" s="10"/>
      <x:c r="C440" s="10"/>
      <x:c r="D440" s="10"/>
      <x:c r="E440" s="10"/>
      <x:c r="F440" s="10"/>
      <x:c r="G440" s="15"/>
      <x:c r="H440" s="15"/>
      <x:c r="I440" s="19" t="str">
        <x:f>IF(OR(A440="",C440&lt;&gt;"pagada",NOT(ISNUMBER(G440)),NOT(ISNUMBER(H440))),"",G440-H440)</x:f>
      </x:c>
      <x:c r="J440" s="20" t="n">
        <x:f>IF(A440="",0,IF(AND(C440="pagada",NOT(ISNUMBER(H440))),1,0))</x:f>
        <x:v>0</x:v>
      </x:c>
    </x:row>
    <x:row r="441" ht="22" customHeight="1">
      <x:c r="A441" s="12"/>
      <x:c r="B441" s="10"/>
      <x:c r="C441" s="10"/>
      <x:c r="D441" s="10"/>
      <x:c r="E441" s="10"/>
      <x:c r="F441" s="10"/>
      <x:c r="G441" s="15"/>
      <x:c r="H441" s="15"/>
      <x:c r="I441" s="19" t="str">
        <x:f>IF(OR(A441="",C441&lt;&gt;"pagada",NOT(ISNUMBER(G441)),NOT(ISNUMBER(H441))),"",G441-H441)</x:f>
      </x:c>
      <x:c r="J441" s="20" t="n">
        <x:f>IF(A441="",0,IF(AND(C441="pagada",NOT(ISNUMBER(H441))),1,0))</x:f>
        <x:v>0</x:v>
      </x:c>
    </x:row>
    <x:row r="442" ht="22" customHeight="1">
      <x:c r="A442" s="12"/>
      <x:c r="B442" s="10"/>
      <x:c r="C442" s="10"/>
      <x:c r="D442" s="10"/>
      <x:c r="E442" s="10"/>
      <x:c r="F442" s="10"/>
      <x:c r="G442" s="15"/>
      <x:c r="H442" s="15"/>
      <x:c r="I442" s="19" t="str">
        <x:f>IF(OR(A442="",C442&lt;&gt;"pagada",NOT(ISNUMBER(G442)),NOT(ISNUMBER(H442))),"",G442-H442)</x:f>
      </x:c>
      <x:c r="J442" s="20" t="n">
        <x:f>IF(A442="",0,IF(AND(C442="pagada",NOT(ISNUMBER(H442))),1,0))</x:f>
        <x:v>0</x:v>
      </x:c>
    </x:row>
    <x:row r="443" ht="22" customHeight="1">
      <x:c r="A443" s="12"/>
      <x:c r="B443" s="10"/>
      <x:c r="C443" s="10"/>
      <x:c r="D443" s="10"/>
      <x:c r="E443" s="10"/>
      <x:c r="F443" s="10"/>
      <x:c r="G443" s="15"/>
      <x:c r="H443" s="15"/>
      <x:c r="I443" s="19" t="str">
        <x:f>IF(OR(A443="",C443&lt;&gt;"pagada",NOT(ISNUMBER(G443)),NOT(ISNUMBER(H443))),"",G443-H443)</x:f>
      </x:c>
      <x:c r="J443" s="20" t="n">
        <x:f>IF(A443="",0,IF(AND(C443="pagada",NOT(ISNUMBER(H443))),1,0))</x:f>
        <x:v>0</x:v>
      </x:c>
    </x:row>
    <x:row r="444" ht="22" customHeight="1">
      <x:c r="A444" s="12"/>
      <x:c r="B444" s="10"/>
      <x:c r="C444" s="10"/>
      <x:c r="D444" s="10"/>
      <x:c r="E444" s="10"/>
      <x:c r="F444" s="10"/>
      <x:c r="G444" s="15"/>
      <x:c r="H444" s="15"/>
      <x:c r="I444" s="19" t="str">
        <x:f>IF(OR(A444="",C444&lt;&gt;"pagada",NOT(ISNUMBER(G444)),NOT(ISNUMBER(H444))),"",G444-H444)</x:f>
      </x:c>
      <x:c r="J444" s="20" t="n">
        <x:f>IF(A444="",0,IF(AND(C444="pagada",NOT(ISNUMBER(H444))),1,0))</x:f>
        <x:v>0</x:v>
      </x:c>
    </x:row>
    <x:row r="445" ht="22" customHeight="1">
      <x:c r="A445" s="12"/>
      <x:c r="B445" s="10"/>
      <x:c r="C445" s="10"/>
      <x:c r="D445" s="10"/>
      <x:c r="E445" s="10"/>
      <x:c r="F445" s="10"/>
      <x:c r="G445" s="15"/>
      <x:c r="H445" s="15"/>
      <x:c r="I445" s="19" t="str">
        <x:f>IF(OR(A445="",C445&lt;&gt;"pagada",NOT(ISNUMBER(G445)),NOT(ISNUMBER(H445))),"",G445-H445)</x:f>
      </x:c>
      <x:c r="J445" s="20" t="n">
        <x:f>IF(A445="",0,IF(AND(C445="pagada",NOT(ISNUMBER(H445))),1,0))</x:f>
        <x:v>0</x:v>
      </x:c>
    </x:row>
    <x:row r="446" ht="22" customHeight="1">
      <x:c r="A446" s="12"/>
      <x:c r="B446" s="10"/>
      <x:c r="C446" s="10"/>
      <x:c r="D446" s="10"/>
      <x:c r="E446" s="10"/>
      <x:c r="F446" s="10"/>
      <x:c r="G446" s="15"/>
      <x:c r="H446" s="15"/>
      <x:c r="I446" s="19" t="str">
        <x:f>IF(OR(A446="",C446&lt;&gt;"pagada",NOT(ISNUMBER(G446)),NOT(ISNUMBER(H446))),"",G446-H446)</x:f>
      </x:c>
      <x:c r="J446" s="20" t="n">
        <x:f>IF(A446="",0,IF(AND(C446="pagada",NOT(ISNUMBER(H446))),1,0))</x:f>
        <x:v>0</x:v>
      </x:c>
    </x:row>
    <x:row r="447" ht="22" customHeight="1">
      <x:c r="A447" s="12"/>
      <x:c r="B447" s="10"/>
      <x:c r="C447" s="10"/>
      <x:c r="D447" s="10"/>
      <x:c r="E447" s="10"/>
      <x:c r="F447" s="10"/>
      <x:c r="G447" s="15"/>
      <x:c r="H447" s="15"/>
      <x:c r="I447" s="19" t="str">
        <x:f>IF(OR(A447="",C447&lt;&gt;"pagada",NOT(ISNUMBER(G447)),NOT(ISNUMBER(H447))),"",G447-H447)</x:f>
      </x:c>
      <x:c r="J447" s="20" t="n">
        <x:f>IF(A447="",0,IF(AND(C447="pagada",NOT(ISNUMBER(H447))),1,0))</x:f>
        <x:v>0</x:v>
      </x:c>
    </x:row>
    <x:row r="448" ht="22" customHeight="1">
      <x:c r="A448" s="12"/>
      <x:c r="B448" s="10"/>
      <x:c r="C448" s="10"/>
      <x:c r="D448" s="10"/>
      <x:c r="E448" s="10"/>
      <x:c r="F448" s="10"/>
      <x:c r="G448" s="15"/>
      <x:c r="H448" s="15"/>
      <x:c r="I448" s="19" t="str">
        <x:f>IF(OR(A448="",C448&lt;&gt;"pagada",NOT(ISNUMBER(G448)),NOT(ISNUMBER(H448))),"",G448-H448)</x:f>
      </x:c>
      <x:c r="J448" s="20" t="n">
        <x:f>IF(A448="",0,IF(AND(C448="pagada",NOT(ISNUMBER(H448))),1,0))</x:f>
        <x:v>0</x:v>
      </x:c>
    </x:row>
    <x:row r="449" ht="22" customHeight="1">
      <x:c r="A449" s="12"/>
      <x:c r="B449" s="10"/>
      <x:c r="C449" s="10"/>
      <x:c r="D449" s="10"/>
      <x:c r="E449" s="10"/>
      <x:c r="F449" s="10"/>
      <x:c r="G449" s="15"/>
      <x:c r="H449" s="15"/>
      <x:c r="I449" s="19" t="str">
        <x:f>IF(OR(A449="",C449&lt;&gt;"pagada",NOT(ISNUMBER(G449)),NOT(ISNUMBER(H449))),"",G449-H449)</x:f>
      </x:c>
      <x:c r="J449" s="20" t="n">
        <x:f>IF(A449="",0,IF(AND(C449="pagada",NOT(ISNUMBER(H449))),1,0))</x:f>
        <x:v>0</x:v>
      </x:c>
    </x:row>
    <x:row r="450" ht="22" customHeight="1">
      <x:c r="A450" s="12"/>
      <x:c r="B450" s="10"/>
      <x:c r="C450" s="10"/>
      <x:c r="D450" s="10"/>
      <x:c r="E450" s="10"/>
      <x:c r="F450" s="10"/>
      <x:c r="G450" s="15"/>
      <x:c r="H450" s="15"/>
      <x:c r="I450" s="19" t="str">
        <x:f>IF(OR(A450="",C450&lt;&gt;"pagada",NOT(ISNUMBER(G450)),NOT(ISNUMBER(H450))),"",G450-H450)</x:f>
      </x:c>
      <x:c r="J450" s="20" t="n">
        <x:f>IF(A450="",0,IF(AND(C450="pagada",NOT(ISNUMBER(H450))),1,0))</x:f>
        <x:v>0</x:v>
      </x:c>
    </x:row>
    <x:row r="451" ht="22" customHeight="1">
      <x:c r="A451" s="12"/>
      <x:c r="B451" s="10"/>
      <x:c r="C451" s="10"/>
      <x:c r="D451" s="10"/>
      <x:c r="E451" s="10"/>
      <x:c r="F451" s="10"/>
      <x:c r="G451" s="15"/>
      <x:c r="H451" s="15"/>
      <x:c r="I451" s="19" t="str">
        <x:f>IF(OR(A451="",C451&lt;&gt;"pagada",NOT(ISNUMBER(G451)),NOT(ISNUMBER(H451))),"",G451-H451)</x:f>
      </x:c>
      <x:c r="J451" s="20" t="n">
        <x:f>IF(A451="",0,IF(AND(C451="pagada",NOT(ISNUMBER(H451))),1,0))</x:f>
        <x:v>0</x:v>
      </x:c>
    </x:row>
    <x:row r="452" ht="22" customHeight="1">
      <x:c r="A452" s="12"/>
      <x:c r="B452" s="10"/>
      <x:c r="C452" s="10"/>
      <x:c r="D452" s="10"/>
      <x:c r="E452" s="10"/>
      <x:c r="F452" s="10"/>
      <x:c r="G452" s="15"/>
      <x:c r="H452" s="15"/>
      <x:c r="I452" s="19" t="str">
        <x:f>IF(OR(A452="",C452&lt;&gt;"pagada",NOT(ISNUMBER(G452)),NOT(ISNUMBER(H452))),"",G452-H452)</x:f>
      </x:c>
      <x:c r="J452" s="20" t="n">
        <x:f>IF(A452="",0,IF(AND(C452="pagada",NOT(ISNUMBER(H452))),1,0))</x:f>
        <x:v>0</x:v>
      </x:c>
    </x:row>
    <x:row r="453" ht="22" customHeight="1">
      <x:c r="A453" s="12"/>
      <x:c r="B453" s="10"/>
      <x:c r="C453" s="10"/>
      <x:c r="D453" s="10"/>
      <x:c r="E453" s="10"/>
      <x:c r="F453" s="10"/>
      <x:c r="G453" s="15"/>
      <x:c r="H453" s="15"/>
      <x:c r="I453" s="19" t="str">
        <x:f>IF(OR(A453="",C453&lt;&gt;"pagada",NOT(ISNUMBER(G453)),NOT(ISNUMBER(H453))),"",G453-H453)</x:f>
      </x:c>
      <x:c r="J453" s="20" t="n">
        <x:f>IF(A453="",0,IF(AND(C453="pagada",NOT(ISNUMBER(H453))),1,0))</x:f>
        <x:v>0</x:v>
      </x:c>
    </x:row>
    <x:row r="454" ht="22" customHeight="1">
      <x:c r="A454" s="12"/>
      <x:c r="B454" s="10"/>
      <x:c r="C454" s="10"/>
      <x:c r="D454" s="10"/>
      <x:c r="E454" s="10"/>
      <x:c r="F454" s="10"/>
      <x:c r="G454" s="15"/>
      <x:c r="H454" s="15"/>
      <x:c r="I454" s="19" t="str">
        <x:f>IF(OR(A454="",C454&lt;&gt;"pagada",NOT(ISNUMBER(G454)),NOT(ISNUMBER(H454))),"",G454-H454)</x:f>
      </x:c>
      <x:c r="J454" s="20" t="n">
        <x:f>IF(A454="",0,IF(AND(C454="pagada",NOT(ISNUMBER(H454))),1,0))</x:f>
        <x:v>0</x:v>
      </x:c>
    </x:row>
    <x:row r="455" ht="22" customHeight="1">
      <x:c r="A455" s="12"/>
      <x:c r="B455" s="10"/>
      <x:c r="C455" s="10"/>
      <x:c r="D455" s="10"/>
      <x:c r="E455" s="10"/>
      <x:c r="F455" s="10"/>
      <x:c r="G455" s="15"/>
      <x:c r="H455" s="15"/>
      <x:c r="I455" s="19" t="str">
        <x:f>IF(OR(A455="",C455&lt;&gt;"pagada",NOT(ISNUMBER(G455)),NOT(ISNUMBER(H455))),"",G455-H455)</x:f>
      </x:c>
      <x:c r="J455" s="20" t="n">
        <x:f>IF(A455="",0,IF(AND(C455="pagada",NOT(ISNUMBER(H455))),1,0))</x:f>
        <x:v>0</x:v>
      </x:c>
    </x:row>
    <x:row r="456" ht="22" customHeight="1">
      <x:c r="A456" s="12"/>
      <x:c r="B456" s="10"/>
      <x:c r="C456" s="10"/>
      <x:c r="D456" s="10"/>
      <x:c r="E456" s="10"/>
      <x:c r="F456" s="10"/>
      <x:c r="G456" s="15"/>
      <x:c r="H456" s="15"/>
      <x:c r="I456" s="19" t="str">
        <x:f>IF(OR(A456="",C456&lt;&gt;"pagada",NOT(ISNUMBER(G456)),NOT(ISNUMBER(H456))),"",G456-H456)</x:f>
      </x:c>
      <x:c r="J456" s="20" t="n">
        <x:f>IF(A456="",0,IF(AND(C456="pagada",NOT(ISNUMBER(H456))),1,0))</x:f>
        <x:v>0</x:v>
      </x:c>
    </x:row>
    <x:row r="457" ht="22" customHeight="1">
      <x:c r="A457" s="12"/>
      <x:c r="B457" s="10"/>
      <x:c r="C457" s="10"/>
      <x:c r="D457" s="10"/>
      <x:c r="E457" s="10"/>
      <x:c r="F457" s="10"/>
      <x:c r="G457" s="15"/>
      <x:c r="H457" s="15"/>
      <x:c r="I457" s="19" t="str">
        <x:f>IF(OR(A457="",C457&lt;&gt;"pagada",NOT(ISNUMBER(G457)),NOT(ISNUMBER(H457))),"",G457-H457)</x:f>
      </x:c>
      <x:c r="J457" s="20" t="n">
        <x:f>IF(A457="",0,IF(AND(C457="pagada",NOT(ISNUMBER(H457))),1,0))</x:f>
        <x:v>0</x:v>
      </x:c>
    </x:row>
    <x:row r="458" ht="22" customHeight="1">
      <x:c r="A458" s="12"/>
      <x:c r="B458" s="10"/>
      <x:c r="C458" s="10"/>
      <x:c r="D458" s="10"/>
      <x:c r="E458" s="10"/>
      <x:c r="F458" s="10"/>
      <x:c r="G458" s="15"/>
      <x:c r="H458" s="15"/>
      <x:c r="I458" s="19" t="str">
        <x:f>IF(OR(A458="",C458&lt;&gt;"pagada",NOT(ISNUMBER(G458)),NOT(ISNUMBER(H458))),"",G458-H458)</x:f>
      </x:c>
      <x:c r="J458" s="20" t="n">
        <x:f>IF(A458="",0,IF(AND(C458="pagada",NOT(ISNUMBER(H458))),1,0))</x:f>
        <x:v>0</x:v>
      </x:c>
    </x:row>
    <x:row r="459" ht="22" customHeight="1">
      <x:c r="A459" s="12"/>
      <x:c r="B459" s="10"/>
      <x:c r="C459" s="10"/>
      <x:c r="D459" s="10"/>
      <x:c r="E459" s="10"/>
      <x:c r="F459" s="10"/>
      <x:c r="G459" s="15"/>
      <x:c r="H459" s="15"/>
      <x:c r="I459" s="19" t="str">
        <x:f>IF(OR(A459="",C459&lt;&gt;"pagada",NOT(ISNUMBER(G459)),NOT(ISNUMBER(H459))),"",G459-H459)</x:f>
      </x:c>
      <x:c r="J459" s="20" t="n">
        <x:f>IF(A459="",0,IF(AND(C459="pagada",NOT(ISNUMBER(H459))),1,0))</x:f>
        <x:v>0</x:v>
      </x:c>
    </x:row>
    <x:row r="460" ht="22" customHeight="1">
      <x:c r="A460" s="12"/>
      <x:c r="B460" s="10"/>
      <x:c r="C460" s="10"/>
      <x:c r="D460" s="10"/>
      <x:c r="E460" s="10"/>
      <x:c r="F460" s="10"/>
      <x:c r="G460" s="15"/>
      <x:c r="H460" s="15"/>
      <x:c r="I460" s="19" t="str">
        <x:f>IF(OR(A460="",C460&lt;&gt;"pagada",NOT(ISNUMBER(G460)),NOT(ISNUMBER(H460))),"",G460-H460)</x:f>
      </x:c>
      <x:c r="J460" s="20" t="n">
        <x:f>IF(A460="",0,IF(AND(C460="pagada",NOT(ISNUMBER(H460))),1,0))</x:f>
        <x:v>0</x:v>
      </x:c>
    </x:row>
    <x:row r="461" ht="22" customHeight="1">
      <x:c r="A461" s="12"/>
      <x:c r="B461" s="10"/>
      <x:c r="C461" s="10"/>
      <x:c r="D461" s="10"/>
      <x:c r="E461" s="10"/>
      <x:c r="F461" s="10"/>
      <x:c r="G461" s="15"/>
      <x:c r="H461" s="15"/>
      <x:c r="I461" s="19" t="str">
        <x:f>IF(OR(A461="",C461&lt;&gt;"pagada",NOT(ISNUMBER(G461)),NOT(ISNUMBER(H461))),"",G461-H461)</x:f>
      </x:c>
      <x:c r="J461" s="20" t="n">
        <x:f>IF(A461="",0,IF(AND(C461="pagada",NOT(ISNUMBER(H461))),1,0))</x:f>
        <x:v>0</x:v>
      </x:c>
    </x:row>
    <x:row r="462" ht="22" customHeight="1">
      <x:c r="A462" s="12"/>
      <x:c r="B462" s="10"/>
      <x:c r="C462" s="10"/>
      <x:c r="D462" s="10"/>
      <x:c r="E462" s="10"/>
      <x:c r="F462" s="10"/>
      <x:c r="G462" s="15"/>
      <x:c r="H462" s="15"/>
      <x:c r="I462" s="19" t="str">
        <x:f>IF(OR(A462="",C462&lt;&gt;"pagada",NOT(ISNUMBER(G462)),NOT(ISNUMBER(H462))),"",G462-H462)</x:f>
      </x:c>
      <x:c r="J462" s="20" t="n">
        <x:f>IF(A462="",0,IF(AND(C462="pagada",NOT(ISNUMBER(H462))),1,0))</x:f>
        <x:v>0</x:v>
      </x:c>
    </x:row>
    <x:row r="463" ht="22" customHeight="1">
      <x:c r="A463" s="12"/>
      <x:c r="B463" s="10"/>
      <x:c r="C463" s="10"/>
      <x:c r="D463" s="10"/>
      <x:c r="E463" s="10"/>
      <x:c r="F463" s="10"/>
      <x:c r="G463" s="15"/>
      <x:c r="H463" s="15"/>
      <x:c r="I463" s="19" t="str">
        <x:f>IF(OR(A463="",C463&lt;&gt;"pagada",NOT(ISNUMBER(G463)),NOT(ISNUMBER(H463))),"",G463-H463)</x:f>
      </x:c>
      <x:c r="J463" s="20" t="n">
        <x:f>IF(A463="",0,IF(AND(C463="pagada",NOT(ISNUMBER(H463))),1,0))</x:f>
        <x:v>0</x:v>
      </x:c>
    </x:row>
    <x:row r="464" ht="22" customHeight="1">
      <x:c r="A464" s="12"/>
      <x:c r="B464" s="10"/>
      <x:c r="C464" s="10"/>
      <x:c r="D464" s="10"/>
      <x:c r="E464" s="10"/>
      <x:c r="F464" s="10"/>
      <x:c r="G464" s="15"/>
      <x:c r="H464" s="15"/>
      <x:c r="I464" s="19" t="str">
        <x:f>IF(OR(A464="",C464&lt;&gt;"pagada",NOT(ISNUMBER(G464)),NOT(ISNUMBER(H464))),"",G464-H464)</x:f>
      </x:c>
      <x:c r="J464" s="20" t="n">
        <x:f>IF(A464="",0,IF(AND(C464="pagada",NOT(ISNUMBER(H464))),1,0))</x:f>
        <x:v>0</x:v>
      </x:c>
    </x:row>
    <x:row r="465" ht="22" customHeight="1">
      <x:c r="A465" s="12"/>
      <x:c r="B465" s="10"/>
      <x:c r="C465" s="10"/>
      <x:c r="D465" s="10"/>
      <x:c r="E465" s="10"/>
      <x:c r="F465" s="10"/>
      <x:c r="G465" s="15"/>
      <x:c r="H465" s="15"/>
      <x:c r="I465" s="19" t="str">
        <x:f>IF(OR(A465="",C465&lt;&gt;"pagada",NOT(ISNUMBER(G465)),NOT(ISNUMBER(H465))),"",G465-H465)</x:f>
      </x:c>
      <x:c r="J465" s="20" t="n">
        <x:f>IF(A465="",0,IF(AND(C465="pagada",NOT(ISNUMBER(H465))),1,0))</x:f>
        <x:v>0</x:v>
      </x:c>
    </x:row>
    <x:row r="466" ht="22" customHeight="1">
      <x:c r="A466" s="12"/>
      <x:c r="B466" s="10"/>
      <x:c r="C466" s="10"/>
      <x:c r="D466" s="10"/>
      <x:c r="E466" s="10"/>
      <x:c r="F466" s="10"/>
      <x:c r="G466" s="15"/>
      <x:c r="H466" s="15"/>
      <x:c r="I466" s="19" t="str">
        <x:f>IF(OR(A466="",C466&lt;&gt;"pagada",NOT(ISNUMBER(G466)),NOT(ISNUMBER(H466))),"",G466-H466)</x:f>
      </x:c>
      <x:c r="J466" s="20" t="n">
        <x:f>IF(A466="",0,IF(AND(C466="pagada",NOT(ISNUMBER(H466))),1,0))</x:f>
        <x:v>0</x:v>
      </x:c>
    </x:row>
    <x:row r="467" ht="22" customHeight="1">
      <x:c r="A467" s="12"/>
      <x:c r="B467" s="10"/>
      <x:c r="C467" s="10"/>
      <x:c r="D467" s="10"/>
      <x:c r="E467" s="10"/>
      <x:c r="F467" s="10"/>
      <x:c r="G467" s="15"/>
      <x:c r="H467" s="15"/>
      <x:c r="I467" s="19" t="str">
        <x:f>IF(OR(A467="",C467&lt;&gt;"pagada",NOT(ISNUMBER(G467)),NOT(ISNUMBER(H467))),"",G467-H467)</x:f>
      </x:c>
      <x:c r="J467" s="20" t="n">
        <x:f>IF(A467="",0,IF(AND(C467="pagada",NOT(ISNUMBER(H467))),1,0))</x:f>
        <x:v>0</x:v>
      </x:c>
    </x:row>
    <x:row r="468" ht="22" customHeight="1">
      <x:c r="A468" s="12"/>
      <x:c r="B468" s="10"/>
      <x:c r="C468" s="10"/>
      <x:c r="D468" s="10"/>
      <x:c r="E468" s="10"/>
      <x:c r="F468" s="10"/>
      <x:c r="G468" s="15"/>
      <x:c r="H468" s="15"/>
      <x:c r="I468" s="19" t="str">
        <x:f>IF(OR(A468="",C468&lt;&gt;"pagada",NOT(ISNUMBER(G468)),NOT(ISNUMBER(H468))),"",G468-H468)</x:f>
      </x:c>
      <x:c r="J468" s="20" t="n">
        <x:f>IF(A468="",0,IF(AND(C468="pagada",NOT(ISNUMBER(H468))),1,0))</x:f>
        <x:v>0</x:v>
      </x:c>
    </x:row>
    <x:row r="469" ht="22" customHeight="1">
      <x:c r="A469" s="12"/>
      <x:c r="B469" s="10"/>
      <x:c r="C469" s="10"/>
      <x:c r="D469" s="10"/>
      <x:c r="E469" s="10"/>
      <x:c r="F469" s="10"/>
      <x:c r="G469" s="15"/>
      <x:c r="H469" s="15"/>
      <x:c r="I469" s="19" t="str">
        <x:f>IF(OR(A469="",C469&lt;&gt;"pagada",NOT(ISNUMBER(G469)),NOT(ISNUMBER(H469))),"",G469-H469)</x:f>
      </x:c>
      <x:c r="J469" s="20" t="n">
        <x:f>IF(A469="",0,IF(AND(C469="pagada",NOT(ISNUMBER(H469))),1,0))</x:f>
        <x:v>0</x:v>
      </x:c>
    </x:row>
    <x:row r="470" ht="22" customHeight="1">
      <x:c r="A470" s="12"/>
      <x:c r="B470" s="10"/>
      <x:c r="C470" s="10"/>
      <x:c r="D470" s="10"/>
      <x:c r="E470" s="10"/>
      <x:c r="F470" s="10"/>
      <x:c r="G470" s="15"/>
      <x:c r="H470" s="15"/>
      <x:c r="I470" s="19" t="str">
        <x:f>IF(OR(A470="",C470&lt;&gt;"pagada",NOT(ISNUMBER(G470)),NOT(ISNUMBER(H470))),"",G470-H470)</x:f>
      </x:c>
      <x:c r="J470" s="20" t="n">
        <x:f>IF(A470="",0,IF(AND(C470="pagada",NOT(ISNUMBER(H470))),1,0))</x:f>
        <x:v>0</x:v>
      </x:c>
    </x:row>
    <x:row r="471" ht="22" customHeight="1">
      <x:c r="A471" s="12"/>
      <x:c r="B471" s="10"/>
      <x:c r="C471" s="10"/>
      <x:c r="D471" s="10"/>
      <x:c r="E471" s="10"/>
      <x:c r="F471" s="10"/>
      <x:c r="G471" s="15"/>
      <x:c r="H471" s="15"/>
      <x:c r="I471" s="19" t="str">
        <x:f>IF(OR(A471="",C471&lt;&gt;"pagada",NOT(ISNUMBER(G471)),NOT(ISNUMBER(H471))),"",G471-H471)</x:f>
      </x:c>
      <x:c r="J471" s="20" t="n">
        <x:f>IF(A471="",0,IF(AND(C471="pagada",NOT(ISNUMBER(H471))),1,0))</x:f>
        <x:v>0</x:v>
      </x:c>
    </x:row>
    <x:row r="472" ht="22" customHeight="1">
      <x:c r="A472" s="12"/>
      <x:c r="B472" s="10"/>
      <x:c r="C472" s="10"/>
      <x:c r="D472" s="10"/>
      <x:c r="E472" s="10"/>
      <x:c r="F472" s="10"/>
      <x:c r="G472" s="15"/>
      <x:c r="H472" s="15"/>
      <x:c r="I472" s="19" t="str">
        <x:f>IF(OR(A472="",C472&lt;&gt;"pagada",NOT(ISNUMBER(G472)),NOT(ISNUMBER(H472))),"",G472-H472)</x:f>
      </x:c>
      <x:c r="J472" s="20" t="n">
        <x:f>IF(A472="",0,IF(AND(C472="pagada",NOT(ISNUMBER(H472))),1,0))</x:f>
        <x:v>0</x:v>
      </x:c>
    </x:row>
    <x:row r="473" ht="22" customHeight="1">
      <x:c r="A473" s="12"/>
      <x:c r="B473" s="10"/>
      <x:c r="C473" s="10"/>
      <x:c r="D473" s="10"/>
      <x:c r="E473" s="10"/>
      <x:c r="F473" s="10"/>
      <x:c r="G473" s="15"/>
      <x:c r="H473" s="15"/>
      <x:c r="I473" s="19" t="str">
        <x:f>IF(OR(A473="",C473&lt;&gt;"pagada",NOT(ISNUMBER(G473)),NOT(ISNUMBER(H473))),"",G473-H473)</x:f>
      </x:c>
      <x:c r="J473" s="20" t="n">
        <x:f>IF(A473="",0,IF(AND(C473="pagada",NOT(ISNUMBER(H473))),1,0))</x:f>
        <x:v>0</x:v>
      </x:c>
    </x:row>
    <x:row r="474" ht="22" customHeight="1">
      <x:c r="A474" s="12"/>
      <x:c r="B474" s="10"/>
      <x:c r="C474" s="10"/>
      <x:c r="D474" s="10"/>
      <x:c r="E474" s="10"/>
      <x:c r="F474" s="10"/>
      <x:c r="G474" s="15"/>
      <x:c r="H474" s="15"/>
      <x:c r="I474" s="19" t="str">
        <x:f>IF(OR(A474="",C474&lt;&gt;"pagada",NOT(ISNUMBER(G474)),NOT(ISNUMBER(H474))),"",G474-H474)</x:f>
      </x:c>
      <x:c r="J474" s="20" t="n">
        <x:f>IF(A474="",0,IF(AND(C474="pagada",NOT(ISNUMBER(H474))),1,0))</x:f>
        <x:v>0</x:v>
      </x:c>
    </x:row>
    <x:row r="475" ht="22" customHeight="1">
      <x:c r="A475" s="12"/>
      <x:c r="B475" s="10"/>
      <x:c r="C475" s="10"/>
      <x:c r="D475" s="10"/>
      <x:c r="E475" s="10"/>
      <x:c r="F475" s="10"/>
      <x:c r="G475" s="15"/>
      <x:c r="H475" s="15"/>
      <x:c r="I475" s="19" t="str">
        <x:f>IF(OR(A475="",C475&lt;&gt;"pagada",NOT(ISNUMBER(G475)),NOT(ISNUMBER(H475))),"",G475-H475)</x:f>
      </x:c>
      <x:c r="J475" s="20" t="n">
        <x:f>IF(A475="",0,IF(AND(C475="pagada",NOT(ISNUMBER(H475))),1,0))</x:f>
        <x:v>0</x:v>
      </x:c>
    </x:row>
    <x:row r="476" ht="22" customHeight="1">
      <x:c r="A476" s="12"/>
      <x:c r="B476" s="10"/>
      <x:c r="C476" s="10"/>
      <x:c r="D476" s="10"/>
      <x:c r="E476" s="10"/>
      <x:c r="F476" s="10"/>
      <x:c r="G476" s="15"/>
      <x:c r="H476" s="15"/>
      <x:c r="I476" s="19" t="str">
        <x:f>IF(OR(A476="",C476&lt;&gt;"pagada",NOT(ISNUMBER(G476)),NOT(ISNUMBER(H476))),"",G476-H476)</x:f>
      </x:c>
      <x:c r="J476" s="20" t="n">
        <x:f>IF(A476="",0,IF(AND(C476="pagada",NOT(ISNUMBER(H476))),1,0))</x:f>
        <x:v>0</x:v>
      </x:c>
    </x:row>
    <x:row r="477" ht="22" customHeight="1">
      <x:c r="A477" s="12"/>
      <x:c r="B477" s="10"/>
      <x:c r="C477" s="10"/>
      <x:c r="D477" s="10"/>
      <x:c r="E477" s="10"/>
      <x:c r="F477" s="10"/>
      <x:c r="G477" s="15"/>
      <x:c r="H477" s="15"/>
      <x:c r="I477" s="19" t="str">
        <x:f>IF(OR(A477="",C477&lt;&gt;"pagada",NOT(ISNUMBER(G477)),NOT(ISNUMBER(H477))),"",G477-H477)</x:f>
      </x:c>
      <x:c r="J477" s="20" t="n">
        <x:f>IF(A477="",0,IF(AND(C477="pagada",NOT(ISNUMBER(H477))),1,0))</x:f>
        <x:v>0</x:v>
      </x:c>
    </x:row>
    <x:row r="478" ht="22" customHeight="1">
      <x:c r="A478" s="12"/>
      <x:c r="B478" s="10"/>
      <x:c r="C478" s="10"/>
      <x:c r="D478" s="10"/>
      <x:c r="E478" s="10"/>
      <x:c r="F478" s="10"/>
      <x:c r="G478" s="15"/>
      <x:c r="H478" s="15"/>
      <x:c r="I478" s="19" t="str">
        <x:f>IF(OR(A478="",C478&lt;&gt;"pagada",NOT(ISNUMBER(G478)),NOT(ISNUMBER(H478))),"",G478-H478)</x:f>
      </x:c>
      <x:c r="J478" s="20" t="n">
        <x:f>IF(A478="",0,IF(AND(C478="pagada",NOT(ISNUMBER(H478))),1,0))</x:f>
        <x:v>0</x:v>
      </x:c>
    </x:row>
    <x:row r="479" ht="22" customHeight="1">
      <x:c r="A479" s="12"/>
      <x:c r="B479" s="10"/>
      <x:c r="C479" s="10"/>
      <x:c r="D479" s="10"/>
      <x:c r="E479" s="10"/>
      <x:c r="F479" s="10"/>
      <x:c r="G479" s="15"/>
      <x:c r="H479" s="15"/>
      <x:c r="I479" s="19" t="str">
        <x:f>IF(OR(A479="",C479&lt;&gt;"pagada",NOT(ISNUMBER(G479)),NOT(ISNUMBER(H479))),"",G479-H479)</x:f>
      </x:c>
      <x:c r="J479" s="20" t="n">
        <x:f>IF(A479="",0,IF(AND(C479="pagada",NOT(ISNUMBER(H479))),1,0))</x:f>
        <x:v>0</x:v>
      </x:c>
    </x:row>
    <x:row r="480" ht="22" customHeight="1">
      <x:c r="A480" s="12"/>
      <x:c r="B480" s="10"/>
      <x:c r="C480" s="10"/>
      <x:c r="D480" s="10"/>
      <x:c r="E480" s="10"/>
      <x:c r="F480" s="10"/>
      <x:c r="G480" s="15"/>
      <x:c r="H480" s="15"/>
      <x:c r="I480" s="19" t="str">
        <x:f>IF(OR(A480="",C480&lt;&gt;"pagada",NOT(ISNUMBER(G480)),NOT(ISNUMBER(H480))),"",G480-H480)</x:f>
      </x:c>
      <x:c r="J480" s="20" t="n">
        <x:f>IF(A480="",0,IF(AND(C480="pagada",NOT(ISNUMBER(H480))),1,0))</x:f>
        <x:v>0</x:v>
      </x:c>
    </x:row>
    <x:row r="481" ht="22" customHeight="1">
      <x:c r="A481" s="12"/>
      <x:c r="B481" s="10"/>
      <x:c r="C481" s="10"/>
      <x:c r="D481" s="10"/>
      <x:c r="E481" s="10"/>
      <x:c r="F481" s="10"/>
      <x:c r="G481" s="15"/>
      <x:c r="H481" s="15"/>
      <x:c r="I481" s="19" t="str">
        <x:f>IF(OR(A481="",C481&lt;&gt;"pagada",NOT(ISNUMBER(G481)),NOT(ISNUMBER(H481))),"",G481-H481)</x:f>
      </x:c>
      <x:c r="J481" s="20" t="n">
        <x:f>IF(A481="",0,IF(AND(C481="pagada",NOT(ISNUMBER(H481))),1,0))</x:f>
        <x:v>0</x:v>
      </x:c>
    </x:row>
    <x:row r="482" ht="22" customHeight="1">
      <x:c r="A482" s="12"/>
      <x:c r="B482" s="10"/>
      <x:c r="C482" s="10"/>
      <x:c r="D482" s="10"/>
      <x:c r="E482" s="10"/>
      <x:c r="F482" s="10"/>
      <x:c r="G482" s="15"/>
      <x:c r="H482" s="15"/>
      <x:c r="I482" s="19" t="str">
        <x:f>IF(OR(A482="",C482&lt;&gt;"pagada",NOT(ISNUMBER(G482)),NOT(ISNUMBER(H482))),"",G482-H482)</x:f>
      </x:c>
      <x:c r="J482" s="20" t="n">
        <x:f>IF(A482="",0,IF(AND(C482="pagada",NOT(ISNUMBER(H482))),1,0))</x:f>
        <x:v>0</x:v>
      </x:c>
    </x:row>
    <x:row r="483" ht="22" customHeight="1">
      <x:c r="A483" s="12"/>
      <x:c r="B483" s="10"/>
      <x:c r="C483" s="10"/>
      <x:c r="D483" s="10"/>
      <x:c r="E483" s="10"/>
      <x:c r="F483" s="10"/>
      <x:c r="G483" s="15"/>
      <x:c r="H483" s="15"/>
      <x:c r="I483" s="19" t="str">
        <x:f>IF(OR(A483="",C483&lt;&gt;"pagada",NOT(ISNUMBER(G483)),NOT(ISNUMBER(H483))),"",G483-H483)</x:f>
      </x:c>
      <x:c r="J483" s="20" t="n">
        <x:f>IF(A483="",0,IF(AND(C483="pagada",NOT(ISNUMBER(H483))),1,0))</x:f>
        <x:v>0</x:v>
      </x:c>
    </x:row>
    <x:row r="484" ht="22" customHeight="1">
      <x:c r="A484" s="12"/>
      <x:c r="B484" s="10"/>
      <x:c r="C484" s="10"/>
      <x:c r="D484" s="10"/>
      <x:c r="E484" s="10"/>
      <x:c r="F484" s="10"/>
      <x:c r="G484" s="15"/>
      <x:c r="H484" s="15"/>
      <x:c r="I484" s="19" t="str">
        <x:f>IF(OR(A484="",C484&lt;&gt;"pagada",NOT(ISNUMBER(G484)),NOT(ISNUMBER(H484))),"",G484-H484)</x:f>
      </x:c>
      <x:c r="J484" s="20" t="n">
        <x:f>IF(A484="",0,IF(AND(C484="pagada",NOT(ISNUMBER(H484))),1,0))</x:f>
        <x:v>0</x:v>
      </x:c>
    </x:row>
    <x:row r="485" ht="22" customHeight="1">
      <x:c r="A485" s="12"/>
      <x:c r="B485" s="10"/>
      <x:c r="C485" s="10"/>
      <x:c r="D485" s="10"/>
      <x:c r="E485" s="10"/>
      <x:c r="F485" s="10"/>
      <x:c r="G485" s="15"/>
      <x:c r="H485" s="15"/>
      <x:c r="I485" s="19" t="str">
        <x:f>IF(OR(A485="",C485&lt;&gt;"pagada",NOT(ISNUMBER(G485)),NOT(ISNUMBER(H485))),"",G485-H485)</x:f>
      </x:c>
      <x:c r="J485" s="20" t="n">
        <x:f>IF(A485="",0,IF(AND(C485="pagada",NOT(ISNUMBER(H485))),1,0))</x:f>
        <x:v>0</x:v>
      </x:c>
    </x:row>
    <x:row r="486" ht="22" customHeight="1">
      <x:c r="A486" s="12"/>
      <x:c r="B486" s="10"/>
      <x:c r="C486" s="10"/>
      <x:c r="D486" s="10"/>
      <x:c r="E486" s="10"/>
      <x:c r="F486" s="10"/>
      <x:c r="G486" s="15"/>
      <x:c r="H486" s="15"/>
      <x:c r="I486" s="19" t="str">
        <x:f>IF(OR(A486="",C486&lt;&gt;"pagada",NOT(ISNUMBER(G486)),NOT(ISNUMBER(H486))),"",G486-H486)</x:f>
      </x:c>
      <x:c r="J486" s="20" t="n">
        <x:f>IF(A486="",0,IF(AND(C486="pagada",NOT(ISNUMBER(H486))),1,0))</x:f>
        <x:v>0</x:v>
      </x:c>
    </x:row>
    <x:row r="487" ht="22" customHeight="1">
      <x:c r="A487" s="12"/>
      <x:c r="B487" s="10"/>
      <x:c r="C487" s="10"/>
      <x:c r="D487" s="10"/>
      <x:c r="E487" s="10"/>
      <x:c r="F487" s="10"/>
      <x:c r="G487" s="15"/>
      <x:c r="H487" s="15"/>
      <x:c r="I487" s="19" t="str">
        <x:f>IF(OR(A487="",C487&lt;&gt;"pagada",NOT(ISNUMBER(G487)),NOT(ISNUMBER(H487))),"",G487-H487)</x:f>
      </x:c>
      <x:c r="J487" s="20" t="n">
        <x:f>IF(A487="",0,IF(AND(C487="pagada",NOT(ISNUMBER(H487))),1,0))</x:f>
        <x:v>0</x:v>
      </x:c>
    </x:row>
    <x:row r="488" ht="22" customHeight="1">
      <x:c r="A488" s="12"/>
      <x:c r="B488" s="10"/>
      <x:c r="C488" s="10"/>
      <x:c r="D488" s="10"/>
      <x:c r="E488" s="10"/>
      <x:c r="F488" s="10"/>
      <x:c r="G488" s="15"/>
      <x:c r="H488" s="15"/>
      <x:c r="I488" s="19" t="str">
        <x:f>IF(OR(A488="",C488&lt;&gt;"pagada",NOT(ISNUMBER(G488)),NOT(ISNUMBER(H488))),"",G488-H488)</x:f>
      </x:c>
      <x:c r="J488" s="20" t="n">
        <x:f>IF(A488="",0,IF(AND(C488="pagada",NOT(ISNUMBER(H488))),1,0))</x:f>
        <x:v>0</x:v>
      </x:c>
    </x:row>
    <x:row r="489" ht="22" customHeight="1">
      <x:c r="A489" s="12"/>
      <x:c r="B489" s="10"/>
      <x:c r="C489" s="10"/>
      <x:c r="D489" s="10"/>
      <x:c r="E489" s="10"/>
      <x:c r="F489" s="10"/>
      <x:c r="G489" s="15"/>
      <x:c r="H489" s="15"/>
      <x:c r="I489" s="19" t="str">
        <x:f>IF(OR(A489="",C489&lt;&gt;"pagada",NOT(ISNUMBER(G489)),NOT(ISNUMBER(H489))),"",G489-H489)</x:f>
      </x:c>
      <x:c r="J489" s="20" t="n">
        <x:f>IF(A489="",0,IF(AND(C489="pagada",NOT(ISNUMBER(H489))),1,0))</x:f>
        <x:v>0</x:v>
      </x:c>
    </x:row>
    <x:row r="490" ht="22" customHeight="1">
      <x:c r="A490" s="12"/>
      <x:c r="B490" s="10"/>
      <x:c r="C490" s="10"/>
      <x:c r="D490" s="10"/>
      <x:c r="E490" s="10"/>
      <x:c r="F490" s="10"/>
      <x:c r="G490" s="15"/>
      <x:c r="H490" s="15"/>
      <x:c r="I490" s="19" t="str">
        <x:f>IF(OR(A490="",C490&lt;&gt;"pagada",NOT(ISNUMBER(G490)),NOT(ISNUMBER(H490))),"",G490-H490)</x:f>
      </x:c>
      <x:c r="J490" s="20" t="n">
        <x:f>IF(A490="",0,IF(AND(C490="pagada",NOT(ISNUMBER(H490))),1,0))</x:f>
        <x:v>0</x:v>
      </x:c>
    </x:row>
    <x:row r="491" ht="22" customHeight="1">
      <x:c r="A491" s="12"/>
      <x:c r="B491" s="10"/>
      <x:c r="C491" s="10"/>
      <x:c r="D491" s="10"/>
      <x:c r="E491" s="10"/>
      <x:c r="F491" s="10"/>
      <x:c r="G491" s="15"/>
      <x:c r="H491" s="15"/>
      <x:c r="I491" s="19" t="str">
        <x:f>IF(OR(A491="",C491&lt;&gt;"pagada",NOT(ISNUMBER(G491)),NOT(ISNUMBER(H491))),"",G491-H491)</x:f>
      </x:c>
      <x:c r="J491" s="20" t="n">
        <x:f>IF(A491="",0,IF(AND(C491="pagada",NOT(ISNUMBER(H491))),1,0))</x:f>
        <x:v>0</x:v>
      </x:c>
    </x:row>
    <x:row r="492" ht="22" customHeight="1">
      <x:c r="A492" s="12"/>
      <x:c r="B492" s="10"/>
      <x:c r="C492" s="10"/>
      <x:c r="D492" s="10"/>
      <x:c r="E492" s="10"/>
      <x:c r="F492" s="10"/>
      <x:c r="G492" s="15"/>
      <x:c r="H492" s="15"/>
      <x:c r="I492" s="19" t="str">
        <x:f>IF(OR(A492="",C492&lt;&gt;"pagada",NOT(ISNUMBER(G492)),NOT(ISNUMBER(H492))),"",G492-H492)</x:f>
      </x:c>
      <x:c r="J492" s="20" t="n">
        <x:f>IF(A492="",0,IF(AND(C492="pagada",NOT(ISNUMBER(H492))),1,0))</x:f>
        <x:v>0</x:v>
      </x:c>
    </x:row>
    <x:row r="493" ht="22" customHeight="1">
      <x:c r="A493" s="12"/>
      <x:c r="B493" s="10"/>
      <x:c r="C493" s="10"/>
      <x:c r="D493" s="10"/>
      <x:c r="E493" s="10"/>
      <x:c r="F493" s="10"/>
      <x:c r="G493" s="15"/>
      <x:c r="H493" s="15"/>
      <x:c r="I493" s="19" t="str">
        <x:f>IF(OR(A493="",C493&lt;&gt;"pagada",NOT(ISNUMBER(G493)),NOT(ISNUMBER(H493))),"",G493-H493)</x:f>
      </x:c>
      <x:c r="J493" s="20" t="n">
        <x:f>IF(A493="",0,IF(AND(C493="pagada",NOT(ISNUMBER(H493))),1,0))</x:f>
        <x:v>0</x:v>
      </x:c>
    </x:row>
    <x:row r="494" ht="22" customHeight="1">
      <x:c r="A494" s="12"/>
      <x:c r="B494" s="10"/>
      <x:c r="C494" s="10"/>
      <x:c r="D494" s="10"/>
      <x:c r="E494" s="10"/>
      <x:c r="F494" s="10"/>
      <x:c r="G494" s="15"/>
      <x:c r="H494" s="15"/>
      <x:c r="I494" s="19" t="str">
        <x:f>IF(OR(A494="",C494&lt;&gt;"pagada",NOT(ISNUMBER(G494)),NOT(ISNUMBER(H494))),"",G494-H494)</x:f>
      </x:c>
      <x:c r="J494" s="20" t="n">
        <x:f>IF(A494="",0,IF(AND(C494="pagada",NOT(ISNUMBER(H494))),1,0))</x:f>
        <x:v>0</x:v>
      </x:c>
    </x:row>
    <x:row r="495" ht="22" customHeight="1">
      <x:c r="A495" s="12"/>
      <x:c r="B495" s="10"/>
      <x:c r="C495" s="10"/>
      <x:c r="D495" s="10"/>
      <x:c r="E495" s="10"/>
      <x:c r="F495" s="10"/>
      <x:c r="G495" s="15"/>
      <x:c r="H495" s="15"/>
      <x:c r="I495" s="19" t="str">
        <x:f>IF(OR(A495="",C495&lt;&gt;"pagada",NOT(ISNUMBER(G495)),NOT(ISNUMBER(H495))),"",G495-H495)</x:f>
      </x:c>
      <x:c r="J495" s="20" t="n">
        <x:f>IF(A495="",0,IF(AND(C495="pagada",NOT(ISNUMBER(H495))),1,0))</x:f>
        <x:v>0</x:v>
      </x:c>
    </x:row>
    <x:row r="496" ht="22" customHeight="1">
      <x:c r="A496" s="12"/>
      <x:c r="B496" s="10"/>
      <x:c r="C496" s="10"/>
      <x:c r="D496" s="10"/>
      <x:c r="E496" s="10"/>
      <x:c r="F496" s="10"/>
      <x:c r="G496" s="15"/>
      <x:c r="H496" s="15"/>
      <x:c r="I496" s="19" t="str">
        <x:f>IF(OR(A496="",C496&lt;&gt;"pagada",NOT(ISNUMBER(G496)),NOT(ISNUMBER(H496))),"",G496-H496)</x:f>
      </x:c>
      <x:c r="J496" s="20" t="n">
        <x:f>IF(A496="",0,IF(AND(C496="pagada",NOT(ISNUMBER(H496))),1,0))</x:f>
        <x:v>0</x:v>
      </x:c>
    </x:row>
    <x:row r="497" ht="22" customHeight="1">
      <x:c r="A497" s="12"/>
      <x:c r="B497" s="10"/>
      <x:c r="C497" s="10"/>
      <x:c r="D497" s="10"/>
      <x:c r="E497" s="10"/>
      <x:c r="F497" s="10"/>
      <x:c r="G497" s="15"/>
      <x:c r="H497" s="15"/>
      <x:c r="I497" s="19" t="str">
        <x:f>IF(OR(A497="",C497&lt;&gt;"pagada",NOT(ISNUMBER(G497)),NOT(ISNUMBER(H497))),"",G497-H497)</x:f>
      </x:c>
      <x:c r="J497" s="20" t="n">
        <x:f>IF(A497="",0,IF(AND(C497="pagada",NOT(ISNUMBER(H497))),1,0))</x:f>
        <x:v>0</x:v>
      </x:c>
    </x:row>
    <x:row r="498" ht="22" customHeight="1">
      <x:c r="A498" s="12"/>
      <x:c r="B498" s="10"/>
      <x:c r="C498" s="10"/>
      <x:c r="D498" s="10"/>
      <x:c r="E498" s="10"/>
      <x:c r="F498" s="10"/>
      <x:c r="G498" s="15"/>
      <x:c r="H498" s="15"/>
      <x:c r="I498" s="19" t="str">
        <x:f>IF(OR(A498="",C498&lt;&gt;"pagada",NOT(ISNUMBER(G498)),NOT(ISNUMBER(H498))),"",G498-H498)</x:f>
      </x:c>
      <x:c r="J498" s="20" t="n">
        <x:f>IF(A498="",0,IF(AND(C498="pagada",NOT(ISNUMBER(H498))),1,0))</x:f>
        <x:v>0</x:v>
      </x:c>
    </x:row>
    <x:row r="499" ht="22" customHeight="1">
      <x:c r="A499" s="12"/>
      <x:c r="B499" s="10"/>
      <x:c r="C499" s="10"/>
      <x:c r="D499" s="10"/>
      <x:c r="E499" s="10"/>
      <x:c r="F499" s="10"/>
      <x:c r="G499" s="15"/>
      <x:c r="H499" s="15"/>
      <x:c r="I499" s="19" t="str">
        <x:f>IF(OR(A499="",C499&lt;&gt;"pagada",NOT(ISNUMBER(G499)),NOT(ISNUMBER(H499))),"",G499-H499)</x:f>
      </x:c>
      <x:c r="J499" s="20" t="n">
        <x:f>IF(A499="",0,IF(AND(C499="pagada",NOT(ISNUMBER(H499))),1,0))</x:f>
        <x:v>0</x:v>
      </x:c>
    </x:row>
    <x:row r="500" ht="22" customHeight="1">
      <x:c r="A500" s="12"/>
      <x:c r="B500" s="10"/>
      <x:c r="C500" s="10"/>
      <x:c r="D500" s="10"/>
      <x:c r="E500" s="10"/>
      <x:c r="F500" s="10"/>
      <x:c r="G500" s="15"/>
      <x:c r="H500" s="15"/>
      <x:c r="I500" s="19" t="str">
        <x:f>IF(OR(A500="",C500&lt;&gt;"pagada",NOT(ISNUMBER(G500)),NOT(ISNUMBER(H500))),"",G500-H500)</x:f>
      </x:c>
      <x:c r="J500" s="20" t="n">
        <x:f>IF(A500="",0,IF(AND(C500="pagada",NOT(ISNUMBER(H500))),1,0))</x:f>
        <x:v>0</x:v>
      </x:c>
    </x:row>
    <x:row r="501" ht="22" customHeight="1">
      <x:c r="A501" s="12"/>
      <x:c r="B501" s="10"/>
      <x:c r="C501" s="10"/>
      <x:c r="D501" s="10"/>
      <x:c r="E501" s="10"/>
      <x:c r="F501" s="10"/>
      <x:c r="G501" s="15"/>
      <x:c r="H501" s="15"/>
      <x:c r="I501" s="19" t="str">
        <x:f>IF(OR(A501="",C501&lt;&gt;"pagada",NOT(ISNUMBER(G501)),NOT(ISNUMBER(H501))),"",G501-H501)</x:f>
      </x:c>
      <x:c r="J501" s="20" t="n">
        <x:f>IF(A501="",0,IF(AND(C501="pagada",NOT(ISNUMBER(H501))),1,0))</x:f>
        <x:v>0</x:v>
      </x:c>
    </x:row>
    <x:row r="502" ht="22" customHeight="1">
      <x:c r="A502" s="12"/>
      <x:c r="B502" s="10"/>
      <x:c r="C502" s="10"/>
      <x:c r="D502" s="10"/>
      <x:c r="E502" s="10"/>
      <x:c r="F502" s="10"/>
      <x:c r="G502" s="15"/>
      <x:c r="H502" s="15"/>
      <x:c r="I502" s="19" t="str">
        <x:f>IF(OR(A502="",C502&lt;&gt;"pagada",NOT(ISNUMBER(G502)),NOT(ISNUMBER(H502))),"",G502-H502)</x:f>
      </x:c>
      <x:c r="J502" s="20" t="n">
        <x:f>IF(A502="",0,IF(AND(C502="pagada",NOT(ISNUMBER(H502))),1,0))</x:f>
        <x:v>0</x:v>
      </x:c>
    </x:row>
    <x:row r="503" ht="22" customHeight="1">
      <x:c r="A503" s="12"/>
      <x:c r="B503" s="10"/>
      <x:c r="C503" s="10"/>
      <x:c r="D503" s="10"/>
      <x:c r="E503" s="10"/>
      <x:c r="F503" s="10"/>
      <x:c r="G503" s="15"/>
      <x:c r="H503" s="15"/>
      <x:c r="I503" s="19" t="str">
        <x:f>IF(OR(A503="",C503&lt;&gt;"pagada",NOT(ISNUMBER(G503)),NOT(ISNUMBER(H503))),"",G503-H503)</x:f>
      </x:c>
      <x:c r="J503" s="20" t="n">
        <x:f>IF(A503="",0,IF(AND(C503="pagada",NOT(ISNUMBER(H503))),1,0))</x:f>
        <x:v>0</x:v>
      </x:c>
    </x:row>
    <x:row r="504" ht="22" customHeight="1">
      <x:c r="A504" s="12"/>
      <x:c r="B504" s="10"/>
      <x:c r="C504" s="10"/>
      <x:c r="D504" s="10"/>
      <x:c r="E504" s="10"/>
      <x:c r="F504" s="10"/>
      <x:c r="G504" s="15"/>
      <x:c r="H504" s="15"/>
      <x:c r="I504" s="19" t="str">
        <x:f>IF(OR(A504="",C504&lt;&gt;"pagada",NOT(ISNUMBER(G504)),NOT(ISNUMBER(H504))),"",G504-H504)</x:f>
      </x:c>
      <x:c r="J504" s="20" t="n">
        <x:f>IF(A504="",0,IF(AND(C504="pagada",NOT(ISNUMBER(H504))),1,0))</x:f>
        <x:v>0</x:v>
      </x:c>
    </x:row>
    <x:row r="505" ht="22" customHeight="1">
      <x:c r="A505" s="12"/>
      <x:c r="B505" s="10"/>
      <x:c r="C505" s="10"/>
      <x:c r="D505" s="10"/>
      <x:c r="E505" s="10"/>
      <x:c r="F505" s="10"/>
      <x:c r="G505" s="15"/>
      <x:c r="H505" s="15"/>
      <x:c r="I505" s="19" t="str">
        <x:f>IF(OR(A505="",C505&lt;&gt;"pagada",NOT(ISNUMBER(G505)),NOT(ISNUMBER(H505))),"",G505-H505)</x:f>
      </x:c>
      <x:c r="J505" s="20" t="n">
        <x:f>IF(A505="",0,IF(AND(C505="pagada",NOT(ISNUMBER(H505))),1,0))</x:f>
        <x:v>0</x:v>
      </x:c>
    </x:row>
    <x:row r="506" ht="22" customHeight="1">
      <x:c r="A506" s="12"/>
      <x:c r="B506" s="10"/>
      <x:c r="C506" s="10"/>
      <x:c r="D506" s="10"/>
      <x:c r="E506" s="10"/>
      <x:c r="F506" s="10"/>
      <x:c r="G506" s="15"/>
      <x:c r="H506" s="15"/>
      <x:c r="I506" s="19" t="str">
        <x:f>IF(OR(A506="",C506&lt;&gt;"pagada",NOT(ISNUMBER(G506)),NOT(ISNUMBER(H506))),"",G506-H506)</x:f>
      </x:c>
      <x:c r="J506" s="20" t="n">
        <x:f>IF(A506="",0,IF(AND(C506="pagada",NOT(ISNUMBER(H506))),1,0))</x:f>
        <x:v>0</x:v>
      </x:c>
    </x:row>
  </x:sheetData>
  <x:mergeCells>
    <x:mergeCell ref="A4:K4"/>
  </x:mergeCells>
  <x:conditionalFormatting sqref="J7:J506">
    <x:cfRule type="cellIs" dxfId="0" priority="1" operator="greaterThan">
      <x:formula>0</x:formula>
    </x:cfRule>
  </x:conditionalFormatting>
  <x:dataValidations count="2">
    <x:dataValidation type="list" sqref="C7:C506">
      <x:formula1>"pagada,anulada"</x:formula1>
    </x:dataValidation>
    <x:dataValidation type="list" sqref="F7:F506">
      <x:formula1>"efectivo,transferencia,otro"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ba8e2192cf4b5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36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Gastos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5" t="str">
        <x:v>Incluye solo gastos operativos reales. No uses esta hoja para compras de inventario, préstamos ni traslados entre cuentas.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4" customHeight="1">
      <x:c r="A6" s="8" t="str">
        <x:v>Fecha</x:v>
      </x:c>
      <x:c r="B6" s="8" t="str">
        <x:v>Referencia</x:v>
      </x:c>
      <x:c r="C6" s="8" t="str">
        <x:v>Concepto</x:v>
      </x:c>
      <x:c r="D6" s="8" t="str">
        <x:v>Medio de pago</x:v>
      </x:c>
      <x:c r="E6" s="8" t="str">
        <x:v>Valor COP</x:v>
      </x:c>
      <x:c r="F6" s="8" t="str">
        <x:v>Soporte o nota</x:v>
      </x:c>
    </x:row>
    <x:row r="7" ht="22" customHeight="1">
      <x:c r="A7" s="11"/>
      <x:c r="B7" s="9"/>
      <x:c r="C7" s="9"/>
      <x:c r="D7" s="9"/>
      <x:c r="E7" s="13"/>
      <x:c r="F7" s="9"/>
    </x:row>
    <x:row r="8" ht="22" customHeight="1">
      <x:c r="A8" s="11"/>
      <x:c r="B8" s="9"/>
      <x:c r="C8" s="9"/>
      <x:c r="D8" s="9"/>
      <x:c r="E8" s="13"/>
      <x:c r="F8" s="9"/>
    </x:row>
    <x:row r="9" ht="22" customHeight="1">
      <x:c r="A9" s="11"/>
      <x:c r="B9" s="9"/>
      <x:c r="C9" s="9"/>
      <x:c r="D9" s="9"/>
      <x:c r="E9" s="13"/>
      <x:c r="F9" s="9"/>
    </x:row>
    <x:row r="10" ht="22" customHeight="1">
      <x:c r="A10" s="11"/>
      <x:c r="B10" s="9"/>
      <x:c r="C10" s="9"/>
      <x:c r="D10" s="9"/>
      <x:c r="E10" s="13"/>
      <x:c r="F10" s="9"/>
    </x:row>
    <x:row r="11" ht="22" customHeight="1">
      <x:c r="A11" s="11"/>
      <x:c r="B11" s="9"/>
      <x:c r="C11" s="9"/>
      <x:c r="D11" s="9"/>
      <x:c r="E11" s="13"/>
      <x:c r="F11" s="9"/>
    </x:row>
    <x:row r="12" ht="22" customHeight="1">
      <x:c r="A12" s="11"/>
      <x:c r="B12" s="9"/>
      <x:c r="C12" s="9"/>
      <x:c r="D12" s="9"/>
      <x:c r="E12" s="13"/>
      <x:c r="F12" s="9"/>
    </x:row>
    <x:row r="13" ht="22" customHeight="1">
      <x:c r="A13" s="11"/>
      <x:c r="B13" s="9"/>
      <x:c r="C13" s="9"/>
      <x:c r="D13" s="9"/>
      <x:c r="E13" s="13"/>
      <x:c r="F13" s="9"/>
    </x:row>
    <x:row r="14" ht="22" customHeight="1">
      <x:c r="A14" s="11"/>
      <x:c r="B14" s="9"/>
      <x:c r="C14" s="9"/>
      <x:c r="D14" s="9"/>
      <x:c r="E14" s="13"/>
      <x:c r="F14" s="9"/>
    </x:row>
    <x:row r="15" ht="22" customHeight="1">
      <x:c r="A15" s="11"/>
      <x:c r="B15" s="9"/>
      <x:c r="C15" s="9"/>
      <x:c r="D15" s="9"/>
      <x:c r="E15" s="13"/>
      <x:c r="F15" s="9"/>
    </x:row>
    <x:row r="16" ht="22" customHeight="1">
      <x:c r="A16" s="11"/>
      <x:c r="B16" s="9"/>
      <x:c r="C16" s="9"/>
      <x:c r="D16" s="9"/>
      <x:c r="E16" s="13"/>
      <x:c r="F16" s="9"/>
    </x:row>
    <x:row r="17" ht="22" customHeight="1">
      <x:c r="A17" s="11"/>
      <x:c r="B17" s="9"/>
      <x:c r="C17" s="9"/>
      <x:c r="D17" s="9"/>
      <x:c r="E17" s="13"/>
      <x:c r="F17" s="9"/>
    </x:row>
    <x:row r="18" ht="22" customHeight="1">
      <x:c r="A18" s="11"/>
      <x:c r="B18" s="9"/>
      <x:c r="C18" s="9"/>
      <x:c r="D18" s="9"/>
      <x:c r="E18" s="13"/>
      <x:c r="F18" s="9"/>
    </x:row>
    <x:row r="19" ht="22" customHeight="1">
      <x:c r="A19" s="11"/>
      <x:c r="B19" s="9"/>
      <x:c r="C19" s="9"/>
      <x:c r="D19" s="9"/>
      <x:c r="E19" s="13"/>
      <x:c r="F19" s="9"/>
    </x:row>
    <x:row r="20" ht="22" customHeight="1">
      <x:c r="A20" s="11"/>
      <x:c r="B20" s="9"/>
      <x:c r="C20" s="9"/>
      <x:c r="D20" s="9"/>
      <x:c r="E20" s="13"/>
      <x:c r="F20" s="9"/>
    </x:row>
    <x:row r="21" ht="22" customHeight="1">
      <x:c r="A21" s="11"/>
      <x:c r="B21" s="9"/>
      <x:c r="C21" s="9"/>
      <x:c r="D21" s="9"/>
      <x:c r="E21" s="13"/>
      <x:c r="F21" s="9"/>
    </x:row>
    <x:row r="22" ht="22" customHeight="1">
      <x:c r="A22" s="11"/>
      <x:c r="B22" s="9"/>
      <x:c r="C22" s="9"/>
      <x:c r="D22" s="9"/>
      <x:c r="E22" s="13"/>
      <x:c r="F22" s="9"/>
    </x:row>
    <x:row r="23" ht="22" customHeight="1">
      <x:c r="A23" s="11"/>
      <x:c r="B23" s="9"/>
      <x:c r="C23" s="9"/>
      <x:c r="D23" s="9"/>
      <x:c r="E23" s="13"/>
      <x:c r="F23" s="9"/>
    </x:row>
    <x:row r="24" ht="22" customHeight="1">
      <x:c r="A24" s="11"/>
      <x:c r="B24" s="9"/>
      <x:c r="C24" s="9"/>
      <x:c r="D24" s="9"/>
      <x:c r="E24" s="13"/>
      <x:c r="F24" s="9"/>
    </x:row>
    <x:row r="25" ht="22" customHeight="1">
      <x:c r="A25" s="11"/>
      <x:c r="B25" s="9"/>
      <x:c r="C25" s="9"/>
      <x:c r="D25" s="9"/>
      <x:c r="E25" s="13"/>
      <x:c r="F25" s="9"/>
    </x:row>
    <x:row r="26" ht="22" customHeight="1">
      <x:c r="A26" s="11"/>
      <x:c r="B26" s="9"/>
      <x:c r="C26" s="9"/>
      <x:c r="D26" s="9"/>
      <x:c r="E26" s="13"/>
      <x:c r="F26" s="9"/>
    </x:row>
    <x:row r="27" ht="22" customHeight="1">
      <x:c r="A27" s="11"/>
      <x:c r="B27" s="9"/>
      <x:c r="C27" s="9"/>
      <x:c r="D27" s="9"/>
      <x:c r="E27" s="13"/>
      <x:c r="F27" s="9"/>
    </x:row>
    <x:row r="28" ht="22" customHeight="1">
      <x:c r="A28" s="11"/>
      <x:c r="B28" s="9"/>
      <x:c r="C28" s="9"/>
      <x:c r="D28" s="9"/>
      <x:c r="E28" s="13"/>
      <x:c r="F28" s="9"/>
    </x:row>
    <x:row r="29" ht="22" customHeight="1">
      <x:c r="A29" s="11"/>
      <x:c r="B29" s="9"/>
      <x:c r="C29" s="9"/>
      <x:c r="D29" s="9"/>
      <x:c r="E29" s="13"/>
      <x:c r="F29" s="9"/>
    </x:row>
    <x:row r="30" ht="22" customHeight="1">
      <x:c r="A30" s="11"/>
      <x:c r="B30" s="9"/>
      <x:c r="C30" s="9"/>
      <x:c r="D30" s="9"/>
      <x:c r="E30" s="13"/>
      <x:c r="F30" s="9"/>
    </x:row>
    <x:row r="31" ht="22" customHeight="1">
      <x:c r="A31" s="11"/>
      <x:c r="B31" s="9"/>
      <x:c r="C31" s="9"/>
      <x:c r="D31" s="9"/>
      <x:c r="E31" s="13"/>
      <x:c r="F31" s="9"/>
    </x:row>
    <x:row r="32" ht="22" customHeight="1">
      <x:c r="A32" s="11"/>
      <x:c r="B32" s="9"/>
      <x:c r="C32" s="9"/>
      <x:c r="D32" s="9"/>
      <x:c r="E32" s="13"/>
      <x:c r="F32" s="9"/>
    </x:row>
    <x:row r="33" ht="22" customHeight="1">
      <x:c r="A33" s="11"/>
      <x:c r="B33" s="9"/>
      <x:c r="C33" s="9"/>
      <x:c r="D33" s="9"/>
      <x:c r="E33" s="13"/>
      <x:c r="F33" s="9"/>
    </x:row>
    <x:row r="34" ht="22" customHeight="1">
      <x:c r="A34" s="11"/>
      <x:c r="B34" s="9"/>
      <x:c r="C34" s="9"/>
      <x:c r="D34" s="9"/>
      <x:c r="E34" s="13"/>
      <x:c r="F34" s="9"/>
    </x:row>
    <x:row r="35" ht="22" customHeight="1">
      <x:c r="A35" s="11"/>
      <x:c r="B35" s="9"/>
      <x:c r="C35" s="9"/>
      <x:c r="D35" s="9"/>
      <x:c r="E35" s="13"/>
      <x:c r="F35" s="9"/>
    </x:row>
    <x:row r="36" ht="22" customHeight="1">
      <x:c r="A36" s="11"/>
      <x:c r="B36" s="9"/>
      <x:c r="C36" s="9"/>
      <x:c r="D36" s="9"/>
      <x:c r="E36" s="13"/>
      <x:c r="F36" s="9"/>
    </x:row>
    <x:row r="37" ht="22" customHeight="1">
      <x:c r="A37" s="11"/>
      <x:c r="B37" s="9"/>
      <x:c r="C37" s="9"/>
      <x:c r="D37" s="9"/>
      <x:c r="E37" s="13"/>
      <x:c r="F37" s="9"/>
    </x:row>
    <x:row r="38" ht="22" customHeight="1">
      <x:c r="A38" s="11"/>
      <x:c r="B38" s="9"/>
      <x:c r="C38" s="9"/>
      <x:c r="D38" s="9"/>
      <x:c r="E38" s="13"/>
      <x:c r="F38" s="9"/>
    </x:row>
    <x:row r="39" ht="22" customHeight="1">
      <x:c r="A39" s="11"/>
      <x:c r="B39" s="9"/>
      <x:c r="C39" s="9"/>
      <x:c r="D39" s="9"/>
      <x:c r="E39" s="13"/>
      <x:c r="F39" s="9"/>
    </x:row>
    <x:row r="40" ht="22" customHeight="1">
      <x:c r="A40" s="11"/>
      <x:c r="B40" s="9"/>
      <x:c r="C40" s="9"/>
      <x:c r="D40" s="9"/>
      <x:c r="E40" s="13"/>
      <x:c r="F40" s="9"/>
    </x:row>
    <x:row r="41" ht="22" customHeight="1">
      <x:c r="A41" s="11"/>
      <x:c r="B41" s="9"/>
      <x:c r="C41" s="9"/>
      <x:c r="D41" s="9"/>
      <x:c r="E41" s="13"/>
      <x:c r="F41" s="9"/>
    </x:row>
    <x:row r="42" ht="22" customHeight="1">
      <x:c r="A42" s="11"/>
      <x:c r="B42" s="9"/>
      <x:c r="C42" s="9"/>
      <x:c r="D42" s="9"/>
      <x:c r="E42" s="13"/>
      <x:c r="F42" s="9"/>
    </x:row>
    <x:row r="43" ht="22" customHeight="1">
      <x:c r="A43" s="11"/>
      <x:c r="B43" s="9"/>
      <x:c r="C43" s="9"/>
      <x:c r="D43" s="9"/>
      <x:c r="E43" s="13"/>
      <x:c r="F43" s="9"/>
    </x:row>
    <x:row r="44" ht="22" customHeight="1">
      <x:c r="A44" s="11"/>
      <x:c r="B44" s="9"/>
      <x:c r="C44" s="9"/>
      <x:c r="D44" s="9"/>
      <x:c r="E44" s="13"/>
      <x:c r="F44" s="9"/>
    </x:row>
    <x:row r="45" ht="22" customHeight="1">
      <x:c r="A45" s="11"/>
      <x:c r="B45" s="9"/>
      <x:c r="C45" s="9"/>
      <x:c r="D45" s="9"/>
      <x:c r="E45" s="13"/>
      <x:c r="F45" s="9"/>
    </x:row>
    <x:row r="46" ht="22" customHeight="1">
      <x:c r="A46" s="11"/>
      <x:c r="B46" s="9"/>
      <x:c r="C46" s="9"/>
      <x:c r="D46" s="9"/>
      <x:c r="E46" s="13"/>
      <x:c r="F46" s="9"/>
    </x:row>
    <x:row r="47" ht="22" customHeight="1">
      <x:c r="A47" s="11"/>
      <x:c r="B47" s="9"/>
      <x:c r="C47" s="9"/>
      <x:c r="D47" s="9"/>
      <x:c r="E47" s="13"/>
      <x:c r="F47" s="9"/>
    </x:row>
    <x:row r="48" ht="22" customHeight="1">
      <x:c r="A48" s="11"/>
      <x:c r="B48" s="9"/>
      <x:c r="C48" s="9"/>
      <x:c r="D48" s="9"/>
      <x:c r="E48" s="13"/>
      <x:c r="F48" s="9"/>
    </x:row>
    <x:row r="49" ht="22" customHeight="1">
      <x:c r="A49" s="11"/>
      <x:c r="B49" s="9"/>
      <x:c r="C49" s="9"/>
      <x:c r="D49" s="9"/>
      <x:c r="E49" s="13"/>
      <x:c r="F49" s="9"/>
    </x:row>
    <x:row r="50" ht="22" customHeight="1">
      <x:c r="A50" s="11"/>
      <x:c r="B50" s="9"/>
      <x:c r="C50" s="9"/>
      <x:c r="D50" s="9"/>
      <x:c r="E50" s="13"/>
      <x:c r="F50" s="9"/>
    </x:row>
    <x:row r="51" ht="22" customHeight="1">
      <x:c r="A51" s="11"/>
      <x:c r="B51" s="9"/>
      <x:c r="C51" s="9"/>
      <x:c r="D51" s="9"/>
      <x:c r="E51" s="13"/>
      <x:c r="F51" s="9"/>
    </x:row>
    <x:row r="52" ht="22" customHeight="1">
      <x:c r="A52" s="11"/>
      <x:c r="B52" s="9"/>
      <x:c r="C52" s="9"/>
      <x:c r="D52" s="9"/>
      <x:c r="E52" s="13"/>
      <x:c r="F52" s="9"/>
    </x:row>
    <x:row r="53" ht="22" customHeight="1">
      <x:c r="A53" s="11"/>
      <x:c r="B53" s="9"/>
      <x:c r="C53" s="9"/>
      <x:c r="D53" s="9"/>
      <x:c r="E53" s="13"/>
      <x:c r="F53" s="9"/>
    </x:row>
    <x:row r="54" ht="22" customHeight="1">
      <x:c r="A54" s="11"/>
      <x:c r="B54" s="9"/>
      <x:c r="C54" s="9"/>
      <x:c r="D54" s="9"/>
      <x:c r="E54" s="13"/>
      <x:c r="F54" s="9"/>
    </x:row>
    <x:row r="55" ht="22" customHeight="1">
      <x:c r="A55" s="11"/>
      <x:c r="B55" s="9"/>
      <x:c r="C55" s="9"/>
      <x:c r="D55" s="9"/>
      <x:c r="E55" s="13"/>
      <x:c r="F55" s="9"/>
    </x:row>
    <x:row r="56" ht="22" customHeight="1">
      <x:c r="A56" s="11"/>
      <x:c r="B56" s="9"/>
      <x:c r="C56" s="9"/>
      <x:c r="D56" s="9"/>
      <x:c r="E56" s="13"/>
      <x:c r="F56" s="9"/>
    </x:row>
    <x:row r="57" ht="22" customHeight="1">
      <x:c r="A57" s="11"/>
      <x:c r="B57" s="9"/>
      <x:c r="C57" s="9"/>
      <x:c r="D57" s="9"/>
      <x:c r="E57" s="13"/>
      <x:c r="F57" s="9"/>
    </x:row>
    <x:row r="58" ht="22" customHeight="1">
      <x:c r="A58" s="11"/>
      <x:c r="B58" s="9"/>
      <x:c r="C58" s="9"/>
      <x:c r="D58" s="9"/>
      <x:c r="E58" s="13"/>
      <x:c r="F58" s="9"/>
    </x:row>
    <x:row r="59" ht="22" customHeight="1">
      <x:c r="A59" s="11"/>
      <x:c r="B59" s="9"/>
      <x:c r="C59" s="9"/>
      <x:c r="D59" s="9"/>
      <x:c r="E59" s="13"/>
      <x:c r="F59" s="9"/>
    </x:row>
    <x:row r="60" ht="22" customHeight="1">
      <x:c r="A60" s="11"/>
      <x:c r="B60" s="9"/>
      <x:c r="C60" s="9"/>
      <x:c r="D60" s="9"/>
      <x:c r="E60" s="13"/>
      <x:c r="F60" s="9"/>
    </x:row>
    <x:row r="61" ht="22" customHeight="1">
      <x:c r="A61" s="12"/>
      <x:c r="B61" s="10"/>
      <x:c r="C61" s="10"/>
      <x:c r="D61" s="10"/>
      <x:c r="E61" s="15"/>
      <x:c r="F61" s="10"/>
    </x:row>
    <x:row r="62" ht="22" customHeight="1">
      <x:c r="A62" s="12"/>
      <x:c r="B62" s="10"/>
      <x:c r="C62" s="10"/>
      <x:c r="D62" s="10"/>
      <x:c r="E62" s="15"/>
      <x:c r="F62" s="10"/>
    </x:row>
    <x:row r="63" ht="22" customHeight="1">
      <x:c r="A63" s="12"/>
      <x:c r="B63" s="10"/>
      <x:c r="C63" s="10"/>
      <x:c r="D63" s="10"/>
      <x:c r="E63" s="15"/>
      <x:c r="F63" s="10"/>
    </x:row>
    <x:row r="64" ht="22" customHeight="1">
      <x:c r="A64" s="12"/>
      <x:c r="B64" s="10"/>
      <x:c r="C64" s="10"/>
      <x:c r="D64" s="10"/>
      <x:c r="E64" s="15"/>
      <x:c r="F64" s="10"/>
    </x:row>
    <x:row r="65" ht="22" customHeight="1">
      <x:c r="A65" s="12"/>
      <x:c r="B65" s="10"/>
      <x:c r="C65" s="10"/>
      <x:c r="D65" s="10"/>
      <x:c r="E65" s="15"/>
      <x:c r="F65" s="10"/>
    </x:row>
    <x:row r="66" ht="22" customHeight="1">
      <x:c r="A66" s="12"/>
      <x:c r="B66" s="10"/>
      <x:c r="C66" s="10"/>
      <x:c r="D66" s="10"/>
      <x:c r="E66" s="15"/>
      <x:c r="F66" s="10"/>
    </x:row>
    <x:row r="67" ht="22" customHeight="1">
      <x:c r="A67" s="12"/>
      <x:c r="B67" s="10"/>
      <x:c r="C67" s="10"/>
      <x:c r="D67" s="10"/>
      <x:c r="E67" s="15"/>
      <x:c r="F67" s="10"/>
    </x:row>
    <x:row r="68" ht="22" customHeight="1">
      <x:c r="A68" s="12"/>
      <x:c r="B68" s="10"/>
      <x:c r="C68" s="10"/>
      <x:c r="D68" s="10"/>
      <x:c r="E68" s="15"/>
      <x:c r="F68" s="10"/>
    </x:row>
    <x:row r="69" ht="22" customHeight="1">
      <x:c r="A69" s="12"/>
      <x:c r="B69" s="10"/>
      <x:c r="C69" s="10"/>
      <x:c r="D69" s="10"/>
      <x:c r="E69" s="15"/>
      <x:c r="F69" s="10"/>
    </x:row>
    <x:row r="70" ht="22" customHeight="1">
      <x:c r="A70" s="12"/>
      <x:c r="B70" s="10"/>
      <x:c r="C70" s="10"/>
      <x:c r="D70" s="10"/>
      <x:c r="E70" s="15"/>
      <x:c r="F70" s="10"/>
    </x:row>
    <x:row r="71" ht="22" customHeight="1">
      <x:c r="A71" s="12"/>
      <x:c r="B71" s="10"/>
      <x:c r="C71" s="10"/>
      <x:c r="D71" s="10"/>
      <x:c r="E71" s="15"/>
      <x:c r="F71" s="10"/>
    </x:row>
    <x:row r="72" ht="22" customHeight="1">
      <x:c r="A72" s="12"/>
      <x:c r="B72" s="10"/>
      <x:c r="C72" s="10"/>
      <x:c r="D72" s="10"/>
      <x:c r="E72" s="15"/>
      <x:c r="F72" s="10"/>
    </x:row>
    <x:row r="73" ht="22" customHeight="1">
      <x:c r="A73" s="12"/>
      <x:c r="B73" s="10"/>
      <x:c r="C73" s="10"/>
      <x:c r="D73" s="10"/>
      <x:c r="E73" s="15"/>
      <x:c r="F73" s="10"/>
    </x:row>
    <x:row r="74" ht="22" customHeight="1">
      <x:c r="A74" s="12"/>
      <x:c r="B74" s="10"/>
      <x:c r="C74" s="10"/>
      <x:c r="D74" s="10"/>
      <x:c r="E74" s="15"/>
      <x:c r="F74" s="10"/>
    </x:row>
    <x:row r="75" ht="22" customHeight="1">
      <x:c r="A75" s="12"/>
      <x:c r="B75" s="10"/>
      <x:c r="C75" s="10"/>
      <x:c r="D75" s="10"/>
      <x:c r="E75" s="15"/>
      <x:c r="F75" s="10"/>
    </x:row>
    <x:row r="76" ht="22" customHeight="1">
      <x:c r="A76" s="12"/>
      <x:c r="B76" s="10"/>
      <x:c r="C76" s="10"/>
      <x:c r="D76" s="10"/>
      <x:c r="E76" s="15"/>
      <x:c r="F76" s="10"/>
    </x:row>
    <x:row r="77" ht="22" customHeight="1">
      <x:c r="A77" s="12"/>
      <x:c r="B77" s="10"/>
      <x:c r="C77" s="10"/>
      <x:c r="D77" s="10"/>
      <x:c r="E77" s="15"/>
      <x:c r="F77" s="10"/>
    </x:row>
    <x:row r="78" ht="22" customHeight="1">
      <x:c r="A78" s="12"/>
      <x:c r="B78" s="10"/>
      <x:c r="C78" s="10"/>
      <x:c r="D78" s="10"/>
      <x:c r="E78" s="15"/>
      <x:c r="F78" s="10"/>
    </x:row>
    <x:row r="79" ht="22" customHeight="1">
      <x:c r="A79" s="12"/>
      <x:c r="B79" s="10"/>
      <x:c r="C79" s="10"/>
      <x:c r="D79" s="10"/>
      <x:c r="E79" s="15"/>
      <x:c r="F79" s="10"/>
    </x:row>
    <x:row r="80" ht="22" customHeight="1">
      <x:c r="A80" s="12"/>
      <x:c r="B80" s="10"/>
      <x:c r="C80" s="10"/>
      <x:c r="D80" s="10"/>
      <x:c r="E80" s="15"/>
      <x:c r="F80" s="10"/>
    </x:row>
    <x:row r="81" ht="22" customHeight="1">
      <x:c r="A81" s="12"/>
      <x:c r="B81" s="10"/>
      <x:c r="C81" s="10"/>
      <x:c r="D81" s="10"/>
      <x:c r="E81" s="15"/>
      <x:c r="F81" s="10"/>
    </x:row>
    <x:row r="82" ht="22" customHeight="1">
      <x:c r="A82" s="12"/>
      <x:c r="B82" s="10"/>
      <x:c r="C82" s="10"/>
      <x:c r="D82" s="10"/>
      <x:c r="E82" s="15"/>
      <x:c r="F82" s="10"/>
    </x:row>
    <x:row r="83" ht="22" customHeight="1">
      <x:c r="A83" s="12"/>
      <x:c r="B83" s="10"/>
      <x:c r="C83" s="10"/>
      <x:c r="D83" s="10"/>
      <x:c r="E83" s="15"/>
      <x:c r="F83" s="10"/>
    </x:row>
    <x:row r="84" ht="22" customHeight="1">
      <x:c r="A84" s="12"/>
      <x:c r="B84" s="10"/>
      <x:c r="C84" s="10"/>
      <x:c r="D84" s="10"/>
      <x:c r="E84" s="15"/>
      <x:c r="F84" s="10"/>
    </x:row>
    <x:row r="85" ht="22" customHeight="1">
      <x:c r="A85" s="12"/>
      <x:c r="B85" s="10"/>
      <x:c r="C85" s="10"/>
      <x:c r="D85" s="10"/>
      <x:c r="E85" s="15"/>
      <x:c r="F85" s="10"/>
    </x:row>
    <x:row r="86" ht="22" customHeight="1">
      <x:c r="A86" s="12"/>
      <x:c r="B86" s="10"/>
      <x:c r="C86" s="10"/>
      <x:c r="D86" s="10"/>
      <x:c r="E86" s="15"/>
      <x:c r="F86" s="10"/>
    </x:row>
    <x:row r="87" ht="22" customHeight="1">
      <x:c r="A87" s="12"/>
      <x:c r="B87" s="10"/>
      <x:c r="C87" s="10"/>
      <x:c r="D87" s="10"/>
      <x:c r="E87" s="15"/>
      <x:c r="F87" s="10"/>
    </x:row>
    <x:row r="88" ht="22" customHeight="1">
      <x:c r="A88" s="12"/>
      <x:c r="B88" s="10"/>
      <x:c r="C88" s="10"/>
      <x:c r="D88" s="10"/>
      <x:c r="E88" s="15"/>
      <x:c r="F88" s="10"/>
    </x:row>
    <x:row r="89" ht="22" customHeight="1">
      <x:c r="A89" s="12"/>
      <x:c r="B89" s="10"/>
      <x:c r="C89" s="10"/>
      <x:c r="D89" s="10"/>
      <x:c r="E89" s="15"/>
      <x:c r="F89" s="10"/>
    </x:row>
    <x:row r="90" ht="22" customHeight="1">
      <x:c r="A90" s="12"/>
      <x:c r="B90" s="10"/>
      <x:c r="C90" s="10"/>
      <x:c r="D90" s="10"/>
      <x:c r="E90" s="15"/>
      <x:c r="F90" s="10"/>
    </x:row>
    <x:row r="91" ht="22" customHeight="1">
      <x:c r="A91" s="12"/>
      <x:c r="B91" s="10"/>
      <x:c r="C91" s="10"/>
      <x:c r="D91" s="10"/>
      <x:c r="E91" s="15"/>
      <x:c r="F91" s="10"/>
    </x:row>
    <x:row r="92" ht="22" customHeight="1">
      <x:c r="A92" s="12"/>
      <x:c r="B92" s="10"/>
      <x:c r="C92" s="10"/>
      <x:c r="D92" s="10"/>
      <x:c r="E92" s="15"/>
      <x:c r="F92" s="10"/>
    </x:row>
    <x:row r="93" ht="22" customHeight="1">
      <x:c r="A93" s="12"/>
      <x:c r="B93" s="10"/>
      <x:c r="C93" s="10"/>
      <x:c r="D93" s="10"/>
      <x:c r="E93" s="15"/>
      <x:c r="F93" s="10"/>
    </x:row>
    <x:row r="94" ht="22" customHeight="1">
      <x:c r="A94" s="12"/>
      <x:c r="B94" s="10"/>
      <x:c r="C94" s="10"/>
      <x:c r="D94" s="10"/>
      <x:c r="E94" s="15"/>
      <x:c r="F94" s="10"/>
    </x:row>
    <x:row r="95" ht="22" customHeight="1">
      <x:c r="A95" s="12"/>
      <x:c r="B95" s="10"/>
      <x:c r="C95" s="10"/>
      <x:c r="D95" s="10"/>
      <x:c r="E95" s="15"/>
      <x:c r="F95" s="10"/>
    </x:row>
    <x:row r="96" ht="22" customHeight="1">
      <x:c r="A96" s="12"/>
      <x:c r="B96" s="10"/>
      <x:c r="C96" s="10"/>
      <x:c r="D96" s="10"/>
      <x:c r="E96" s="15"/>
      <x:c r="F96" s="10"/>
    </x:row>
    <x:row r="97" ht="22" customHeight="1">
      <x:c r="A97" s="12"/>
      <x:c r="B97" s="10"/>
      <x:c r="C97" s="10"/>
      <x:c r="D97" s="10"/>
      <x:c r="E97" s="15"/>
      <x:c r="F97" s="10"/>
    </x:row>
    <x:row r="98" ht="22" customHeight="1">
      <x:c r="A98" s="12"/>
      <x:c r="B98" s="10"/>
      <x:c r="C98" s="10"/>
      <x:c r="D98" s="10"/>
      <x:c r="E98" s="15"/>
      <x:c r="F98" s="10"/>
    </x:row>
    <x:row r="99" ht="22" customHeight="1">
      <x:c r="A99" s="12"/>
      <x:c r="B99" s="10"/>
      <x:c r="C99" s="10"/>
      <x:c r="D99" s="10"/>
      <x:c r="E99" s="15"/>
      <x:c r="F99" s="10"/>
    </x:row>
    <x:row r="100" ht="22" customHeight="1">
      <x:c r="A100" s="12"/>
      <x:c r="B100" s="10"/>
      <x:c r="C100" s="10"/>
      <x:c r="D100" s="10"/>
      <x:c r="E100" s="15"/>
      <x:c r="F100" s="10"/>
    </x:row>
    <x:row r="101" ht="22" customHeight="1">
      <x:c r="A101" s="12"/>
      <x:c r="B101" s="10"/>
      <x:c r="C101" s="10"/>
      <x:c r="D101" s="10"/>
      <x:c r="E101" s="15"/>
      <x:c r="F101" s="10"/>
    </x:row>
    <x:row r="102" ht="22" customHeight="1">
      <x:c r="A102" s="12"/>
      <x:c r="B102" s="10"/>
      <x:c r="C102" s="10"/>
      <x:c r="D102" s="10"/>
      <x:c r="E102" s="15"/>
      <x:c r="F102" s="10"/>
    </x:row>
    <x:row r="103" ht="22" customHeight="1">
      <x:c r="A103" s="12"/>
      <x:c r="B103" s="10"/>
      <x:c r="C103" s="10"/>
      <x:c r="D103" s="10"/>
      <x:c r="E103" s="15"/>
      <x:c r="F103" s="10"/>
    </x:row>
    <x:row r="104" ht="22" customHeight="1">
      <x:c r="A104" s="12"/>
      <x:c r="B104" s="10"/>
      <x:c r="C104" s="10"/>
      <x:c r="D104" s="10"/>
      <x:c r="E104" s="15"/>
      <x:c r="F104" s="10"/>
    </x:row>
    <x:row r="105" ht="22" customHeight="1">
      <x:c r="A105" s="12"/>
      <x:c r="B105" s="10"/>
      <x:c r="C105" s="10"/>
      <x:c r="D105" s="10"/>
      <x:c r="E105" s="15"/>
      <x:c r="F105" s="10"/>
    </x:row>
    <x:row r="106" ht="22" customHeight="1">
      <x:c r="A106" s="12"/>
      <x:c r="B106" s="10"/>
      <x:c r="C106" s="10"/>
      <x:c r="D106" s="10"/>
      <x:c r="E106" s="15"/>
      <x:c r="F106" s="10"/>
    </x:row>
    <x:row r="107" ht="22" customHeight="1">
      <x:c r="A107" s="12"/>
      <x:c r="B107" s="10"/>
      <x:c r="C107" s="10"/>
      <x:c r="D107" s="10"/>
      <x:c r="E107" s="15"/>
      <x:c r="F107" s="10"/>
    </x:row>
    <x:row r="108" ht="22" customHeight="1">
      <x:c r="A108" s="12"/>
      <x:c r="B108" s="10"/>
      <x:c r="C108" s="10"/>
      <x:c r="D108" s="10"/>
      <x:c r="E108" s="15"/>
      <x:c r="F108" s="10"/>
    </x:row>
    <x:row r="109" ht="22" customHeight="1">
      <x:c r="A109" s="12"/>
      <x:c r="B109" s="10"/>
      <x:c r="C109" s="10"/>
      <x:c r="D109" s="10"/>
      <x:c r="E109" s="15"/>
      <x:c r="F109" s="10"/>
    </x:row>
    <x:row r="110" ht="22" customHeight="1">
      <x:c r="A110" s="12"/>
      <x:c r="B110" s="10"/>
      <x:c r="C110" s="10"/>
      <x:c r="D110" s="10"/>
      <x:c r="E110" s="15"/>
      <x:c r="F110" s="10"/>
    </x:row>
    <x:row r="111" ht="22" customHeight="1">
      <x:c r="A111" s="12"/>
      <x:c r="B111" s="10"/>
      <x:c r="C111" s="10"/>
      <x:c r="D111" s="10"/>
      <x:c r="E111" s="15"/>
      <x:c r="F111" s="10"/>
    </x:row>
    <x:row r="112" ht="22" customHeight="1">
      <x:c r="A112" s="12"/>
      <x:c r="B112" s="10"/>
      <x:c r="C112" s="10"/>
      <x:c r="D112" s="10"/>
      <x:c r="E112" s="15"/>
      <x:c r="F112" s="10"/>
    </x:row>
    <x:row r="113" ht="22" customHeight="1">
      <x:c r="A113" s="12"/>
      <x:c r="B113" s="10"/>
      <x:c r="C113" s="10"/>
      <x:c r="D113" s="10"/>
      <x:c r="E113" s="15"/>
      <x:c r="F113" s="10"/>
    </x:row>
    <x:row r="114" ht="22" customHeight="1">
      <x:c r="A114" s="12"/>
      <x:c r="B114" s="10"/>
      <x:c r="C114" s="10"/>
      <x:c r="D114" s="10"/>
      <x:c r="E114" s="15"/>
      <x:c r="F114" s="10"/>
    </x:row>
    <x:row r="115" ht="22" customHeight="1">
      <x:c r="A115" s="12"/>
      <x:c r="B115" s="10"/>
      <x:c r="C115" s="10"/>
      <x:c r="D115" s="10"/>
      <x:c r="E115" s="15"/>
      <x:c r="F115" s="10"/>
    </x:row>
    <x:row r="116" ht="22" customHeight="1">
      <x:c r="A116" s="12"/>
      <x:c r="B116" s="10"/>
      <x:c r="C116" s="10"/>
      <x:c r="D116" s="10"/>
      <x:c r="E116" s="15"/>
      <x:c r="F116" s="10"/>
    </x:row>
    <x:row r="117" ht="22" customHeight="1">
      <x:c r="A117" s="12"/>
      <x:c r="B117" s="10"/>
      <x:c r="C117" s="10"/>
      <x:c r="D117" s="10"/>
      <x:c r="E117" s="15"/>
      <x:c r="F117" s="10"/>
    </x:row>
    <x:row r="118" ht="22" customHeight="1">
      <x:c r="A118" s="12"/>
      <x:c r="B118" s="10"/>
      <x:c r="C118" s="10"/>
      <x:c r="D118" s="10"/>
      <x:c r="E118" s="15"/>
      <x:c r="F118" s="10"/>
    </x:row>
    <x:row r="119" ht="22" customHeight="1">
      <x:c r="A119" s="12"/>
      <x:c r="B119" s="10"/>
      <x:c r="C119" s="10"/>
      <x:c r="D119" s="10"/>
      <x:c r="E119" s="15"/>
      <x:c r="F119" s="10"/>
    </x:row>
    <x:row r="120" ht="22" customHeight="1">
      <x:c r="A120" s="12"/>
      <x:c r="B120" s="10"/>
      <x:c r="C120" s="10"/>
      <x:c r="D120" s="10"/>
      <x:c r="E120" s="15"/>
      <x:c r="F120" s="10"/>
    </x:row>
    <x:row r="121" ht="22" customHeight="1">
      <x:c r="A121" s="12"/>
      <x:c r="B121" s="10"/>
      <x:c r="C121" s="10"/>
      <x:c r="D121" s="10"/>
      <x:c r="E121" s="15"/>
      <x:c r="F121" s="10"/>
    </x:row>
    <x:row r="122" ht="22" customHeight="1">
      <x:c r="A122" s="12"/>
      <x:c r="B122" s="10"/>
      <x:c r="C122" s="10"/>
      <x:c r="D122" s="10"/>
      <x:c r="E122" s="15"/>
      <x:c r="F122" s="10"/>
    </x:row>
    <x:row r="123" ht="22" customHeight="1">
      <x:c r="A123" s="12"/>
      <x:c r="B123" s="10"/>
      <x:c r="C123" s="10"/>
      <x:c r="D123" s="10"/>
      <x:c r="E123" s="15"/>
      <x:c r="F123" s="10"/>
    </x:row>
    <x:row r="124" ht="22" customHeight="1">
      <x:c r="A124" s="12"/>
      <x:c r="B124" s="10"/>
      <x:c r="C124" s="10"/>
      <x:c r="D124" s="10"/>
      <x:c r="E124" s="15"/>
      <x:c r="F124" s="10"/>
    </x:row>
    <x:row r="125" ht="22" customHeight="1">
      <x:c r="A125" s="12"/>
      <x:c r="B125" s="10"/>
      <x:c r="C125" s="10"/>
      <x:c r="D125" s="10"/>
      <x:c r="E125" s="15"/>
      <x:c r="F125" s="10"/>
    </x:row>
    <x:row r="126" ht="22" customHeight="1">
      <x:c r="A126" s="12"/>
      <x:c r="B126" s="10"/>
      <x:c r="C126" s="10"/>
      <x:c r="D126" s="10"/>
      <x:c r="E126" s="15"/>
      <x:c r="F126" s="10"/>
    </x:row>
    <x:row r="127" ht="22" customHeight="1">
      <x:c r="A127" s="12"/>
      <x:c r="B127" s="10"/>
      <x:c r="C127" s="10"/>
      <x:c r="D127" s="10"/>
      <x:c r="E127" s="15"/>
      <x:c r="F127" s="10"/>
    </x:row>
    <x:row r="128" ht="22" customHeight="1">
      <x:c r="A128" s="12"/>
      <x:c r="B128" s="10"/>
      <x:c r="C128" s="10"/>
      <x:c r="D128" s="10"/>
      <x:c r="E128" s="15"/>
      <x:c r="F128" s="10"/>
    </x:row>
    <x:row r="129" ht="22" customHeight="1">
      <x:c r="A129" s="12"/>
      <x:c r="B129" s="10"/>
      <x:c r="C129" s="10"/>
      <x:c r="D129" s="10"/>
      <x:c r="E129" s="15"/>
      <x:c r="F129" s="10"/>
    </x:row>
    <x:row r="130" ht="22" customHeight="1">
      <x:c r="A130" s="12"/>
      <x:c r="B130" s="10"/>
      <x:c r="C130" s="10"/>
      <x:c r="D130" s="10"/>
      <x:c r="E130" s="15"/>
      <x:c r="F130" s="10"/>
    </x:row>
    <x:row r="131" ht="22" customHeight="1">
      <x:c r="A131" s="12"/>
      <x:c r="B131" s="10"/>
      <x:c r="C131" s="10"/>
      <x:c r="D131" s="10"/>
      <x:c r="E131" s="15"/>
      <x:c r="F131" s="10"/>
    </x:row>
    <x:row r="132" ht="22" customHeight="1">
      <x:c r="A132" s="12"/>
      <x:c r="B132" s="10"/>
      <x:c r="C132" s="10"/>
      <x:c r="D132" s="10"/>
      <x:c r="E132" s="15"/>
      <x:c r="F132" s="10"/>
    </x:row>
    <x:row r="133" ht="22" customHeight="1">
      <x:c r="A133" s="12"/>
      <x:c r="B133" s="10"/>
      <x:c r="C133" s="10"/>
      <x:c r="D133" s="10"/>
      <x:c r="E133" s="15"/>
      <x:c r="F133" s="10"/>
    </x:row>
    <x:row r="134" ht="22" customHeight="1">
      <x:c r="A134" s="12"/>
      <x:c r="B134" s="10"/>
      <x:c r="C134" s="10"/>
      <x:c r="D134" s="10"/>
      <x:c r="E134" s="15"/>
      <x:c r="F134" s="10"/>
    </x:row>
    <x:row r="135" ht="22" customHeight="1">
      <x:c r="A135" s="12"/>
      <x:c r="B135" s="10"/>
      <x:c r="C135" s="10"/>
      <x:c r="D135" s="10"/>
      <x:c r="E135" s="15"/>
      <x:c r="F135" s="10"/>
    </x:row>
    <x:row r="136" ht="22" customHeight="1">
      <x:c r="A136" s="12"/>
      <x:c r="B136" s="10"/>
      <x:c r="C136" s="10"/>
      <x:c r="D136" s="10"/>
      <x:c r="E136" s="15"/>
      <x:c r="F136" s="10"/>
    </x:row>
    <x:row r="137" ht="22" customHeight="1">
      <x:c r="A137" s="12"/>
      <x:c r="B137" s="10"/>
      <x:c r="C137" s="10"/>
      <x:c r="D137" s="10"/>
      <x:c r="E137" s="15"/>
      <x:c r="F137" s="10"/>
    </x:row>
    <x:row r="138" ht="22" customHeight="1">
      <x:c r="A138" s="12"/>
      <x:c r="B138" s="10"/>
      <x:c r="C138" s="10"/>
      <x:c r="D138" s="10"/>
      <x:c r="E138" s="15"/>
      <x:c r="F138" s="10"/>
    </x:row>
    <x:row r="139" ht="22" customHeight="1">
      <x:c r="A139" s="12"/>
      <x:c r="B139" s="10"/>
      <x:c r="C139" s="10"/>
      <x:c r="D139" s="10"/>
      <x:c r="E139" s="15"/>
      <x:c r="F139" s="10"/>
    </x:row>
    <x:row r="140" ht="22" customHeight="1">
      <x:c r="A140" s="12"/>
      <x:c r="B140" s="10"/>
      <x:c r="C140" s="10"/>
      <x:c r="D140" s="10"/>
      <x:c r="E140" s="15"/>
      <x:c r="F140" s="10"/>
    </x:row>
    <x:row r="141" ht="22" customHeight="1">
      <x:c r="A141" s="12"/>
      <x:c r="B141" s="10"/>
      <x:c r="C141" s="10"/>
      <x:c r="D141" s="10"/>
      <x:c r="E141" s="15"/>
      <x:c r="F141" s="10"/>
    </x:row>
    <x:row r="142" ht="22" customHeight="1">
      <x:c r="A142" s="12"/>
      <x:c r="B142" s="10"/>
      <x:c r="C142" s="10"/>
      <x:c r="D142" s="10"/>
      <x:c r="E142" s="15"/>
      <x:c r="F142" s="10"/>
    </x:row>
    <x:row r="143" ht="22" customHeight="1">
      <x:c r="A143" s="12"/>
      <x:c r="B143" s="10"/>
      <x:c r="C143" s="10"/>
      <x:c r="D143" s="10"/>
      <x:c r="E143" s="15"/>
      <x:c r="F143" s="10"/>
    </x:row>
    <x:row r="144" ht="22" customHeight="1">
      <x:c r="A144" s="12"/>
      <x:c r="B144" s="10"/>
      <x:c r="C144" s="10"/>
      <x:c r="D144" s="10"/>
      <x:c r="E144" s="15"/>
      <x:c r="F144" s="10"/>
    </x:row>
    <x:row r="145" ht="22" customHeight="1">
      <x:c r="A145" s="12"/>
      <x:c r="B145" s="10"/>
      <x:c r="C145" s="10"/>
      <x:c r="D145" s="10"/>
      <x:c r="E145" s="15"/>
      <x:c r="F145" s="10"/>
    </x:row>
    <x:row r="146" ht="22" customHeight="1">
      <x:c r="A146" s="12"/>
      <x:c r="B146" s="10"/>
      <x:c r="C146" s="10"/>
      <x:c r="D146" s="10"/>
      <x:c r="E146" s="15"/>
      <x:c r="F146" s="10"/>
    </x:row>
    <x:row r="147" ht="22" customHeight="1">
      <x:c r="A147" s="12"/>
      <x:c r="B147" s="10"/>
      <x:c r="C147" s="10"/>
      <x:c r="D147" s="10"/>
      <x:c r="E147" s="15"/>
      <x:c r="F147" s="10"/>
    </x:row>
    <x:row r="148" ht="22" customHeight="1">
      <x:c r="A148" s="12"/>
      <x:c r="B148" s="10"/>
      <x:c r="C148" s="10"/>
      <x:c r="D148" s="10"/>
      <x:c r="E148" s="15"/>
      <x:c r="F148" s="10"/>
    </x:row>
    <x:row r="149" ht="22" customHeight="1">
      <x:c r="A149" s="12"/>
      <x:c r="B149" s="10"/>
      <x:c r="C149" s="10"/>
      <x:c r="D149" s="10"/>
      <x:c r="E149" s="15"/>
      <x:c r="F149" s="10"/>
    </x:row>
    <x:row r="150" ht="22" customHeight="1">
      <x:c r="A150" s="12"/>
      <x:c r="B150" s="10"/>
      <x:c r="C150" s="10"/>
      <x:c r="D150" s="10"/>
      <x:c r="E150" s="15"/>
      <x:c r="F150" s="10"/>
    </x:row>
    <x:row r="151" ht="22" customHeight="1">
      <x:c r="A151" s="12"/>
      <x:c r="B151" s="10"/>
      <x:c r="C151" s="10"/>
      <x:c r="D151" s="10"/>
      <x:c r="E151" s="15"/>
      <x:c r="F151" s="10"/>
    </x:row>
    <x:row r="152" ht="22" customHeight="1">
      <x:c r="A152" s="12"/>
      <x:c r="B152" s="10"/>
      <x:c r="C152" s="10"/>
      <x:c r="D152" s="10"/>
      <x:c r="E152" s="15"/>
      <x:c r="F152" s="10"/>
    </x:row>
    <x:row r="153" ht="22" customHeight="1">
      <x:c r="A153" s="12"/>
      <x:c r="B153" s="10"/>
      <x:c r="C153" s="10"/>
      <x:c r="D153" s="10"/>
      <x:c r="E153" s="15"/>
      <x:c r="F153" s="10"/>
    </x:row>
    <x:row r="154" ht="22" customHeight="1">
      <x:c r="A154" s="12"/>
      <x:c r="B154" s="10"/>
      <x:c r="C154" s="10"/>
      <x:c r="D154" s="10"/>
      <x:c r="E154" s="15"/>
      <x:c r="F154" s="10"/>
    </x:row>
    <x:row r="155" ht="22" customHeight="1">
      <x:c r="A155" s="12"/>
      <x:c r="B155" s="10"/>
      <x:c r="C155" s="10"/>
      <x:c r="D155" s="10"/>
      <x:c r="E155" s="15"/>
      <x:c r="F155" s="10"/>
    </x:row>
    <x:row r="156" ht="22" customHeight="1">
      <x:c r="A156" s="12"/>
      <x:c r="B156" s="10"/>
      <x:c r="C156" s="10"/>
      <x:c r="D156" s="10"/>
      <x:c r="E156" s="15"/>
      <x:c r="F156" s="10"/>
    </x:row>
    <x:row r="157" ht="22" customHeight="1">
      <x:c r="A157" s="12"/>
      <x:c r="B157" s="10"/>
      <x:c r="C157" s="10"/>
      <x:c r="D157" s="10"/>
      <x:c r="E157" s="15"/>
      <x:c r="F157" s="10"/>
    </x:row>
    <x:row r="158" ht="22" customHeight="1">
      <x:c r="A158" s="12"/>
      <x:c r="B158" s="10"/>
      <x:c r="C158" s="10"/>
      <x:c r="D158" s="10"/>
      <x:c r="E158" s="15"/>
      <x:c r="F158" s="10"/>
    </x:row>
    <x:row r="159" ht="22" customHeight="1">
      <x:c r="A159" s="12"/>
      <x:c r="B159" s="10"/>
      <x:c r="C159" s="10"/>
      <x:c r="D159" s="10"/>
      <x:c r="E159" s="15"/>
      <x:c r="F159" s="10"/>
    </x:row>
    <x:row r="160" ht="22" customHeight="1">
      <x:c r="A160" s="12"/>
      <x:c r="B160" s="10"/>
      <x:c r="C160" s="10"/>
      <x:c r="D160" s="10"/>
      <x:c r="E160" s="15"/>
      <x:c r="F160" s="10"/>
    </x:row>
    <x:row r="161" ht="22" customHeight="1">
      <x:c r="A161" s="12"/>
      <x:c r="B161" s="10"/>
      <x:c r="C161" s="10"/>
      <x:c r="D161" s="10"/>
      <x:c r="E161" s="15"/>
      <x:c r="F161" s="10"/>
    </x:row>
    <x:row r="162" ht="22" customHeight="1">
      <x:c r="A162" s="12"/>
      <x:c r="B162" s="10"/>
      <x:c r="C162" s="10"/>
      <x:c r="D162" s="10"/>
      <x:c r="E162" s="15"/>
      <x:c r="F162" s="10"/>
    </x:row>
    <x:row r="163" ht="22" customHeight="1">
      <x:c r="A163" s="12"/>
      <x:c r="B163" s="10"/>
      <x:c r="C163" s="10"/>
      <x:c r="D163" s="10"/>
      <x:c r="E163" s="15"/>
      <x:c r="F163" s="10"/>
    </x:row>
    <x:row r="164" ht="22" customHeight="1">
      <x:c r="A164" s="12"/>
      <x:c r="B164" s="10"/>
      <x:c r="C164" s="10"/>
      <x:c r="D164" s="10"/>
      <x:c r="E164" s="15"/>
      <x:c r="F164" s="10"/>
    </x:row>
    <x:row r="165" ht="22" customHeight="1">
      <x:c r="A165" s="12"/>
      <x:c r="B165" s="10"/>
      <x:c r="C165" s="10"/>
      <x:c r="D165" s="10"/>
      <x:c r="E165" s="15"/>
      <x:c r="F165" s="10"/>
    </x:row>
    <x:row r="166" ht="22" customHeight="1">
      <x:c r="A166" s="12"/>
      <x:c r="B166" s="10"/>
      <x:c r="C166" s="10"/>
      <x:c r="D166" s="10"/>
      <x:c r="E166" s="15"/>
      <x:c r="F166" s="10"/>
    </x:row>
    <x:row r="167" ht="22" customHeight="1">
      <x:c r="A167" s="12"/>
      <x:c r="B167" s="10"/>
      <x:c r="C167" s="10"/>
      <x:c r="D167" s="10"/>
      <x:c r="E167" s="15"/>
      <x:c r="F167" s="10"/>
    </x:row>
    <x:row r="168" ht="22" customHeight="1">
      <x:c r="A168" s="12"/>
      <x:c r="B168" s="10"/>
      <x:c r="C168" s="10"/>
      <x:c r="D168" s="10"/>
      <x:c r="E168" s="15"/>
      <x:c r="F168" s="10"/>
    </x:row>
    <x:row r="169" ht="22" customHeight="1">
      <x:c r="A169" s="12"/>
      <x:c r="B169" s="10"/>
      <x:c r="C169" s="10"/>
      <x:c r="D169" s="10"/>
      <x:c r="E169" s="15"/>
      <x:c r="F169" s="10"/>
    </x:row>
    <x:row r="170" ht="22" customHeight="1">
      <x:c r="A170" s="12"/>
      <x:c r="B170" s="10"/>
      <x:c r="C170" s="10"/>
      <x:c r="D170" s="10"/>
      <x:c r="E170" s="15"/>
      <x:c r="F170" s="10"/>
    </x:row>
    <x:row r="171" ht="22" customHeight="1">
      <x:c r="A171" s="12"/>
      <x:c r="B171" s="10"/>
      <x:c r="C171" s="10"/>
      <x:c r="D171" s="10"/>
      <x:c r="E171" s="15"/>
      <x:c r="F171" s="10"/>
    </x:row>
    <x:row r="172" ht="22" customHeight="1">
      <x:c r="A172" s="12"/>
      <x:c r="B172" s="10"/>
      <x:c r="C172" s="10"/>
      <x:c r="D172" s="10"/>
      <x:c r="E172" s="15"/>
      <x:c r="F172" s="10"/>
    </x:row>
    <x:row r="173" ht="22" customHeight="1">
      <x:c r="A173" s="12"/>
      <x:c r="B173" s="10"/>
      <x:c r="C173" s="10"/>
      <x:c r="D173" s="10"/>
      <x:c r="E173" s="15"/>
      <x:c r="F173" s="10"/>
    </x:row>
    <x:row r="174" ht="22" customHeight="1">
      <x:c r="A174" s="12"/>
      <x:c r="B174" s="10"/>
      <x:c r="C174" s="10"/>
      <x:c r="D174" s="10"/>
      <x:c r="E174" s="15"/>
      <x:c r="F174" s="10"/>
    </x:row>
    <x:row r="175" ht="22" customHeight="1">
      <x:c r="A175" s="12"/>
      <x:c r="B175" s="10"/>
      <x:c r="C175" s="10"/>
      <x:c r="D175" s="10"/>
      <x:c r="E175" s="15"/>
      <x:c r="F175" s="10"/>
    </x:row>
    <x:row r="176" ht="22" customHeight="1">
      <x:c r="A176" s="12"/>
      <x:c r="B176" s="10"/>
      <x:c r="C176" s="10"/>
      <x:c r="D176" s="10"/>
      <x:c r="E176" s="15"/>
      <x:c r="F176" s="10"/>
    </x:row>
    <x:row r="177" ht="22" customHeight="1">
      <x:c r="A177" s="12"/>
      <x:c r="B177" s="10"/>
      <x:c r="C177" s="10"/>
      <x:c r="D177" s="10"/>
      <x:c r="E177" s="15"/>
      <x:c r="F177" s="10"/>
    </x:row>
    <x:row r="178" ht="22" customHeight="1">
      <x:c r="A178" s="12"/>
      <x:c r="B178" s="10"/>
      <x:c r="C178" s="10"/>
      <x:c r="D178" s="10"/>
      <x:c r="E178" s="15"/>
      <x:c r="F178" s="10"/>
    </x:row>
    <x:row r="179" ht="22" customHeight="1">
      <x:c r="A179" s="12"/>
      <x:c r="B179" s="10"/>
      <x:c r="C179" s="10"/>
      <x:c r="D179" s="10"/>
      <x:c r="E179" s="15"/>
      <x:c r="F179" s="10"/>
    </x:row>
    <x:row r="180" ht="22" customHeight="1">
      <x:c r="A180" s="12"/>
      <x:c r="B180" s="10"/>
      <x:c r="C180" s="10"/>
      <x:c r="D180" s="10"/>
      <x:c r="E180" s="15"/>
      <x:c r="F180" s="10"/>
    </x:row>
    <x:row r="181" ht="22" customHeight="1">
      <x:c r="A181" s="12"/>
      <x:c r="B181" s="10"/>
      <x:c r="C181" s="10"/>
      <x:c r="D181" s="10"/>
      <x:c r="E181" s="15"/>
      <x:c r="F181" s="10"/>
    </x:row>
    <x:row r="182" ht="22" customHeight="1">
      <x:c r="A182" s="12"/>
      <x:c r="B182" s="10"/>
      <x:c r="C182" s="10"/>
      <x:c r="D182" s="10"/>
      <x:c r="E182" s="15"/>
      <x:c r="F182" s="10"/>
    </x:row>
    <x:row r="183" ht="22" customHeight="1">
      <x:c r="A183" s="12"/>
      <x:c r="B183" s="10"/>
      <x:c r="C183" s="10"/>
      <x:c r="D183" s="10"/>
      <x:c r="E183" s="15"/>
      <x:c r="F183" s="10"/>
    </x:row>
    <x:row r="184" ht="22" customHeight="1">
      <x:c r="A184" s="12"/>
      <x:c r="B184" s="10"/>
      <x:c r="C184" s="10"/>
      <x:c r="D184" s="10"/>
      <x:c r="E184" s="15"/>
      <x:c r="F184" s="10"/>
    </x:row>
    <x:row r="185" ht="22" customHeight="1">
      <x:c r="A185" s="12"/>
      <x:c r="B185" s="10"/>
      <x:c r="C185" s="10"/>
      <x:c r="D185" s="10"/>
      <x:c r="E185" s="15"/>
      <x:c r="F185" s="10"/>
    </x:row>
    <x:row r="186" ht="22" customHeight="1">
      <x:c r="A186" s="12"/>
      <x:c r="B186" s="10"/>
      <x:c r="C186" s="10"/>
      <x:c r="D186" s="10"/>
      <x:c r="E186" s="15"/>
      <x:c r="F186" s="10"/>
    </x:row>
    <x:row r="187" ht="22" customHeight="1">
      <x:c r="A187" s="12"/>
      <x:c r="B187" s="10"/>
      <x:c r="C187" s="10"/>
      <x:c r="D187" s="10"/>
      <x:c r="E187" s="15"/>
      <x:c r="F187" s="10"/>
    </x:row>
    <x:row r="188" ht="22" customHeight="1">
      <x:c r="A188" s="12"/>
      <x:c r="B188" s="10"/>
      <x:c r="C188" s="10"/>
      <x:c r="D188" s="10"/>
      <x:c r="E188" s="15"/>
      <x:c r="F188" s="10"/>
    </x:row>
    <x:row r="189" ht="22" customHeight="1">
      <x:c r="A189" s="12"/>
      <x:c r="B189" s="10"/>
      <x:c r="C189" s="10"/>
      <x:c r="D189" s="10"/>
      <x:c r="E189" s="15"/>
      <x:c r="F189" s="10"/>
    </x:row>
    <x:row r="190" ht="22" customHeight="1">
      <x:c r="A190" s="12"/>
      <x:c r="B190" s="10"/>
      <x:c r="C190" s="10"/>
      <x:c r="D190" s="10"/>
      <x:c r="E190" s="15"/>
      <x:c r="F190" s="10"/>
    </x:row>
    <x:row r="191" ht="22" customHeight="1">
      <x:c r="A191" s="12"/>
      <x:c r="B191" s="10"/>
      <x:c r="C191" s="10"/>
      <x:c r="D191" s="10"/>
      <x:c r="E191" s="15"/>
      <x:c r="F191" s="10"/>
    </x:row>
    <x:row r="192" ht="22" customHeight="1">
      <x:c r="A192" s="12"/>
      <x:c r="B192" s="10"/>
      <x:c r="C192" s="10"/>
      <x:c r="D192" s="10"/>
      <x:c r="E192" s="15"/>
      <x:c r="F192" s="10"/>
    </x:row>
    <x:row r="193" ht="22" customHeight="1">
      <x:c r="A193" s="12"/>
      <x:c r="B193" s="10"/>
      <x:c r="C193" s="10"/>
      <x:c r="D193" s="10"/>
      <x:c r="E193" s="15"/>
      <x:c r="F193" s="10"/>
    </x:row>
    <x:row r="194" ht="22" customHeight="1">
      <x:c r="A194" s="12"/>
      <x:c r="B194" s="10"/>
      <x:c r="C194" s="10"/>
      <x:c r="D194" s="10"/>
      <x:c r="E194" s="15"/>
      <x:c r="F194" s="10"/>
    </x:row>
    <x:row r="195" ht="22" customHeight="1">
      <x:c r="A195" s="12"/>
      <x:c r="B195" s="10"/>
      <x:c r="C195" s="10"/>
      <x:c r="D195" s="10"/>
      <x:c r="E195" s="15"/>
      <x:c r="F195" s="10"/>
    </x:row>
    <x:row r="196" ht="22" customHeight="1">
      <x:c r="A196" s="12"/>
      <x:c r="B196" s="10"/>
      <x:c r="C196" s="10"/>
      <x:c r="D196" s="10"/>
      <x:c r="E196" s="15"/>
      <x:c r="F196" s="10"/>
    </x:row>
    <x:row r="197" ht="22" customHeight="1">
      <x:c r="A197" s="12"/>
      <x:c r="B197" s="10"/>
      <x:c r="C197" s="10"/>
      <x:c r="D197" s="10"/>
      <x:c r="E197" s="15"/>
      <x:c r="F197" s="10"/>
    </x:row>
    <x:row r="198" ht="22" customHeight="1">
      <x:c r="A198" s="12"/>
      <x:c r="B198" s="10"/>
      <x:c r="C198" s="10"/>
      <x:c r="D198" s="10"/>
      <x:c r="E198" s="15"/>
      <x:c r="F198" s="10"/>
    </x:row>
    <x:row r="199" ht="22" customHeight="1">
      <x:c r="A199" s="12"/>
      <x:c r="B199" s="10"/>
      <x:c r="C199" s="10"/>
      <x:c r="D199" s="10"/>
      <x:c r="E199" s="15"/>
      <x:c r="F199" s="10"/>
    </x:row>
    <x:row r="200" ht="22" customHeight="1">
      <x:c r="A200" s="12"/>
      <x:c r="B200" s="10"/>
      <x:c r="C200" s="10"/>
      <x:c r="D200" s="10"/>
      <x:c r="E200" s="15"/>
      <x:c r="F200" s="10"/>
    </x:row>
    <x:row r="201" ht="22" customHeight="1">
      <x:c r="A201" s="12"/>
      <x:c r="B201" s="10"/>
      <x:c r="C201" s="10"/>
      <x:c r="D201" s="10"/>
      <x:c r="E201" s="15"/>
      <x:c r="F201" s="10"/>
    </x:row>
    <x:row r="202" ht="22" customHeight="1">
      <x:c r="A202" s="12"/>
      <x:c r="B202" s="10"/>
      <x:c r="C202" s="10"/>
      <x:c r="D202" s="10"/>
      <x:c r="E202" s="15"/>
      <x:c r="F202" s="10"/>
    </x:row>
    <x:row r="203" ht="22" customHeight="1">
      <x:c r="A203" s="12"/>
      <x:c r="B203" s="10"/>
      <x:c r="C203" s="10"/>
      <x:c r="D203" s="10"/>
      <x:c r="E203" s="15"/>
      <x:c r="F203" s="10"/>
    </x:row>
    <x:row r="204" ht="22" customHeight="1">
      <x:c r="A204" s="12"/>
      <x:c r="B204" s="10"/>
      <x:c r="C204" s="10"/>
      <x:c r="D204" s="10"/>
      <x:c r="E204" s="15"/>
      <x:c r="F204" s="10"/>
    </x:row>
    <x:row r="205" ht="22" customHeight="1">
      <x:c r="A205" s="12"/>
      <x:c r="B205" s="10"/>
      <x:c r="C205" s="10"/>
      <x:c r="D205" s="10"/>
      <x:c r="E205" s="15"/>
      <x:c r="F205" s="10"/>
    </x:row>
    <x:row r="206" ht="22" customHeight="1">
      <x:c r="A206" s="12"/>
      <x:c r="B206" s="10"/>
      <x:c r="C206" s="10"/>
      <x:c r="D206" s="10"/>
      <x:c r="E206" s="15"/>
      <x:c r="F206" s="10"/>
    </x:row>
    <x:row r="207" ht="22" customHeight="1">
      <x:c r="A207" s="12"/>
      <x:c r="B207" s="10"/>
      <x:c r="C207" s="10"/>
      <x:c r="D207" s="10"/>
      <x:c r="E207" s="15"/>
      <x:c r="F207" s="10"/>
    </x:row>
    <x:row r="208" ht="22" customHeight="1">
      <x:c r="A208" s="12"/>
      <x:c r="B208" s="10"/>
      <x:c r="C208" s="10"/>
      <x:c r="D208" s="10"/>
      <x:c r="E208" s="15"/>
      <x:c r="F208" s="10"/>
    </x:row>
    <x:row r="209" ht="22" customHeight="1">
      <x:c r="A209" s="12"/>
      <x:c r="B209" s="10"/>
      <x:c r="C209" s="10"/>
      <x:c r="D209" s="10"/>
      <x:c r="E209" s="15"/>
      <x:c r="F209" s="10"/>
    </x:row>
    <x:row r="210" ht="22" customHeight="1">
      <x:c r="A210" s="12"/>
      <x:c r="B210" s="10"/>
      <x:c r="C210" s="10"/>
      <x:c r="D210" s="10"/>
      <x:c r="E210" s="15"/>
      <x:c r="F210" s="10"/>
    </x:row>
    <x:row r="211" ht="22" customHeight="1">
      <x:c r="A211" s="12"/>
      <x:c r="B211" s="10"/>
      <x:c r="C211" s="10"/>
      <x:c r="D211" s="10"/>
      <x:c r="E211" s="15"/>
      <x:c r="F211" s="10"/>
    </x:row>
    <x:row r="212" ht="22" customHeight="1">
      <x:c r="A212" s="12"/>
      <x:c r="B212" s="10"/>
      <x:c r="C212" s="10"/>
      <x:c r="D212" s="10"/>
      <x:c r="E212" s="15"/>
      <x:c r="F212" s="10"/>
    </x:row>
    <x:row r="213" ht="22" customHeight="1">
      <x:c r="A213" s="12"/>
      <x:c r="B213" s="10"/>
      <x:c r="C213" s="10"/>
      <x:c r="D213" s="10"/>
      <x:c r="E213" s="15"/>
      <x:c r="F213" s="10"/>
    </x:row>
    <x:row r="214" ht="22" customHeight="1">
      <x:c r="A214" s="12"/>
      <x:c r="B214" s="10"/>
      <x:c r="C214" s="10"/>
      <x:c r="D214" s="10"/>
      <x:c r="E214" s="15"/>
      <x:c r="F214" s="10"/>
    </x:row>
    <x:row r="215" ht="22" customHeight="1">
      <x:c r="A215" s="12"/>
      <x:c r="B215" s="10"/>
      <x:c r="C215" s="10"/>
      <x:c r="D215" s="10"/>
      <x:c r="E215" s="15"/>
      <x:c r="F215" s="10"/>
    </x:row>
    <x:row r="216" ht="22" customHeight="1">
      <x:c r="A216" s="12"/>
      <x:c r="B216" s="10"/>
      <x:c r="C216" s="10"/>
      <x:c r="D216" s="10"/>
      <x:c r="E216" s="15"/>
      <x:c r="F216" s="10"/>
    </x:row>
    <x:row r="217" ht="22" customHeight="1">
      <x:c r="A217" s="12"/>
      <x:c r="B217" s="10"/>
      <x:c r="C217" s="10"/>
      <x:c r="D217" s="10"/>
      <x:c r="E217" s="15"/>
      <x:c r="F217" s="10"/>
    </x:row>
    <x:row r="218" ht="22" customHeight="1">
      <x:c r="A218" s="12"/>
      <x:c r="B218" s="10"/>
      <x:c r="C218" s="10"/>
      <x:c r="D218" s="10"/>
      <x:c r="E218" s="15"/>
      <x:c r="F218" s="10"/>
    </x:row>
    <x:row r="219" ht="22" customHeight="1">
      <x:c r="A219" s="12"/>
      <x:c r="B219" s="10"/>
      <x:c r="C219" s="10"/>
      <x:c r="D219" s="10"/>
      <x:c r="E219" s="15"/>
      <x:c r="F219" s="10"/>
    </x:row>
    <x:row r="220" ht="22" customHeight="1">
      <x:c r="A220" s="12"/>
      <x:c r="B220" s="10"/>
      <x:c r="C220" s="10"/>
      <x:c r="D220" s="10"/>
      <x:c r="E220" s="15"/>
      <x:c r="F220" s="10"/>
    </x:row>
    <x:row r="221" ht="22" customHeight="1">
      <x:c r="A221" s="12"/>
      <x:c r="B221" s="10"/>
      <x:c r="C221" s="10"/>
      <x:c r="D221" s="10"/>
      <x:c r="E221" s="15"/>
      <x:c r="F221" s="10"/>
    </x:row>
    <x:row r="222" ht="22" customHeight="1">
      <x:c r="A222" s="12"/>
      <x:c r="B222" s="10"/>
      <x:c r="C222" s="10"/>
      <x:c r="D222" s="10"/>
      <x:c r="E222" s="15"/>
      <x:c r="F222" s="10"/>
    </x:row>
    <x:row r="223" ht="22" customHeight="1">
      <x:c r="A223" s="12"/>
      <x:c r="B223" s="10"/>
      <x:c r="C223" s="10"/>
      <x:c r="D223" s="10"/>
      <x:c r="E223" s="15"/>
      <x:c r="F223" s="10"/>
    </x:row>
    <x:row r="224" ht="22" customHeight="1">
      <x:c r="A224" s="12"/>
      <x:c r="B224" s="10"/>
      <x:c r="C224" s="10"/>
      <x:c r="D224" s="10"/>
      <x:c r="E224" s="15"/>
      <x:c r="F224" s="10"/>
    </x:row>
    <x:row r="225" ht="22" customHeight="1">
      <x:c r="A225" s="12"/>
      <x:c r="B225" s="10"/>
      <x:c r="C225" s="10"/>
      <x:c r="D225" s="10"/>
      <x:c r="E225" s="15"/>
      <x:c r="F225" s="10"/>
    </x:row>
    <x:row r="226" ht="22" customHeight="1">
      <x:c r="A226" s="12"/>
      <x:c r="B226" s="10"/>
      <x:c r="C226" s="10"/>
      <x:c r="D226" s="10"/>
      <x:c r="E226" s="15"/>
      <x:c r="F226" s="10"/>
    </x:row>
    <x:row r="227" ht="22" customHeight="1">
      <x:c r="A227" s="12"/>
      <x:c r="B227" s="10"/>
      <x:c r="C227" s="10"/>
      <x:c r="D227" s="10"/>
      <x:c r="E227" s="15"/>
      <x:c r="F227" s="10"/>
    </x:row>
    <x:row r="228" ht="22" customHeight="1">
      <x:c r="A228" s="12"/>
      <x:c r="B228" s="10"/>
      <x:c r="C228" s="10"/>
      <x:c r="D228" s="10"/>
      <x:c r="E228" s="15"/>
      <x:c r="F228" s="10"/>
    </x:row>
    <x:row r="229" ht="22" customHeight="1">
      <x:c r="A229" s="12"/>
      <x:c r="B229" s="10"/>
      <x:c r="C229" s="10"/>
      <x:c r="D229" s="10"/>
      <x:c r="E229" s="15"/>
      <x:c r="F229" s="10"/>
    </x:row>
    <x:row r="230" ht="22" customHeight="1">
      <x:c r="A230" s="12"/>
      <x:c r="B230" s="10"/>
      <x:c r="C230" s="10"/>
      <x:c r="D230" s="10"/>
      <x:c r="E230" s="15"/>
      <x:c r="F230" s="10"/>
    </x:row>
    <x:row r="231" ht="22" customHeight="1">
      <x:c r="A231" s="12"/>
      <x:c r="B231" s="10"/>
      <x:c r="C231" s="10"/>
      <x:c r="D231" s="10"/>
      <x:c r="E231" s="15"/>
      <x:c r="F231" s="10"/>
    </x:row>
    <x:row r="232" ht="22" customHeight="1">
      <x:c r="A232" s="12"/>
      <x:c r="B232" s="10"/>
      <x:c r="C232" s="10"/>
      <x:c r="D232" s="10"/>
      <x:c r="E232" s="15"/>
      <x:c r="F232" s="10"/>
    </x:row>
    <x:row r="233" ht="22" customHeight="1">
      <x:c r="A233" s="12"/>
      <x:c r="B233" s="10"/>
      <x:c r="C233" s="10"/>
      <x:c r="D233" s="10"/>
      <x:c r="E233" s="15"/>
      <x:c r="F233" s="10"/>
    </x:row>
    <x:row r="234" ht="22" customHeight="1">
      <x:c r="A234" s="12"/>
      <x:c r="B234" s="10"/>
      <x:c r="C234" s="10"/>
      <x:c r="D234" s="10"/>
      <x:c r="E234" s="15"/>
      <x:c r="F234" s="10"/>
    </x:row>
    <x:row r="235" ht="22" customHeight="1">
      <x:c r="A235" s="12"/>
      <x:c r="B235" s="10"/>
      <x:c r="C235" s="10"/>
      <x:c r="D235" s="10"/>
      <x:c r="E235" s="15"/>
      <x:c r="F235" s="10"/>
    </x:row>
    <x:row r="236" ht="22" customHeight="1">
      <x:c r="A236" s="12"/>
      <x:c r="B236" s="10"/>
      <x:c r="C236" s="10"/>
      <x:c r="D236" s="10"/>
      <x:c r="E236" s="15"/>
      <x:c r="F236" s="10"/>
    </x:row>
    <x:row r="237" ht="22" customHeight="1">
      <x:c r="A237" s="12"/>
      <x:c r="B237" s="10"/>
      <x:c r="C237" s="10"/>
      <x:c r="D237" s="10"/>
      <x:c r="E237" s="15"/>
      <x:c r="F237" s="10"/>
    </x:row>
    <x:row r="238" ht="22" customHeight="1">
      <x:c r="A238" s="12"/>
      <x:c r="B238" s="10"/>
      <x:c r="C238" s="10"/>
      <x:c r="D238" s="10"/>
      <x:c r="E238" s="15"/>
      <x:c r="F238" s="10"/>
    </x:row>
    <x:row r="239" ht="22" customHeight="1">
      <x:c r="A239" s="12"/>
      <x:c r="B239" s="10"/>
      <x:c r="C239" s="10"/>
      <x:c r="D239" s="10"/>
      <x:c r="E239" s="15"/>
      <x:c r="F239" s="10"/>
    </x:row>
    <x:row r="240" ht="22" customHeight="1">
      <x:c r="A240" s="12"/>
      <x:c r="B240" s="10"/>
      <x:c r="C240" s="10"/>
      <x:c r="D240" s="10"/>
      <x:c r="E240" s="15"/>
      <x:c r="F240" s="10"/>
    </x:row>
    <x:row r="241" ht="22" customHeight="1">
      <x:c r="A241" s="12"/>
      <x:c r="B241" s="10"/>
      <x:c r="C241" s="10"/>
      <x:c r="D241" s="10"/>
      <x:c r="E241" s="15"/>
      <x:c r="F241" s="10"/>
    </x:row>
    <x:row r="242" ht="22" customHeight="1">
      <x:c r="A242" s="12"/>
      <x:c r="B242" s="10"/>
      <x:c r="C242" s="10"/>
      <x:c r="D242" s="10"/>
      <x:c r="E242" s="15"/>
      <x:c r="F242" s="10"/>
    </x:row>
    <x:row r="243" ht="22" customHeight="1">
      <x:c r="A243" s="12"/>
      <x:c r="B243" s="10"/>
      <x:c r="C243" s="10"/>
      <x:c r="D243" s="10"/>
      <x:c r="E243" s="15"/>
      <x:c r="F243" s="10"/>
    </x:row>
    <x:row r="244" ht="22" customHeight="1">
      <x:c r="A244" s="12"/>
      <x:c r="B244" s="10"/>
      <x:c r="C244" s="10"/>
      <x:c r="D244" s="10"/>
      <x:c r="E244" s="15"/>
      <x:c r="F244" s="10"/>
    </x:row>
    <x:row r="245" ht="22" customHeight="1">
      <x:c r="A245" s="12"/>
      <x:c r="B245" s="10"/>
      <x:c r="C245" s="10"/>
      <x:c r="D245" s="10"/>
      <x:c r="E245" s="15"/>
      <x:c r="F245" s="10"/>
    </x:row>
    <x:row r="246" ht="22" customHeight="1">
      <x:c r="A246" s="12"/>
      <x:c r="B246" s="10"/>
      <x:c r="C246" s="10"/>
      <x:c r="D246" s="10"/>
      <x:c r="E246" s="15"/>
      <x:c r="F246" s="10"/>
    </x:row>
    <x:row r="247" ht="22" customHeight="1">
      <x:c r="A247" s="12"/>
      <x:c r="B247" s="10"/>
      <x:c r="C247" s="10"/>
      <x:c r="D247" s="10"/>
      <x:c r="E247" s="15"/>
      <x:c r="F247" s="10"/>
    </x:row>
    <x:row r="248" ht="22" customHeight="1">
      <x:c r="A248" s="12"/>
      <x:c r="B248" s="10"/>
      <x:c r="C248" s="10"/>
      <x:c r="D248" s="10"/>
      <x:c r="E248" s="15"/>
      <x:c r="F248" s="10"/>
    </x:row>
    <x:row r="249" ht="22" customHeight="1">
      <x:c r="A249" s="12"/>
      <x:c r="B249" s="10"/>
      <x:c r="C249" s="10"/>
      <x:c r="D249" s="10"/>
      <x:c r="E249" s="15"/>
      <x:c r="F249" s="10"/>
    </x:row>
    <x:row r="250" ht="22" customHeight="1">
      <x:c r="A250" s="12"/>
      <x:c r="B250" s="10"/>
      <x:c r="C250" s="10"/>
      <x:c r="D250" s="10"/>
      <x:c r="E250" s="15"/>
      <x:c r="F250" s="10"/>
    </x:row>
    <x:row r="251" ht="22" customHeight="1">
      <x:c r="A251" s="12"/>
      <x:c r="B251" s="10"/>
      <x:c r="C251" s="10"/>
      <x:c r="D251" s="10"/>
      <x:c r="E251" s="15"/>
      <x:c r="F251" s="10"/>
    </x:row>
    <x:row r="252" ht="22" customHeight="1">
      <x:c r="A252" s="12"/>
      <x:c r="B252" s="10"/>
      <x:c r="C252" s="10"/>
      <x:c r="D252" s="10"/>
      <x:c r="E252" s="15"/>
      <x:c r="F252" s="10"/>
    </x:row>
    <x:row r="253" ht="22" customHeight="1">
      <x:c r="A253" s="12"/>
      <x:c r="B253" s="10"/>
      <x:c r="C253" s="10"/>
      <x:c r="D253" s="10"/>
      <x:c r="E253" s="15"/>
      <x:c r="F253" s="10"/>
    </x:row>
    <x:row r="254" ht="22" customHeight="1">
      <x:c r="A254" s="12"/>
      <x:c r="B254" s="10"/>
      <x:c r="C254" s="10"/>
      <x:c r="D254" s="10"/>
      <x:c r="E254" s="15"/>
      <x:c r="F254" s="10"/>
    </x:row>
    <x:row r="255" ht="22" customHeight="1">
      <x:c r="A255" s="12"/>
      <x:c r="B255" s="10"/>
      <x:c r="C255" s="10"/>
      <x:c r="D255" s="10"/>
      <x:c r="E255" s="15"/>
      <x:c r="F255" s="10"/>
    </x:row>
    <x:row r="256" ht="22" customHeight="1">
      <x:c r="A256" s="12"/>
      <x:c r="B256" s="10"/>
      <x:c r="C256" s="10"/>
      <x:c r="D256" s="10"/>
      <x:c r="E256" s="15"/>
      <x:c r="F256" s="10"/>
    </x:row>
    <x:row r="257" ht="22" customHeight="1">
      <x:c r="A257" s="12"/>
      <x:c r="B257" s="10"/>
      <x:c r="C257" s="10"/>
      <x:c r="D257" s="10"/>
      <x:c r="E257" s="15"/>
      <x:c r="F257" s="10"/>
    </x:row>
    <x:row r="258" ht="22" customHeight="1">
      <x:c r="A258" s="12"/>
      <x:c r="B258" s="10"/>
      <x:c r="C258" s="10"/>
      <x:c r="D258" s="10"/>
      <x:c r="E258" s="15"/>
      <x:c r="F258" s="10"/>
    </x:row>
    <x:row r="259" ht="22" customHeight="1">
      <x:c r="A259" s="12"/>
      <x:c r="B259" s="10"/>
      <x:c r="C259" s="10"/>
      <x:c r="D259" s="10"/>
      <x:c r="E259" s="15"/>
      <x:c r="F259" s="10"/>
    </x:row>
    <x:row r="260" ht="22" customHeight="1">
      <x:c r="A260" s="12"/>
      <x:c r="B260" s="10"/>
      <x:c r="C260" s="10"/>
      <x:c r="D260" s="10"/>
      <x:c r="E260" s="15"/>
      <x:c r="F260" s="10"/>
    </x:row>
    <x:row r="261" ht="22" customHeight="1">
      <x:c r="A261" s="12"/>
      <x:c r="B261" s="10"/>
      <x:c r="C261" s="10"/>
      <x:c r="D261" s="10"/>
      <x:c r="E261" s="15"/>
      <x:c r="F261" s="10"/>
    </x:row>
    <x:row r="262" ht="22" customHeight="1">
      <x:c r="A262" s="12"/>
      <x:c r="B262" s="10"/>
      <x:c r="C262" s="10"/>
      <x:c r="D262" s="10"/>
      <x:c r="E262" s="15"/>
      <x:c r="F262" s="10"/>
    </x:row>
    <x:row r="263" ht="22" customHeight="1">
      <x:c r="A263" s="12"/>
      <x:c r="B263" s="10"/>
      <x:c r="C263" s="10"/>
      <x:c r="D263" s="10"/>
      <x:c r="E263" s="15"/>
      <x:c r="F263" s="10"/>
    </x:row>
    <x:row r="264" ht="22" customHeight="1">
      <x:c r="A264" s="12"/>
      <x:c r="B264" s="10"/>
      <x:c r="C264" s="10"/>
      <x:c r="D264" s="10"/>
      <x:c r="E264" s="15"/>
      <x:c r="F264" s="10"/>
    </x:row>
    <x:row r="265" ht="22" customHeight="1">
      <x:c r="A265" s="12"/>
      <x:c r="B265" s="10"/>
      <x:c r="C265" s="10"/>
      <x:c r="D265" s="10"/>
      <x:c r="E265" s="15"/>
      <x:c r="F265" s="10"/>
    </x:row>
    <x:row r="266" ht="22" customHeight="1">
      <x:c r="A266" s="12"/>
      <x:c r="B266" s="10"/>
      <x:c r="C266" s="10"/>
      <x:c r="D266" s="10"/>
      <x:c r="E266" s="15"/>
      <x:c r="F266" s="10"/>
    </x:row>
    <x:row r="267" ht="22" customHeight="1">
      <x:c r="A267" s="12"/>
      <x:c r="B267" s="10"/>
      <x:c r="C267" s="10"/>
      <x:c r="D267" s="10"/>
      <x:c r="E267" s="15"/>
      <x:c r="F267" s="10"/>
    </x:row>
    <x:row r="268" ht="22" customHeight="1">
      <x:c r="A268" s="12"/>
      <x:c r="B268" s="10"/>
      <x:c r="C268" s="10"/>
      <x:c r="D268" s="10"/>
      <x:c r="E268" s="15"/>
      <x:c r="F268" s="10"/>
    </x:row>
    <x:row r="269" ht="22" customHeight="1">
      <x:c r="A269" s="12"/>
      <x:c r="B269" s="10"/>
      <x:c r="C269" s="10"/>
      <x:c r="D269" s="10"/>
      <x:c r="E269" s="15"/>
      <x:c r="F269" s="10"/>
    </x:row>
    <x:row r="270" ht="22" customHeight="1">
      <x:c r="A270" s="12"/>
      <x:c r="B270" s="10"/>
      <x:c r="C270" s="10"/>
      <x:c r="D270" s="10"/>
      <x:c r="E270" s="15"/>
      <x:c r="F270" s="10"/>
    </x:row>
    <x:row r="271" ht="22" customHeight="1">
      <x:c r="A271" s="12"/>
      <x:c r="B271" s="10"/>
      <x:c r="C271" s="10"/>
      <x:c r="D271" s="10"/>
      <x:c r="E271" s="15"/>
      <x:c r="F271" s="10"/>
    </x:row>
    <x:row r="272" ht="22" customHeight="1">
      <x:c r="A272" s="12"/>
      <x:c r="B272" s="10"/>
      <x:c r="C272" s="10"/>
      <x:c r="D272" s="10"/>
      <x:c r="E272" s="15"/>
      <x:c r="F272" s="10"/>
    </x:row>
    <x:row r="273" ht="22" customHeight="1">
      <x:c r="A273" s="12"/>
      <x:c r="B273" s="10"/>
      <x:c r="C273" s="10"/>
      <x:c r="D273" s="10"/>
      <x:c r="E273" s="15"/>
      <x:c r="F273" s="10"/>
    </x:row>
    <x:row r="274" ht="22" customHeight="1">
      <x:c r="A274" s="12"/>
      <x:c r="B274" s="10"/>
      <x:c r="C274" s="10"/>
      <x:c r="D274" s="10"/>
      <x:c r="E274" s="15"/>
      <x:c r="F274" s="10"/>
    </x:row>
    <x:row r="275" ht="22" customHeight="1">
      <x:c r="A275" s="12"/>
      <x:c r="B275" s="10"/>
      <x:c r="C275" s="10"/>
      <x:c r="D275" s="10"/>
      <x:c r="E275" s="15"/>
      <x:c r="F275" s="10"/>
    </x:row>
    <x:row r="276" ht="22" customHeight="1">
      <x:c r="A276" s="12"/>
      <x:c r="B276" s="10"/>
      <x:c r="C276" s="10"/>
      <x:c r="D276" s="10"/>
      <x:c r="E276" s="15"/>
      <x:c r="F276" s="10"/>
    </x:row>
    <x:row r="277" ht="22" customHeight="1">
      <x:c r="A277" s="12"/>
      <x:c r="B277" s="10"/>
      <x:c r="C277" s="10"/>
      <x:c r="D277" s="10"/>
      <x:c r="E277" s="15"/>
      <x:c r="F277" s="10"/>
    </x:row>
    <x:row r="278" ht="22" customHeight="1">
      <x:c r="A278" s="12"/>
      <x:c r="B278" s="10"/>
      <x:c r="C278" s="10"/>
      <x:c r="D278" s="10"/>
      <x:c r="E278" s="15"/>
      <x:c r="F278" s="10"/>
    </x:row>
    <x:row r="279" ht="22" customHeight="1">
      <x:c r="A279" s="12"/>
      <x:c r="B279" s="10"/>
      <x:c r="C279" s="10"/>
      <x:c r="D279" s="10"/>
      <x:c r="E279" s="15"/>
      <x:c r="F279" s="10"/>
    </x:row>
    <x:row r="280" ht="22" customHeight="1">
      <x:c r="A280" s="12"/>
      <x:c r="B280" s="10"/>
      <x:c r="C280" s="10"/>
      <x:c r="D280" s="10"/>
      <x:c r="E280" s="15"/>
      <x:c r="F280" s="10"/>
    </x:row>
    <x:row r="281" ht="22" customHeight="1">
      <x:c r="A281" s="12"/>
      <x:c r="B281" s="10"/>
      <x:c r="C281" s="10"/>
      <x:c r="D281" s="10"/>
      <x:c r="E281" s="15"/>
      <x:c r="F281" s="10"/>
    </x:row>
    <x:row r="282" ht="22" customHeight="1">
      <x:c r="A282" s="12"/>
      <x:c r="B282" s="10"/>
      <x:c r="C282" s="10"/>
      <x:c r="D282" s="10"/>
      <x:c r="E282" s="15"/>
      <x:c r="F282" s="10"/>
    </x:row>
    <x:row r="283" ht="22" customHeight="1">
      <x:c r="A283" s="12"/>
      <x:c r="B283" s="10"/>
      <x:c r="C283" s="10"/>
      <x:c r="D283" s="10"/>
      <x:c r="E283" s="15"/>
      <x:c r="F283" s="10"/>
    </x:row>
    <x:row r="284" ht="22" customHeight="1">
      <x:c r="A284" s="12"/>
      <x:c r="B284" s="10"/>
      <x:c r="C284" s="10"/>
      <x:c r="D284" s="10"/>
      <x:c r="E284" s="15"/>
      <x:c r="F284" s="10"/>
    </x:row>
    <x:row r="285" ht="22" customHeight="1">
      <x:c r="A285" s="12"/>
      <x:c r="B285" s="10"/>
      <x:c r="C285" s="10"/>
      <x:c r="D285" s="10"/>
      <x:c r="E285" s="15"/>
      <x:c r="F285" s="10"/>
    </x:row>
    <x:row r="286" ht="22" customHeight="1">
      <x:c r="A286" s="12"/>
      <x:c r="B286" s="10"/>
      <x:c r="C286" s="10"/>
      <x:c r="D286" s="10"/>
      <x:c r="E286" s="15"/>
      <x:c r="F286" s="10"/>
    </x:row>
    <x:row r="287" ht="22" customHeight="1">
      <x:c r="A287" s="12"/>
      <x:c r="B287" s="10"/>
      <x:c r="C287" s="10"/>
      <x:c r="D287" s="10"/>
      <x:c r="E287" s="15"/>
      <x:c r="F287" s="10"/>
    </x:row>
    <x:row r="288" ht="22" customHeight="1">
      <x:c r="A288" s="12"/>
      <x:c r="B288" s="10"/>
      <x:c r="C288" s="10"/>
      <x:c r="D288" s="10"/>
      <x:c r="E288" s="15"/>
      <x:c r="F288" s="10"/>
    </x:row>
    <x:row r="289" ht="22" customHeight="1">
      <x:c r="A289" s="12"/>
      <x:c r="B289" s="10"/>
      <x:c r="C289" s="10"/>
      <x:c r="D289" s="10"/>
      <x:c r="E289" s="15"/>
      <x:c r="F289" s="10"/>
    </x:row>
    <x:row r="290" ht="22" customHeight="1">
      <x:c r="A290" s="12"/>
      <x:c r="B290" s="10"/>
      <x:c r="C290" s="10"/>
      <x:c r="D290" s="10"/>
      <x:c r="E290" s="15"/>
      <x:c r="F290" s="10"/>
    </x:row>
    <x:row r="291" ht="22" customHeight="1">
      <x:c r="A291" s="12"/>
      <x:c r="B291" s="10"/>
      <x:c r="C291" s="10"/>
      <x:c r="D291" s="10"/>
      <x:c r="E291" s="15"/>
      <x:c r="F291" s="10"/>
    </x:row>
    <x:row r="292" ht="22" customHeight="1">
      <x:c r="A292" s="12"/>
      <x:c r="B292" s="10"/>
      <x:c r="C292" s="10"/>
      <x:c r="D292" s="10"/>
      <x:c r="E292" s="15"/>
      <x:c r="F292" s="10"/>
    </x:row>
    <x:row r="293" ht="22" customHeight="1">
      <x:c r="A293" s="12"/>
      <x:c r="B293" s="10"/>
      <x:c r="C293" s="10"/>
      <x:c r="D293" s="10"/>
      <x:c r="E293" s="15"/>
      <x:c r="F293" s="10"/>
    </x:row>
    <x:row r="294" ht="22" customHeight="1">
      <x:c r="A294" s="12"/>
      <x:c r="B294" s="10"/>
      <x:c r="C294" s="10"/>
      <x:c r="D294" s="10"/>
      <x:c r="E294" s="15"/>
      <x:c r="F294" s="10"/>
    </x:row>
    <x:row r="295" ht="22" customHeight="1">
      <x:c r="A295" s="12"/>
      <x:c r="B295" s="10"/>
      <x:c r="C295" s="10"/>
      <x:c r="D295" s="10"/>
      <x:c r="E295" s="15"/>
      <x:c r="F295" s="10"/>
    </x:row>
    <x:row r="296" ht="22" customHeight="1">
      <x:c r="A296" s="12"/>
      <x:c r="B296" s="10"/>
      <x:c r="C296" s="10"/>
      <x:c r="D296" s="10"/>
      <x:c r="E296" s="15"/>
      <x:c r="F296" s="10"/>
    </x:row>
    <x:row r="297" ht="22" customHeight="1">
      <x:c r="A297" s="12"/>
      <x:c r="B297" s="10"/>
      <x:c r="C297" s="10"/>
      <x:c r="D297" s="10"/>
      <x:c r="E297" s="15"/>
      <x:c r="F297" s="10"/>
    </x:row>
    <x:row r="298" ht="22" customHeight="1">
      <x:c r="A298" s="12"/>
      <x:c r="B298" s="10"/>
      <x:c r="C298" s="10"/>
      <x:c r="D298" s="10"/>
      <x:c r="E298" s="15"/>
      <x:c r="F298" s="10"/>
    </x:row>
    <x:row r="299" ht="22" customHeight="1">
      <x:c r="A299" s="12"/>
      <x:c r="B299" s="10"/>
      <x:c r="C299" s="10"/>
      <x:c r="D299" s="10"/>
      <x:c r="E299" s="15"/>
      <x:c r="F299" s="10"/>
    </x:row>
    <x:row r="300" ht="22" customHeight="1">
      <x:c r="A300" s="12"/>
      <x:c r="B300" s="10"/>
      <x:c r="C300" s="10"/>
      <x:c r="D300" s="10"/>
      <x:c r="E300" s="15"/>
      <x:c r="F300" s="10"/>
    </x:row>
    <x:row r="301" ht="22" customHeight="1">
      <x:c r="A301" s="12"/>
      <x:c r="B301" s="10"/>
      <x:c r="C301" s="10"/>
      <x:c r="D301" s="10"/>
      <x:c r="E301" s="15"/>
      <x:c r="F301" s="10"/>
    </x:row>
    <x:row r="302" ht="22" customHeight="1">
      <x:c r="A302" s="12"/>
      <x:c r="B302" s="10"/>
      <x:c r="C302" s="10"/>
      <x:c r="D302" s="10"/>
      <x:c r="E302" s="15"/>
      <x:c r="F302" s="10"/>
    </x:row>
    <x:row r="303" ht="22" customHeight="1">
      <x:c r="A303" s="12"/>
      <x:c r="B303" s="10"/>
      <x:c r="C303" s="10"/>
      <x:c r="D303" s="10"/>
      <x:c r="E303" s="15"/>
      <x:c r="F303" s="10"/>
    </x:row>
    <x:row r="304" ht="22" customHeight="1">
      <x:c r="A304" s="12"/>
      <x:c r="B304" s="10"/>
      <x:c r="C304" s="10"/>
      <x:c r="D304" s="10"/>
      <x:c r="E304" s="15"/>
      <x:c r="F304" s="10"/>
    </x:row>
    <x:row r="305" ht="22" customHeight="1">
      <x:c r="A305" s="12"/>
      <x:c r="B305" s="10"/>
      <x:c r="C305" s="10"/>
      <x:c r="D305" s="10"/>
      <x:c r="E305" s="15"/>
      <x:c r="F305" s="10"/>
    </x:row>
    <x:row r="306" ht="22" customHeight="1">
      <x:c r="A306" s="12"/>
      <x:c r="B306" s="10"/>
      <x:c r="C306" s="10"/>
      <x:c r="D306" s="10"/>
      <x:c r="E306" s="15"/>
      <x:c r="F306" s="10"/>
    </x:row>
  </x:sheetData>
  <x:mergeCells>
    <x:mergeCell ref="A4:F4"/>
  </x:mergeCells>
  <x:dataValidations count="1">
    <x:dataValidation type="list" sqref="D7:D306">
      <x:formula1>"efectivo,transferencia,otro"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894d3c758142ae"/>
  </x:tableParts>
</x:worksheet>
</file>