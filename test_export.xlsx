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Historial de Ventas" state="visible" r:id="rId4"/>
    <sheet sheetId="2" name="Resumen" state="visible" r:id="rId5"/>
  </sheets>
  <definedNames>
    <definedName name="_xlnm._FilterDatabase">'Historial de Ventas'!$A$4:$K$12</definedName>
  </definedNames>
  <calcPr calcId="171027"/>
</workbook>
</file>

<file path=xl/sharedStrings.xml><?xml version="1.0" encoding="utf-8"?>
<sst xmlns="http://schemas.openxmlformats.org/spreadsheetml/2006/main" count="37" uniqueCount="36">
  <si>
    <t>📊  HISTORIAL DE VENTAS</t>
  </si>
  <si>
    <t>Generado el: 31/5/2026   |   Sistema: MiTienda POS</t>
  </si>
  <si>
    <t>Factura N°</t>
  </si>
  <si>
    <t>Fecha</t>
  </si>
  <si>
    <t>Hora</t>
  </si>
  <si>
    <t>Items</t>
  </si>
  <si>
    <t>Subtotal</t>
  </si>
  <si>
    <t>IVA</t>
  </si>
  <si>
    <t>Impoconsumо</t>
  </si>
  <si>
    <t>Total</t>
  </si>
  <si>
    <t>Método de Pago</t>
  </si>
  <si>
    <t>Estado DIAN</t>
  </si>
  <si>
    <t>Observaciones</t>
  </si>
  <si>
    <t>2026-06-01</t>
  </si>
  <si>
    <t>10:00:00</t>
  </si>
  <si>
    <t>ITEM A</t>
  </si>
  <si>
    <t>EFECTIVO</t>
  </si>
  <si>
    <t>Enviado DIAN</t>
  </si>
  <si>
    <t>11:00:00</t>
  </si>
  <si>
    <t>ITEM B</t>
  </si>
  <si>
    <t>TARJETA</t>
  </si>
  <si>
    <t>Pendiente</t>
  </si>
  <si>
    <t>TOTALES</t>
  </si>
  <si>
    <t>RESUMEN DE VENTAS</t>
  </si>
  <si>
    <t>Métrica</t>
  </si>
  <si>
    <t>Valor</t>
  </si>
  <si>
    <t>Total de facturas</t>
  </si>
  <si>
    <t>Ventas totales (neto)</t>
  </si>
  <si>
    <t>Total IVA recaudado</t>
  </si>
  <si>
    <t>Total Impoconsumo</t>
  </si>
  <si>
    <t>Total recaudado</t>
  </si>
  <si>
    <t>Facturas Enviado DIAN</t>
  </si>
  <si>
    <t>Facturas Pendientes</t>
  </si>
  <si>
    <t>Ventas EFECTIVO</t>
  </si>
  <si>
    <t>Ventas TRANSFERENCIA</t>
  </si>
  <si>
    <t>Ventas 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</si>
</sst>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&quot;($&quot;#,##0);-"/>
  </numFmts>
  <fonts count="10" x14ac:knownFonts="1">
    <font>
      <color theme="1"/>
      <family val="2"/>
      <scheme val="minor"/>
      <sz val="11"/>
      <name val="Calibri"/>
    </font>
    <font>
      <b/>
      <charset val="1"/>
      <color rgb="FFFFFFFF"/>
      <sz val="16"/>
      <name val="Arial"/>
    </font>
    <font>
      <i/>
      <charset val="1"/>
      <color rgb="FFAAAAAA"/>
      <sz val="9"/>
      <name val="Arial"/>
    </font>
    <font>
      <b/>
      <charset val="1"/>
      <color rgb="FFFFFFFF"/>
      <sz val="10"/>
      <name val="Arial"/>
    </font>
    <font>
      <charset val="1"/>
      <sz val="9"/>
      <name val="Arial"/>
    </font>
    <font>
      <b/>
      <charset val="1"/>
      <color rgb="FF1E8449"/>
      <sz val="9"/>
      <name val="Arial"/>
    </font>
    <font>
      <b/>
      <charset val="1"/>
      <color rgb="FFCA6F1E"/>
      <sz val="9"/>
      <name val="Arial"/>
    </font>
    <font>
      <b/>
      <charset val="1"/>
      <color rgb="FFFFFFFF"/>
      <sz val="14"/>
      <name val="Arial"/>
    </font>
    <font>
      <charset val="1"/>
      <sz val="10"/>
      <name val="Arial"/>
    </font>
    <font>
      <b/>
      <charset val="1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0D2137"/>
        <bgColor rgb="FF333333"/>
      </patternFill>
    </fill>
    <fill>
      <patternFill patternType="solid">
        <fgColor rgb="FFF0F4F8"/>
        <bgColor rgb="FFEBF5FB"/>
      </patternFill>
    </fill>
    <fill>
      <patternFill patternType="solid">
        <fgColor rgb="FF1E3A5F"/>
        <bgColor rgb="FF333333"/>
      </patternFill>
    </fill>
    <fill>
      <patternFill patternType="solid">
        <fgColor rgb="FFFFFFFF"/>
        <bgColor rgb="FFFDFEFE"/>
      </patternFill>
    </fill>
    <fill>
      <patternFill patternType="solid">
        <fgColor rgb="FFEAF4FB"/>
        <bgColor rgb="FFEBF5FB"/>
      </patternFill>
    </fill>
    <fill>
      <patternFill patternType="solid">
        <fgColor rgb="FFD5F5E3"/>
        <bgColor rgb="FFEAF4FB"/>
      </patternFill>
    </fill>
    <fill>
      <patternFill patternType="solid">
        <fgColor rgb="FFEBF5FB"/>
        <bgColor rgb="FFEAF4FB"/>
      </patternFill>
    </fill>
    <fill>
      <patternFill patternType="solid">
        <fgColor rgb="FFFDFEFE"/>
        <bgColor rgb="FFFFFFFF"/>
      </patternFill>
    </fill>
    <fill>
      <patternFill patternType="solid">
        <fgColor rgb="FFFDEBD0"/>
        <bgColor rgb="FFF5EEF8"/>
      </patternFill>
    </fill>
    <fill>
      <patternFill patternType="solid">
        <fgColor rgb="FF1ABC9C"/>
        <bgColor rgb="FF00CCFF"/>
      </patternFill>
    </fill>
    <fill>
      <patternFill patternType="solid">
        <fgColor rgb="FF2E86C1"/>
        <bgColor rgb="FF008080"/>
      </patternFill>
    </fill>
  </fills>
  <borders count="2">
    <border>
      <left/>
      <right/>
      <top/>
      <bottom/>
      <diagonal/>
    </border>
    <border>
      <left style="thin">
        <color rgb="FFAED6F1"/>
      </left>
      <right style="thin">
        <color rgb="FFAED6F1"/>
      </right>
      <top style="thin">
        <color rgb="FFAED6F1"/>
      </top>
      <bottom style="thin">
        <color rgb="FFAED6F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 wrapText="1"/>
    </xf>
    <xf numFmtId="164" fontId="4" fillId="8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right" vertical="center"/>
    </xf>
    <xf numFmtId="0" fontId="8" fillId="8" borderId="1" xfId="0" applyFont="1" applyFill="1" applyBorder="1" applyAlignment="1">
      <alignment vertical="center"/>
    </xf>
    <xf numFmtId="164" fontId="9" fillId="8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 zoomScale="100" zoomScaleNormal="100">
      <pane ySplit="4" topLeftCell="A5" activePane="bottomLeft" state="frozen"/>
      <selection pane="bottomLeft" activeCell="A5" sqref="A5"/>
    </sheetView>
  </sheetViews>
  <sheetFormatPr defaultRowHeight="15" outlineLevelRow="0" outlineLevelCol="0" x14ac:dyDescent="0.25" defaultColWidth="8.7109375"/>
  <cols>
    <col min="1" max="1" width="12" customWidth="1"/>
    <col min="2" max="2" width="13" customWidth="1"/>
    <col min="4" max="4" width="38" customWidth="1"/>
    <col min="5" max="5" width="14" customWidth="1"/>
    <col min="6" max="6" width="10" customWidth="1"/>
    <col min="7" max="8" width="14" customWidth="1"/>
    <col min="9" max="9" width="17" customWidth="1"/>
    <col min="10" max="10" width="16" customWidth="1"/>
    <col min="11" max="11" width="22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6" customHeight="1" x14ac:dyDescent="0.25"/>
    <row r="4" ht="27.75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19.5" customHeight="1" spans="1:11" x14ac:dyDescent="0.25">
      <c r="A5" s="4">
        <v>101</v>
      </c>
      <c r="B5" s="4" t="s">
        <v>13</v>
      </c>
      <c r="C5" s="4" t="s">
        <v>14</v>
      </c>
      <c r="D5" s="5" t="s">
        <v>15</v>
      </c>
      <c r="E5" s="6">
        <v>100</v>
      </c>
      <c r="F5" s="6">
        <v>19</v>
      </c>
      <c r="G5" s="6">
        <v>0</v>
      </c>
      <c r="H5" s="6">
        <v>119</v>
      </c>
      <c r="I5" s="7" t="s">
        <v>16</v>
      </c>
      <c r="J5" s="8" t="s">
        <v>17</v>
      </c>
      <c r="K5" s="9"/>
    </row>
    <row r="6" ht="19.5" customHeight="1" spans="1:11" x14ac:dyDescent="0.25">
      <c r="A6" s="10">
        <v>102</v>
      </c>
      <c r="B6" s="10" t="s">
        <v>13</v>
      </c>
      <c r="C6" s="10" t="s">
        <v>18</v>
      </c>
      <c r="D6" s="11" t="s">
        <v>19</v>
      </c>
      <c r="E6" s="12">
        <v>200</v>
      </c>
      <c r="F6" s="12">
        <v>38</v>
      </c>
      <c r="G6" s="12">
        <v>0</v>
      </c>
      <c r="H6" s="12">
        <v>238</v>
      </c>
      <c r="I6" s="13" t="s">
        <v>20</v>
      </c>
      <c r="J6" s="14" t="s">
        <v>21</v>
      </c>
      <c r="K6" s="15"/>
    </row>
    <row r="7" ht="19.5" customHeight="1" spans="1:11" x14ac:dyDescent="0.25">
      <c r="A7" s="16" t="s">
        <v>22</v>
      </c>
      <c r="B7" s="16"/>
      <c r="C7" s="16"/>
      <c r="D7" s="16">
        <f>COUNTA(D5:D6) &amp; " líneas"</f>
      </c>
      <c r="E7" s="17">
        <f>SUM(E5:E6)</f>
      </c>
      <c r="F7" s="17">
        <f>SUM(F5:F6)</f>
      </c>
      <c r="G7" s="17">
        <f>SUM(G5:G6)</f>
      </c>
      <c r="H7" s="17">
        <f>SUM(H5:H6)</f>
      </c>
      <c r="I7" s="16"/>
      <c r="J7" s="16"/>
      <c r="K7" s="16"/>
    </row>
    <row r="8" ht="19.5" customHeight="1" spans="1:11" x14ac:dyDescent="0.25"/>
    <row r="9" ht="19.5" customHeight="1" spans="1:11" x14ac:dyDescent="0.25"/>
    <row r="10" ht="19.5" customHeight="1" spans="1:11" x14ac:dyDescent="0.25"/>
    <row r="11" ht="19.5" customHeight="1" spans="1:11" x14ac:dyDescent="0.25"/>
    <row r="12" ht="19.5" customHeight="1" spans="1:11" x14ac:dyDescent="0.25"/>
    <row r="13" ht="24" customHeight="1" spans="1:11" x14ac:dyDescent="0.25"/>
  </sheetData>
  <autoFilter ref="A4:K12"/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 zoomScale="100" zoomScaleNormal="100"/>
  </sheetViews>
  <sheetFormatPr defaultRowHeight="15" outlineLevelRow="0" outlineLevelCol="0" x14ac:dyDescent="0.25" defaultColWidth="8.7109375"/>
  <cols>
    <col min="1" max="1" width="28" customWidth="1"/>
    <col min="2" max="2" width="18" customWidth="1"/>
  </cols>
  <sheetData>
    <row r="1" ht="31.5" customHeight="1" spans="1:5" x14ac:dyDescent="0.25">
      <c r="A1" s="18" t="s">
        <v>23</v>
      </c>
      <c r="B1" s="18"/>
      <c r="C1" s="18"/>
      <c r="D1" s="18"/>
      <c r="E1" s="18"/>
    </row>
    <row r="2" ht="21.75" customHeight="1" spans="1:2" x14ac:dyDescent="0.25">
      <c r="A2" s="19" t="s">
        <v>24</v>
      </c>
      <c r="B2" s="19" t="s">
        <v>25</v>
      </c>
    </row>
    <row r="3" ht="21.75" customHeight="1" spans="1:3" x14ac:dyDescent="0.25">
      <c r="A3" s="20" t="s">
        <v>26</v>
      </c>
      <c r="B3" s="21">
        <f>COUNTA('Historial de Ventas'!A5:A12)</f>
        <v>0</v>
      </c>
      <c r="C3">
        <f>COUNTA('Historial de Ventas'!A5:A6)</f>
      </c>
    </row>
    <row r="4" ht="21.75" customHeight="1" spans="1:3" x14ac:dyDescent="0.25">
      <c r="A4" s="22" t="s">
        <v>27</v>
      </c>
      <c r="B4" s="23">
        <f>SUM('Historial de Ventas'!E5:E12)</f>
        <v>0</v>
      </c>
      <c r="C4">
        <f>SUM('Historial de Ventas'!E5:E6)</f>
      </c>
    </row>
    <row r="5" ht="21.75" customHeight="1" spans="1:3" x14ac:dyDescent="0.25">
      <c r="A5" s="20" t="s">
        <v>28</v>
      </c>
      <c r="B5" s="24">
        <f>SUM('Historial de Ventas'!F5:F12)</f>
        <v>0</v>
      </c>
      <c r="C5">
        <f>SUM('Historial de Ventas'!F5:F6)</f>
      </c>
    </row>
    <row r="6" ht="21.75" customHeight="1" spans="1:3" x14ac:dyDescent="0.25">
      <c r="A6" s="22" t="s">
        <v>29</v>
      </c>
      <c r="B6" s="23">
        <f>SUM('Historial de Ventas'!G5:G12)</f>
        <v>0</v>
      </c>
      <c r="C6">
        <f>SUM('Historial de Ventas'!G5:G6)</f>
      </c>
    </row>
    <row r="7" ht="21.75" customHeight="1" spans="1:3" x14ac:dyDescent="0.25">
      <c r="A7" s="20" t="s">
        <v>30</v>
      </c>
      <c r="B7" s="24">
        <f>SUM('Historial de Ventas'!H5:H12)</f>
        <v>0</v>
      </c>
      <c r="C7">
        <f>SUM('Historial de Ventas'!H5:H6)</f>
      </c>
    </row>
    <row r="8" ht="21.75" customHeight="1" spans="1:3" x14ac:dyDescent="0.25">
      <c r="A8" s="22" t="s">
        <v>31</v>
      </c>
      <c r="B8" s="25">
        <f>COUNTIF('Historial de Ventas'!J5:J12,"Enviado DIAN")</f>
        <v>0</v>
      </c>
      <c r="C8">
        <f>COUNTIF('Historial de Ventas'!J5:J6,"Enviado DIAN")</f>
      </c>
    </row>
    <row r="9" ht="21.75" customHeight="1" spans="1:3" x14ac:dyDescent="0.25">
      <c r="A9" s="20" t="s">
        <v>32</v>
      </c>
      <c r="B9" s="21">
        <f>COUNTIF('Historial de Ventas'!J5:J12,"Pendiente")</f>
        <v>0</v>
      </c>
      <c r="C9">
        <f>COUNTIF('Historial de Ventas'!J5:J6,"Pendiente")</f>
      </c>
    </row>
    <row r="10" ht="21.75" customHeight="1" spans="1:3" x14ac:dyDescent="0.25">
      <c r="A10" s="22" t="s">
        <v>33</v>
      </c>
      <c r="B10" s="23">
        <f>SUMIF('Historial de Ventas'!I5:I12,"EFECTIVO",'Historial de Ventas'!H5:H12)</f>
        <v>0</v>
      </c>
      <c r="C10">
        <f>SUMIF('Historial de Ventas'!I5:I6,"EFECTIVO",'Historial de Ventas'!H5:H6)</f>
      </c>
    </row>
    <row r="11" ht="21.75" customHeight="1" spans="1:3" x14ac:dyDescent="0.25">
      <c r="A11" s="20" t="s">
        <v>34</v>
      </c>
      <c r="B11" s="24">
        <f>SUMIF('Historial de Ventas'!I5:I12,"TRANSFERENCIA",'Historial de Ventas'!H5:H12)</f>
        <v>0</v>
      </c>
      <c r="C11">
        <f>SUMIF('Historial de Ventas'!I5:I6,"TRANSFERENCIA",'Historial de Ventas'!H5:H6)</f>
      </c>
    </row>
    <row r="12" ht="21.75" customHeight="1" spans="1:3" x14ac:dyDescent="0.25">
      <c r="A12" s="22" t="s">
        <v>35</v>
      </c>
      <c r="B12" s="23">
        <f>SUMIF('Historial de Ventas'!I5:I12,"TARJETA",'Historial de Ventas'!H5:H12)</f>
        <v>0</v>
      </c>
      <c r="C12">
        <f>SUMIF('Historial de Ventas'!I5:I6,"TARJETA",'Historial de Ventas'!H5:H6)</f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Historial de Ventas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Office</cp:lastModifiedBy>
  <dcterms:created xsi:type="dcterms:W3CDTF">2026-06-01T04:27:18Z</dcterms:created>
  <dcterms:modified xsi:type="dcterms:W3CDTF">2026-06-01T04:36:22Z</dcterms:modified>
</cp:coreProperties>
</file>